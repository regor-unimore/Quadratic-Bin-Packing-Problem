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nces" sheetId="1" r:id="rId5"/>
    <sheet state="visible" name="FGW" sheetId="2" r:id="rId6"/>
    <sheet state="visible" name="FGW+SB" sheetId="3" r:id="rId7"/>
    <sheet state="visible" name="EFGW" sheetId="4" r:id="rId8"/>
    <sheet state="visible" name="2A" sheetId="5" r:id="rId9"/>
    <sheet state="visible" name="2A+SB" sheetId="6" r:id="rId10"/>
    <sheet state="visible" name="E2A" sheetId="7" r:id="rId11"/>
    <sheet state="visible" name="R" sheetId="8" r:id="rId12"/>
    <sheet state="visible" name="ER" sheetId="9" r:id="rId13"/>
    <sheet state="visible" name="BP(1,1)" sheetId="10" r:id="rId14"/>
    <sheet state="visible" name="BP(5,10)" sheetId="11" r:id="rId15"/>
    <sheet state="hidden" name="Results" sheetId="12" r:id="rId16"/>
  </sheets>
  <definedNames/>
  <calcPr/>
</workbook>
</file>

<file path=xl/sharedStrings.xml><?xml version="1.0" encoding="utf-8"?>
<sst xmlns="http://schemas.openxmlformats.org/spreadsheetml/2006/main" count="8046" uniqueCount="718">
  <si>
    <t>Instance</t>
  </si>
  <si>
    <t>name</t>
  </si>
  <si>
    <t>items</t>
  </si>
  <si>
    <t>signal</t>
  </si>
  <si>
    <t>density</t>
  </si>
  <si>
    <t>mu</t>
  </si>
  <si>
    <t>id</t>
  </si>
  <si>
    <t>QBPP_HJ*_25_025_06_1</t>
  </si>
  <si>
    <t>*</t>
  </si>
  <si>
    <t>QBPP_HJ*_25_025_06_2</t>
  </si>
  <si>
    <t>QBPP_HJ*_25_025_06_3</t>
  </si>
  <si>
    <t>QBPP_HJ*_25_025_06_4</t>
  </si>
  <si>
    <t>QBPP_HJ*_25_025_06_5</t>
  </si>
  <si>
    <t>QBPP_HJ*_25_025_10_1</t>
  </si>
  <si>
    <t>QBPP_HJ*_25_025_10_2</t>
  </si>
  <si>
    <t>QBPP_HJ*_25_025_10_3</t>
  </si>
  <si>
    <t>QBPP_HJ*_25_025_10_4</t>
  </si>
  <si>
    <t>QBPP_HJ*_25_025_10_5</t>
  </si>
  <si>
    <t>QBPP_HJ*_25_025_20_1</t>
  </si>
  <si>
    <t>QBPP_HJ*_25_025_20_2</t>
  </si>
  <si>
    <t>QBPP_HJ*_25_025_20_3</t>
  </si>
  <si>
    <t>QBPP_HJ*_25_025_20_4</t>
  </si>
  <si>
    <t>QBPP_HJ*_25_025_20_5</t>
  </si>
  <si>
    <t>QBPP_HJ*_25_050_06_1</t>
  </si>
  <si>
    <t>QBPP_HJ*_25_050_06_2</t>
  </si>
  <si>
    <t>QBPP_HJ*_25_050_06_3</t>
  </si>
  <si>
    <t>QBPP_HJ*_25_050_06_4</t>
  </si>
  <si>
    <t>QBPP_HJ*_25_050_06_5</t>
  </si>
  <si>
    <t>QBPP_HJ*_25_050_10_1</t>
  </si>
  <si>
    <t>QBPP_HJ*_25_050_10_2</t>
  </si>
  <si>
    <t>QBPP_HJ*_25_050_10_3</t>
  </si>
  <si>
    <t>QBPP_HJ*_25_050_10_4</t>
  </si>
  <si>
    <t>QBPP_HJ*_25_050_10_5</t>
  </si>
  <si>
    <t>QBPP_HJ*_25_050_20_1</t>
  </si>
  <si>
    <t>QBPP_HJ*_25_050_20_2</t>
  </si>
  <si>
    <t>QBPP_HJ*_25_050_20_3</t>
  </si>
  <si>
    <t>QBPP_HJ*_25_050_20_4</t>
  </si>
  <si>
    <t>QBPP_HJ*_25_050_20_5</t>
  </si>
  <si>
    <t>QBPP_HJ*_25_075_06_1</t>
  </si>
  <si>
    <t>QBPP_HJ*_25_075_06_2</t>
  </si>
  <si>
    <t>QBPP_HJ*_25_075_06_3</t>
  </si>
  <si>
    <t>QBPP_HJ*_25_075_06_4</t>
  </si>
  <si>
    <t>QBPP_HJ*_25_075_06_5</t>
  </si>
  <si>
    <t>QBPP_HJ*_25_075_10_1</t>
  </si>
  <si>
    <t>QBPP_HJ*_25_075_10_2</t>
  </si>
  <si>
    <t>QBPP_HJ*_25_075_10_3</t>
  </si>
  <si>
    <t>QBPP_HJ*_25_075_10_4</t>
  </si>
  <si>
    <t>QBPP_HJ*_25_075_10_5</t>
  </si>
  <si>
    <t>QBPP_HJ*_25_075_20_1</t>
  </si>
  <si>
    <t>QBPP_HJ*_25_075_20_2</t>
  </si>
  <si>
    <t>QBPP_HJ*_25_075_20_3</t>
  </si>
  <si>
    <t>QBPP_HJ*_25_075_20_4</t>
  </si>
  <si>
    <t>QBPP_HJ*_25_075_20_5</t>
  </si>
  <si>
    <t>QBPP_HJ*_30_025_06_1</t>
  </si>
  <si>
    <t>QBPP_HJ*_30_025_06_2</t>
  </si>
  <si>
    <t>QBPP_HJ*_30_025_06_3</t>
  </si>
  <si>
    <t>QBPP_HJ*_30_025_06_4</t>
  </si>
  <si>
    <t>QBPP_HJ*_30_025_06_5</t>
  </si>
  <si>
    <t>QBPP_HJ*_30_025_10_1</t>
  </si>
  <si>
    <t>QBPP_HJ*_30_025_10_2</t>
  </si>
  <si>
    <t>QBPP_HJ*_30_025_10_3</t>
  </si>
  <si>
    <t>QBPP_HJ*_30_025_10_4</t>
  </si>
  <si>
    <t>QBPP_HJ*_30_025_10_5</t>
  </si>
  <si>
    <t>QBPP_HJ*_30_025_20_1</t>
  </si>
  <si>
    <t>QBPP_HJ*_30_025_20_2</t>
  </si>
  <si>
    <t>QBPP_HJ*_30_025_20_3</t>
  </si>
  <si>
    <t>QBPP_HJ*_30_025_20_4</t>
  </si>
  <si>
    <t>QBPP_HJ*_30_025_20_5</t>
  </si>
  <si>
    <t>QBPP_HJ*_30_050_06_1</t>
  </si>
  <si>
    <t>QBPP_HJ*_30_050_06_2</t>
  </si>
  <si>
    <t>QBPP_HJ*_30_050_06_3</t>
  </si>
  <si>
    <t>QBPP_HJ*_30_050_06_4</t>
  </si>
  <si>
    <t>QBPP_HJ*_30_050_06_5</t>
  </si>
  <si>
    <t>QBPP_HJ*_30_050_10_1</t>
  </si>
  <si>
    <t>QBPP_HJ*_30_050_10_2</t>
  </si>
  <si>
    <t>QBPP_HJ*_30_050_10_3</t>
  </si>
  <si>
    <t>QBPP_HJ*_30_050_10_4</t>
  </si>
  <si>
    <t>QBPP_HJ*_30_050_10_5</t>
  </si>
  <si>
    <t>QBPP_HJ*_30_050_20_1</t>
  </si>
  <si>
    <t>QBPP_HJ*_30_050_20_2</t>
  </si>
  <si>
    <t>QBPP_HJ*_30_050_20_3</t>
  </si>
  <si>
    <t>QBPP_HJ*_30_050_20_4</t>
  </si>
  <si>
    <t>QBPP_HJ*_30_050_20_5</t>
  </si>
  <si>
    <t>QBPP_HJ*_30_075_06_1</t>
  </si>
  <si>
    <t>QBPP_HJ*_30_075_06_2</t>
  </si>
  <si>
    <t>QBPP_HJ*_30_075_06_3</t>
  </si>
  <si>
    <t>QBPP_HJ*_30_075_06_4</t>
  </si>
  <si>
    <t>QBPP_HJ*_30_075_06_5</t>
  </si>
  <si>
    <t>QBPP_HJ*_30_075_10_1</t>
  </si>
  <si>
    <t>QBPP_HJ*_30_075_10_2</t>
  </si>
  <si>
    <t>QBPP_HJ*_30_075_10_3</t>
  </si>
  <si>
    <t>QBPP_HJ*_30_075_10_4</t>
  </si>
  <si>
    <t>QBPP_HJ*_30_075_10_5</t>
  </si>
  <si>
    <t>QBPP_HJ*_30_075_20_1</t>
  </si>
  <si>
    <t>QBPP_HJ*_30_075_20_2</t>
  </si>
  <si>
    <t>QBPP_HJ*_30_075_20_3</t>
  </si>
  <si>
    <t>QBPP_HJ*_30_075_20_4</t>
  </si>
  <si>
    <t>QBPP_HJ*_30_075_20_5</t>
  </si>
  <si>
    <t>QBPP_HJ*_35_025_06_1</t>
  </si>
  <si>
    <t>QBPP_HJ*_35_025_06_2</t>
  </si>
  <si>
    <t>QBPP_HJ*_35_025_06_3</t>
  </si>
  <si>
    <t>QBPP_HJ*_35_025_06_4</t>
  </si>
  <si>
    <t>QBPP_HJ*_35_025_06_5</t>
  </si>
  <si>
    <t>QBPP_HJ*_35_025_10_1</t>
  </si>
  <si>
    <t>QBPP_HJ*_35_025_10_2</t>
  </si>
  <si>
    <t>QBPP_HJ*_35_025_10_3</t>
  </si>
  <si>
    <t>QBPP_HJ*_35_025_10_4</t>
  </si>
  <si>
    <t>QBPP_HJ*_35_025_10_5</t>
  </si>
  <si>
    <t>QBPP_HJ*_35_025_20_1</t>
  </si>
  <si>
    <t>QBPP_HJ*_35_025_20_2</t>
  </si>
  <si>
    <t>QBPP_HJ*_35_025_20_3</t>
  </si>
  <si>
    <t>QBPP_HJ*_35_025_20_4</t>
  </si>
  <si>
    <t>QBPP_HJ*_35_025_20_5</t>
  </si>
  <si>
    <t>QBPP_HJ*_35_050_06_1</t>
  </si>
  <si>
    <t>QBPP_HJ*_35_050_06_2</t>
  </si>
  <si>
    <t>QBPP_HJ*_35_050_06_3</t>
  </si>
  <si>
    <t>QBPP_HJ*_35_050_06_4</t>
  </si>
  <si>
    <t>QBPP_HJ*_35_050_06_5</t>
  </si>
  <si>
    <t>QBPP_HJ*_35_050_10_1</t>
  </si>
  <si>
    <t>QBPP_HJ*_35_050_10_2</t>
  </si>
  <si>
    <t>QBPP_HJ*_35_050_10_3</t>
  </si>
  <si>
    <t>QBPP_HJ*_35_050_10_4</t>
  </si>
  <si>
    <t>QBPP_HJ*_35_050_10_5</t>
  </si>
  <si>
    <t>QBPP_HJ*_35_050_20_1</t>
  </si>
  <si>
    <t>QBPP_HJ*_35_050_20_2</t>
  </si>
  <si>
    <t>QBPP_HJ*_35_050_20_3</t>
  </si>
  <si>
    <t>QBPP_HJ*_35_050_20_4</t>
  </si>
  <si>
    <t>QBPP_HJ*_35_050_20_5</t>
  </si>
  <si>
    <t>QBPP_HJ*_35_075_06_1</t>
  </si>
  <si>
    <t>QBPP_HJ*_35_075_06_2</t>
  </si>
  <si>
    <t>QBPP_HJ*_35_075_06_3</t>
  </si>
  <si>
    <t>QBPP_HJ*_35_075_06_4</t>
  </si>
  <si>
    <t>QBPP_HJ*_35_075_06_5</t>
  </si>
  <si>
    <t>QBPP_HJ*_35_075_10_1</t>
  </si>
  <si>
    <t>QBPP_HJ*_35_075_10_2</t>
  </si>
  <si>
    <t>QBPP_HJ*_35_075_10_3</t>
  </si>
  <si>
    <t>QBPP_HJ*_35_075_10_4</t>
  </si>
  <si>
    <t>QBPP_HJ*_35_075_10_5</t>
  </si>
  <si>
    <t>QBPP_HJ*_35_075_20_1</t>
  </si>
  <si>
    <t>QBPP_HJ*_35_075_20_2</t>
  </si>
  <si>
    <t>QBPP_HJ*_35_075_20_3</t>
  </si>
  <si>
    <t>QBPP_HJ*_35_075_20_4</t>
  </si>
  <si>
    <t>QBPP_HJ*_35_075_20_5</t>
  </si>
  <si>
    <t>QBPP_HJ*_40_025_06_1</t>
  </si>
  <si>
    <t>QBPP_HJ*_40_025_06_2</t>
  </si>
  <si>
    <t>QBPP_HJ*_40_025_06_3</t>
  </si>
  <si>
    <t>QBPP_HJ*_40_025_06_4</t>
  </si>
  <si>
    <t>QBPP_HJ*_40_025_06_5</t>
  </si>
  <si>
    <t>QBPP_HJ*_40_025_10_1</t>
  </si>
  <si>
    <t>QBPP_HJ*_40_025_10_2</t>
  </si>
  <si>
    <t>QBPP_HJ*_40_025_10_3</t>
  </si>
  <si>
    <t>QBPP_HJ*_40_025_10_4</t>
  </si>
  <si>
    <t>QBPP_HJ*_40_025_10_5</t>
  </si>
  <si>
    <t>QBPP_HJ*_40_025_20_1</t>
  </si>
  <si>
    <t>QBPP_HJ*_40_025_20_2</t>
  </si>
  <si>
    <t>QBPP_HJ*_40_025_20_3</t>
  </si>
  <si>
    <t>QBPP_HJ*_40_025_20_4</t>
  </si>
  <si>
    <t>QBPP_HJ*_40_025_20_5</t>
  </si>
  <si>
    <t>QBPP_HJ*_40_050_06_1</t>
  </si>
  <si>
    <t>QBPP_HJ*_40_050_06_2</t>
  </si>
  <si>
    <t>QBPP_HJ*_40_050_06_3</t>
  </si>
  <si>
    <t>QBPP_HJ*_40_050_06_4</t>
  </si>
  <si>
    <t>QBPP_HJ*_40_050_06_5</t>
  </si>
  <si>
    <t>QBPP_HJ*_40_050_10_1</t>
  </si>
  <si>
    <t>QBPP_HJ*_40_050_10_2</t>
  </si>
  <si>
    <t>QBPP_HJ*_40_050_10_3</t>
  </si>
  <si>
    <t>QBPP_HJ*_40_050_10_4</t>
  </si>
  <si>
    <t>QBPP_HJ*_40_050_10_5</t>
  </si>
  <si>
    <t>QBPP_HJ*_40_050_20_1</t>
  </si>
  <si>
    <t>QBPP_HJ*_40_050_20_2</t>
  </si>
  <si>
    <t>QBPP_HJ*_40_050_20_3</t>
  </si>
  <si>
    <t>QBPP_HJ*_40_050_20_4</t>
  </si>
  <si>
    <t>QBPP_HJ*_40_050_20_5</t>
  </si>
  <si>
    <t>QBPP_HJ*_40_075_06_1</t>
  </si>
  <si>
    <t>QBPP_HJ*_40_075_06_2</t>
  </si>
  <si>
    <t>QBPP_HJ*_40_075_06_3</t>
  </si>
  <si>
    <t>QBPP_HJ*_40_075_06_4</t>
  </si>
  <si>
    <t>QBPP_HJ*_40_075_06_5</t>
  </si>
  <si>
    <t>QBPP_HJ*_40_075_10_1</t>
  </si>
  <si>
    <t>QBPP_HJ*_40_075_10_2</t>
  </si>
  <si>
    <t>QBPP_HJ*_40_075_10_3</t>
  </si>
  <si>
    <t>QBPP_HJ*_40_075_10_4</t>
  </si>
  <si>
    <t>QBPP_HJ*_40_075_10_5</t>
  </si>
  <si>
    <t>QBPP_HJ*_40_075_20_1</t>
  </si>
  <si>
    <t>QBPP_HJ*_40_075_20_2</t>
  </si>
  <si>
    <t>QBPP_HJ*_40_075_20_3</t>
  </si>
  <si>
    <t>QBPP_HJ*_40_075_20_4</t>
  </si>
  <si>
    <t>QBPP_HJ*_40_075_20_5</t>
  </si>
  <si>
    <t>QBPP_HJ*_45_025_06_1</t>
  </si>
  <si>
    <t>QBPP_HJ*_45_025_06_2</t>
  </si>
  <si>
    <t>QBPP_HJ*_45_025_06_3</t>
  </si>
  <si>
    <t>QBPP_HJ*_45_025_06_4</t>
  </si>
  <si>
    <t>QBPP_HJ*_45_025_06_5</t>
  </si>
  <si>
    <t>QBPP_HJ*_45_025_10_1</t>
  </si>
  <si>
    <t>QBPP_HJ*_45_025_10_2</t>
  </si>
  <si>
    <t>QBPP_HJ*_45_025_10_3</t>
  </si>
  <si>
    <t>QBPP_HJ*_45_025_10_4</t>
  </si>
  <si>
    <t>QBPP_HJ*_45_025_10_5</t>
  </si>
  <si>
    <t>QBPP_HJ*_45_025_20_1</t>
  </si>
  <si>
    <t>QBPP_HJ*_45_025_20_2</t>
  </si>
  <si>
    <t>QBPP_HJ*_45_025_20_3</t>
  </si>
  <si>
    <t>QBPP_HJ*_45_025_20_4</t>
  </si>
  <si>
    <t>QBPP_HJ*_45_025_20_5</t>
  </si>
  <si>
    <t>QBPP_HJ*_45_050_06_1</t>
  </si>
  <si>
    <t>QBPP_HJ*_45_050_06_2</t>
  </si>
  <si>
    <t>QBPP_HJ*_45_050_06_3</t>
  </si>
  <si>
    <t>QBPP_HJ*_45_050_06_4</t>
  </si>
  <si>
    <t>QBPP_HJ*_45_050_06_5</t>
  </si>
  <si>
    <t>QBPP_HJ*_45_050_10_1</t>
  </si>
  <si>
    <t>QBPP_HJ*_45_050_10_2</t>
  </si>
  <si>
    <t>QBPP_HJ*_45_050_10_3</t>
  </si>
  <si>
    <t>QBPP_HJ*_45_050_10_4</t>
  </si>
  <si>
    <t>QBPP_HJ*_45_050_10_5</t>
  </si>
  <si>
    <t>QBPP_HJ*_45_050_20_1</t>
  </si>
  <si>
    <t>QBPP_HJ*_45_050_20_2</t>
  </si>
  <si>
    <t>QBPP_HJ*_45_050_20_3</t>
  </si>
  <si>
    <t>QBPP_HJ*_45_050_20_4</t>
  </si>
  <si>
    <t>QBPP_HJ*_45_050_20_5</t>
  </si>
  <si>
    <t>QBPP_HJ*_45_075_06_1</t>
  </si>
  <si>
    <t>QBPP_HJ*_45_075_06_2</t>
  </si>
  <si>
    <t>QBPP_HJ*_45_075_06_3</t>
  </si>
  <si>
    <t>QBPP_HJ*_45_075_06_4</t>
  </si>
  <si>
    <t>QBPP_HJ*_45_075_06_5</t>
  </si>
  <si>
    <t>QBPP_HJ*_45_075_10_1</t>
  </si>
  <si>
    <t>QBPP_HJ*_45_075_10_2</t>
  </si>
  <si>
    <t>QBPP_HJ*_45_075_10_3</t>
  </si>
  <si>
    <t>QBPP_HJ*_45_075_10_4</t>
  </si>
  <si>
    <t>QBPP_HJ*_45_075_10_5</t>
  </si>
  <si>
    <t>QBPP_HJ*_45_075_20_1</t>
  </si>
  <si>
    <t>QBPP_HJ*_45_075_20_2</t>
  </si>
  <si>
    <t>QBPP_HJ*_45_075_20_3</t>
  </si>
  <si>
    <t>QBPP_HJ*_45_075_20_4</t>
  </si>
  <si>
    <t>QBPP_HJ*_45_075_20_5</t>
  </si>
  <si>
    <t>QBPP_HJ+_25_025_06_1</t>
  </si>
  <si>
    <t>+</t>
  </si>
  <si>
    <t>QBPP_HJ+_25_025_06_2</t>
  </si>
  <si>
    <t>QBPP_HJ+_25_025_06_3</t>
  </si>
  <si>
    <t>QBPP_HJ+_25_025_06_4</t>
  </si>
  <si>
    <t>QBPP_HJ+_25_025_06_5</t>
  </si>
  <si>
    <t>QBPP_HJ+_25_025_10_1</t>
  </si>
  <si>
    <t>QBPP_HJ+_25_025_10_2</t>
  </si>
  <si>
    <t>QBPP_HJ+_25_025_10_3</t>
  </si>
  <si>
    <t>QBPP_HJ+_25_025_10_4</t>
  </si>
  <si>
    <t>QBPP_HJ+_25_025_10_5</t>
  </si>
  <si>
    <t>QBPP_HJ+_25_025_20_1</t>
  </si>
  <si>
    <t>QBPP_HJ+_25_025_20_2</t>
  </si>
  <si>
    <t>QBPP_HJ+_25_025_20_3</t>
  </si>
  <si>
    <t>QBPP_HJ+_25_025_20_4</t>
  </si>
  <si>
    <t>QBPP_HJ+_25_025_20_5</t>
  </si>
  <si>
    <t>QBPP_HJ+_25_050_06_1</t>
  </si>
  <si>
    <t>QBPP_HJ+_25_050_06_2</t>
  </si>
  <si>
    <t>QBPP_HJ+_25_050_06_3</t>
  </si>
  <si>
    <t>QBPP_HJ+_25_050_06_4</t>
  </si>
  <si>
    <t>QBPP_HJ+_25_050_06_5</t>
  </si>
  <si>
    <t>QBPP_HJ+_25_050_10_1</t>
  </si>
  <si>
    <t>QBPP_HJ+_25_050_10_2</t>
  </si>
  <si>
    <t>QBPP_HJ+_25_050_10_3</t>
  </si>
  <si>
    <t>QBPP_HJ+_25_050_10_4</t>
  </si>
  <si>
    <t>QBPP_HJ+_25_050_10_5</t>
  </si>
  <si>
    <t>QBPP_HJ+_25_050_20_1</t>
  </si>
  <si>
    <t>QBPP_HJ+_25_050_20_2</t>
  </si>
  <si>
    <t>QBPP_HJ+_25_050_20_3</t>
  </si>
  <si>
    <t>QBPP_HJ+_25_050_20_4</t>
  </si>
  <si>
    <t>QBPP_HJ+_25_050_20_5</t>
  </si>
  <si>
    <t>QBPP_HJ+_25_075_06_1</t>
  </si>
  <si>
    <t>QBPP_HJ+_25_075_06_2</t>
  </si>
  <si>
    <t>QBPP_HJ+_25_075_06_3</t>
  </si>
  <si>
    <t>QBPP_HJ+_25_075_06_4</t>
  </si>
  <si>
    <t>QBPP_HJ+_25_075_06_5</t>
  </si>
  <si>
    <t>QBPP_HJ+_25_075_10_1</t>
  </si>
  <si>
    <t>QBPP_HJ+_25_075_10_2</t>
  </si>
  <si>
    <t>QBPP_HJ+_25_075_10_3</t>
  </si>
  <si>
    <t>QBPP_HJ+_25_075_10_4</t>
  </si>
  <si>
    <t>QBPP_HJ+_25_075_10_5</t>
  </si>
  <si>
    <t>QBPP_HJ+_25_075_20_1</t>
  </si>
  <si>
    <t>QBPP_HJ+_25_075_20_2</t>
  </si>
  <si>
    <t>QBPP_HJ+_25_075_20_3</t>
  </si>
  <si>
    <t>QBPP_HJ+_25_075_20_4</t>
  </si>
  <si>
    <t>QBPP_HJ+_25_075_20_5</t>
  </si>
  <si>
    <t>QBPP_HJ+_30_025_06_1</t>
  </si>
  <si>
    <t>QBPP_HJ+_30_025_06_2</t>
  </si>
  <si>
    <t>QBPP_HJ+_30_025_06_3</t>
  </si>
  <si>
    <t>QBPP_HJ+_30_025_06_4</t>
  </si>
  <si>
    <t>QBPP_HJ+_30_025_06_5</t>
  </si>
  <si>
    <t>QBPP_HJ+_30_025_10_1</t>
  </si>
  <si>
    <t>QBPP_HJ+_30_025_10_2</t>
  </si>
  <si>
    <t>QBPP_HJ+_30_025_10_3</t>
  </si>
  <si>
    <t>QBPP_HJ+_30_025_10_4</t>
  </si>
  <si>
    <t>QBPP_HJ+_30_025_10_5</t>
  </si>
  <si>
    <t>QBPP_HJ+_30_025_20_1</t>
  </si>
  <si>
    <t>QBPP_HJ+_30_025_20_2</t>
  </si>
  <si>
    <t>QBPP_HJ+_30_025_20_3</t>
  </si>
  <si>
    <t>QBPP_HJ+_30_025_20_4</t>
  </si>
  <si>
    <t>QBPP_HJ+_30_025_20_5</t>
  </si>
  <si>
    <t>QBPP_HJ+_30_050_06_1</t>
  </si>
  <si>
    <t>QBPP_HJ+_30_050_06_2</t>
  </si>
  <si>
    <t>QBPP_HJ+_30_050_06_3</t>
  </si>
  <si>
    <t>QBPP_HJ+_30_050_06_4</t>
  </si>
  <si>
    <t>QBPP_HJ+_30_050_06_5</t>
  </si>
  <si>
    <t>QBPP_HJ+_30_050_10_1</t>
  </si>
  <si>
    <t>QBPP_HJ+_30_050_10_2</t>
  </si>
  <si>
    <t>QBPP_HJ+_30_050_10_3</t>
  </si>
  <si>
    <t>QBPP_HJ+_30_050_10_4</t>
  </si>
  <si>
    <t>QBPP_HJ+_30_050_10_5</t>
  </si>
  <si>
    <t>QBPP_HJ+_30_050_20_1</t>
  </si>
  <si>
    <t>QBPP_HJ+_30_050_20_2</t>
  </si>
  <si>
    <t>QBPP_HJ+_30_050_20_3</t>
  </si>
  <si>
    <t>QBPP_HJ+_30_050_20_4</t>
  </si>
  <si>
    <t>QBPP_HJ+_30_050_20_5</t>
  </si>
  <si>
    <t>QBPP_HJ+_30_075_06_1</t>
  </si>
  <si>
    <t>QBPP_HJ+_30_075_06_2</t>
  </si>
  <si>
    <t>QBPP_HJ+_30_075_06_3</t>
  </si>
  <si>
    <t>QBPP_HJ+_30_075_06_4</t>
  </si>
  <si>
    <t>QBPP_HJ+_30_075_06_5</t>
  </si>
  <si>
    <t>QBPP_HJ+_30_075_10_1</t>
  </si>
  <si>
    <t>QBPP_HJ+_30_075_10_2</t>
  </si>
  <si>
    <t>QBPP_HJ+_30_075_10_3</t>
  </si>
  <si>
    <t>QBPP_HJ+_30_075_10_4</t>
  </si>
  <si>
    <t>QBPP_HJ+_30_075_10_5</t>
  </si>
  <si>
    <t>QBPP_HJ+_30_075_20_1</t>
  </si>
  <si>
    <t>QBPP_HJ+_30_075_20_2</t>
  </si>
  <si>
    <t>QBPP_HJ+_30_075_20_3</t>
  </si>
  <si>
    <t>QBPP_HJ+_30_075_20_4</t>
  </si>
  <si>
    <t>QBPP_HJ+_30_075_20_5</t>
  </si>
  <si>
    <t>QBPP_HJ+_35_025_06_1</t>
  </si>
  <si>
    <t>QBPP_HJ+_35_025_06_2</t>
  </si>
  <si>
    <t>QBPP_HJ+_35_025_06_3</t>
  </si>
  <si>
    <t>QBPP_HJ+_35_025_06_4</t>
  </si>
  <si>
    <t>QBPP_HJ+_35_025_06_5</t>
  </si>
  <si>
    <t>QBPP_HJ+_35_025_10_1</t>
  </si>
  <si>
    <t>QBPP_HJ+_35_025_10_2</t>
  </si>
  <si>
    <t>QBPP_HJ+_35_025_10_3</t>
  </si>
  <si>
    <t>QBPP_HJ+_35_025_10_4</t>
  </si>
  <si>
    <t>QBPP_HJ+_35_025_10_5</t>
  </si>
  <si>
    <t>QBPP_HJ+_35_025_20_1</t>
  </si>
  <si>
    <t>QBPP_HJ+_35_025_20_2</t>
  </si>
  <si>
    <t>QBPP_HJ+_35_025_20_3</t>
  </si>
  <si>
    <t>QBPP_HJ+_35_025_20_4</t>
  </si>
  <si>
    <t>QBPP_HJ+_35_025_20_5</t>
  </si>
  <si>
    <t>QBPP_HJ+_35_050_06_1</t>
  </si>
  <si>
    <t>QBPP_HJ+_35_050_06_2</t>
  </si>
  <si>
    <t>QBPP_HJ+_35_050_06_3</t>
  </si>
  <si>
    <t>QBPP_HJ+_35_050_06_4</t>
  </si>
  <si>
    <t>QBPP_HJ+_35_050_06_5</t>
  </si>
  <si>
    <t>QBPP_HJ+_35_050_10_1</t>
  </si>
  <si>
    <t>QBPP_HJ+_35_050_10_2</t>
  </si>
  <si>
    <t>QBPP_HJ+_35_050_10_3</t>
  </si>
  <si>
    <t>QBPP_HJ+_35_050_10_4</t>
  </si>
  <si>
    <t>QBPP_HJ+_35_050_10_5</t>
  </si>
  <si>
    <t>QBPP_HJ+_35_050_20_1</t>
  </si>
  <si>
    <t>QBPP_HJ+_35_050_20_2</t>
  </si>
  <si>
    <t>QBPP_HJ+_35_050_20_3</t>
  </si>
  <si>
    <t>QBPP_HJ+_35_050_20_4</t>
  </si>
  <si>
    <t>QBPP_HJ+_35_050_20_5</t>
  </si>
  <si>
    <t>QBPP_HJ+_35_075_06_1</t>
  </si>
  <si>
    <t>QBPP_HJ+_35_075_06_2</t>
  </si>
  <si>
    <t>QBPP_HJ+_35_075_06_3</t>
  </si>
  <si>
    <t>QBPP_HJ+_35_075_06_4</t>
  </si>
  <si>
    <t>QBPP_HJ+_35_075_06_5</t>
  </si>
  <si>
    <t>QBPP_HJ+_35_075_10_1</t>
  </si>
  <si>
    <t>QBPP_HJ+_35_075_10_2</t>
  </si>
  <si>
    <t>QBPP_HJ+_35_075_10_3</t>
  </si>
  <si>
    <t>QBPP_HJ+_35_075_10_4</t>
  </si>
  <si>
    <t>QBPP_HJ+_35_075_10_5</t>
  </si>
  <si>
    <t>QBPP_HJ+_35_075_20_1</t>
  </si>
  <si>
    <t>QBPP_HJ+_35_075_20_2</t>
  </si>
  <si>
    <t>QBPP_HJ+_35_075_20_3</t>
  </si>
  <si>
    <t>QBPP_HJ+_35_075_20_4</t>
  </si>
  <si>
    <t>QBPP_HJ+_35_075_20_5</t>
  </si>
  <si>
    <t>QBPP_HJ+_40_025_06_1</t>
  </si>
  <si>
    <t>QBPP_HJ+_40_025_06_2</t>
  </si>
  <si>
    <t>QBPP_HJ+_40_025_06_3</t>
  </si>
  <si>
    <t>QBPP_HJ+_40_025_06_4</t>
  </si>
  <si>
    <t>QBPP_HJ+_40_025_06_5</t>
  </si>
  <si>
    <t>QBPP_HJ+_40_025_10_1</t>
  </si>
  <si>
    <t>QBPP_HJ+_40_025_10_2</t>
  </si>
  <si>
    <t>QBPP_HJ+_40_025_10_3</t>
  </si>
  <si>
    <t>QBPP_HJ+_40_025_10_4</t>
  </si>
  <si>
    <t>QBPP_HJ+_40_025_10_5</t>
  </si>
  <si>
    <t>QBPP_HJ+_40_025_20_1</t>
  </si>
  <si>
    <t>QBPP_HJ+_40_025_20_2</t>
  </si>
  <si>
    <t>QBPP_HJ+_40_025_20_3</t>
  </si>
  <si>
    <t>QBPP_HJ+_40_025_20_4</t>
  </si>
  <si>
    <t>QBPP_HJ+_40_025_20_5</t>
  </si>
  <si>
    <t>QBPP_HJ+_40_050_06_1</t>
  </si>
  <si>
    <t>QBPP_HJ+_40_050_06_2</t>
  </si>
  <si>
    <t>QBPP_HJ+_40_050_06_3</t>
  </si>
  <si>
    <t>QBPP_HJ+_40_050_06_4</t>
  </si>
  <si>
    <t>QBPP_HJ+_40_050_06_5</t>
  </si>
  <si>
    <t>QBPP_HJ+_40_050_10_1</t>
  </si>
  <si>
    <t>QBPP_HJ+_40_050_10_2</t>
  </si>
  <si>
    <t>QBPP_HJ+_40_050_10_3</t>
  </si>
  <si>
    <t>QBPP_HJ+_40_050_10_4</t>
  </si>
  <si>
    <t>QBPP_HJ+_40_050_10_5</t>
  </si>
  <si>
    <t>QBPP_HJ+_40_050_20_1</t>
  </si>
  <si>
    <t>QBPP_HJ+_40_050_20_2</t>
  </si>
  <si>
    <t>QBPP_HJ+_40_050_20_3</t>
  </si>
  <si>
    <t>QBPP_HJ+_40_050_20_4</t>
  </si>
  <si>
    <t>QBPP_HJ+_40_050_20_5</t>
  </si>
  <si>
    <t>QBPP_HJ+_40_075_06_1</t>
  </si>
  <si>
    <t>QBPP_HJ+_40_075_06_2</t>
  </si>
  <si>
    <t>QBPP_HJ+_40_075_06_3</t>
  </si>
  <si>
    <t>QBPP_HJ+_40_075_06_4</t>
  </si>
  <si>
    <t>QBPP_HJ+_40_075_06_5</t>
  </si>
  <si>
    <t>QBPP_HJ+_40_075_10_1</t>
  </si>
  <si>
    <t>QBPP_HJ+_40_075_10_2</t>
  </si>
  <si>
    <t>QBPP_HJ+_40_075_10_3</t>
  </si>
  <si>
    <t>QBPP_HJ+_40_075_10_4</t>
  </si>
  <si>
    <t>QBPP_HJ+_40_075_10_5</t>
  </si>
  <si>
    <t>QBPP_HJ+_40_075_20_1</t>
  </si>
  <si>
    <t>QBPP_HJ+_40_075_20_2</t>
  </si>
  <si>
    <t>QBPP_HJ+_40_075_20_3</t>
  </si>
  <si>
    <t>QBPP_HJ+_40_075_20_4</t>
  </si>
  <si>
    <t>QBPP_HJ+_40_075_20_5</t>
  </si>
  <si>
    <t>QBPP_HJ+_45_025_06_1</t>
  </si>
  <si>
    <t>QBPP_HJ+_45_025_06_2</t>
  </si>
  <si>
    <t>QBPP_HJ+_45_025_06_3</t>
  </si>
  <si>
    <t>QBPP_HJ+_45_025_06_4</t>
  </si>
  <si>
    <t>QBPP_HJ+_45_025_06_5</t>
  </si>
  <si>
    <t>QBPP_HJ+_45_025_10_1</t>
  </si>
  <si>
    <t>QBPP_HJ+_45_025_10_2</t>
  </si>
  <si>
    <t>QBPP_HJ+_45_025_10_3</t>
  </si>
  <si>
    <t>QBPP_HJ+_45_025_10_4</t>
  </si>
  <si>
    <t>QBPP_HJ+_45_025_10_5</t>
  </si>
  <si>
    <t>QBPP_HJ+_45_025_20_1</t>
  </si>
  <si>
    <t>QBPP_HJ+_45_025_20_2</t>
  </si>
  <si>
    <t>QBPP_HJ+_45_025_20_3</t>
  </si>
  <si>
    <t>QBPP_HJ+_45_025_20_4</t>
  </si>
  <si>
    <t>QBPP_HJ+_45_025_20_5</t>
  </si>
  <si>
    <t>QBPP_HJ+_45_050_06_1</t>
  </si>
  <si>
    <t>QBPP_HJ+_45_050_06_2</t>
  </si>
  <si>
    <t>QBPP_HJ+_45_050_06_3</t>
  </si>
  <si>
    <t>QBPP_HJ+_45_050_06_4</t>
  </si>
  <si>
    <t>QBPP_HJ+_45_050_06_5</t>
  </si>
  <si>
    <t>QBPP_HJ+_45_050_10_1</t>
  </si>
  <si>
    <t>QBPP_HJ+_45_050_10_2</t>
  </si>
  <si>
    <t>QBPP_HJ+_45_050_10_3</t>
  </si>
  <si>
    <t>QBPP_HJ+_45_050_10_4</t>
  </si>
  <si>
    <t>QBPP_HJ+_45_050_10_5</t>
  </si>
  <si>
    <t>QBPP_HJ+_45_050_20_1</t>
  </si>
  <si>
    <t>QBPP_HJ+_45_050_20_2</t>
  </si>
  <si>
    <t>QBPP_HJ+_45_050_20_3</t>
  </si>
  <si>
    <t>QBPP_HJ+_45_050_20_4</t>
  </si>
  <si>
    <t>QBPP_HJ+_45_050_20_5</t>
  </si>
  <si>
    <t>QBPP_HJ+_45_075_06_1</t>
  </si>
  <si>
    <t>QBPP_HJ+_45_075_06_2</t>
  </si>
  <si>
    <t>QBPP_HJ+_45_075_06_3</t>
  </si>
  <si>
    <t>QBPP_HJ+_45_075_06_4</t>
  </si>
  <si>
    <t>QBPP_HJ+_45_075_06_5</t>
  </si>
  <si>
    <t>QBPP_HJ+_45_075_10_1</t>
  </si>
  <si>
    <t>QBPP_HJ+_45_075_10_2</t>
  </si>
  <si>
    <t>QBPP_HJ+_45_075_10_3</t>
  </si>
  <si>
    <t>QBPP_HJ+_45_075_10_4</t>
  </si>
  <si>
    <t>QBPP_HJ+_45_075_10_5</t>
  </si>
  <si>
    <t>QBPP_HJ+_45_075_20_1</t>
  </si>
  <si>
    <t>QBPP_HJ+_45_075_20_2</t>
  </si>
  <si>
    <t>QBPP_HJ+_45_075_20_3</t>
  </si>
  <si>
    <t>QBPP_HJ+_45_075_20_4</t>
  </si>
  <si>
    <t>QBPP_HJ+_45_075_20_5</t>
  </si>
  <si>
    <t>QBPP_HJ-_25_025_06_1</t>
  </si>
  <si>
    <t>-</t>
  </si>
  <si>
    <t>QBPP_HJ-_25_025_06_2</t>
  </si>
  <si>
    <t>QBPP_HJ-_25_025_06_3</t>
  </si>
  <si>
    <t>QBPP_HJ-_25_025_06_4</t>
  </si>
  <si>
    <t>QBPP_HJ-_25_025_06_5</t>
  </si>
  <si>
    <t>QBPP_HJ-_25_025_10_1</t>
  </si>
  <si>
    <t>QBPP_HJ-_25_025_10_2</t>
  </si>
  <si>
    <t>QBPP_HJ-_25_025_10_3</t>
  </si>
  <si>
    <t>QBPP_HJ-_25_025_10_4</t>
  </si>
  <si>
    <t>QBPP_HJ-_25_025_10_5</t>
  </si>
  <si>
    <t>QBPP_HJ-_25_025_20_1</t>
  </si>
  <si>
    <t>QBPP_HJ-_25_025_20_2</t>
  </si>
  <si>
    <t>QBPP_HJ-_25_025_20_3</t>
  </si>
  <si>
    <t>QBPP_HJ-_25_025_20_4</t>
  </si>
  <si>
    <t>QBPP_HJ-_25_025_20_5</t>
  </si>
  <si>
    <t>QBPP_HJ-_25_050_06_1</t>
  </si>
  <si>
    <t>QBPP_HJ-_25_050_06_2</t>
  </si>
  <si>
    <t>QBPP_HJ-_25_050_06_3</t>
  </si>
  <si>
    <t>QBPP_HJ-_25_050_06_4</t>
  </si>
  <si>
    <t>QBPP_HJ-_25_050_06_5</t>
  </si>
  <si>
    <t>QBPP_HJ-_25_050_10_1</t>
  </si>
  <si>
    <t>QBPP_HJ-_25_050_10_2</t>
  </si>
  <si>
    <t>QBPP_HJ-_25_050_10_3</t>
  </si>
  <si>
    <t>QBPP_HJ-_25_050_10_4</t>
  </si>
  <si>
    <t>QBPP_HJ-_25_050_10_5</t>
  </si>
  <si>
    <t>QBPP_HJ-_25_050_20_1</t>
  </si>
  <si>
    <t>QBPP_HJ-_25_050_20_2</t>
  </si>
  <si>
    <t>QBPP_HJ-_25_050_20_3</t>
  </si>
  <si>
    <t>QBPP_HJ-_25_050_20_4</t>
  </si>
  <si>
    <t>QBPP_HJ-_25_050_20_5</t>
  </si>
  <si>
    <t>QBPP_HJ-_25_075_06_1</t>
  </si>
  <si>
    <t>QBPP_HJ-_25_075_06_2</t>
  </si>
  <si>
    <t>QBPP_HJ-_25_075_06_3</t>
  </si>
  <si>
    <t>QBPP_HJ-_25_075_06_4</t>
  </si>
  <si>
    <t>QBPP_HJ-_25_075_06_5</t>
  </si>
  <si>
    <t>QBPP_HJ-_25_075_10_1</t>
  </si>
  <si>
    <t>QBPP_HJ-_25_075_10_2</t>
  </si>
  <si>
    <t>QBPP_HJ-_25_075_10_3</t>
  </si>
  <si>
    <t>QBPP_HJ-_25_075_10_4</t>
  </si>
  <si>
    <t>QBPP_HJ-_25_075_10_5</t>
  </si>
  <si>
    <t>QBPP_HJ-_25_075_20_1</t>
  </si>
  <si>
    <t>QBPP_HJ-_25_075_20_2</t>
  </si>
  <si>
    <t>QBPP_HJ-_25_075_20_3</t>
  </si>
  <si>
    <t>QBPP_HJ-_25_075_20_4</t>
  </si>
  <si>
    <t>QBPP_HJ-_25_075_20_5</t>
  </si>
  <si>
    <t>QBPP_HJ-_30_025_06_1</t>
  </si>
  <si>
    <t>QBPP_HJ-_30_025_06_2</t>
  </si>
  <si>
    <t>QBPP_HJ-_30_025_06_3</t>
  </si>
  <si>
    <t>QBPP_HJ-_30_025_06_4</t>
  </si>
  <si>
    <t>QBPP_HJ-_30_025_06_5</t>
  </si>
  <si>
    <t>QBPP_HJ-_30_025_10_1</t>
  </si>
  <si>
    <t>QBPP_HJ-_30_025_10_2</t>
  </si>
  <si>
    <t>QBPP_HJ-_30_025_10_3</t>
  </si>
  <si>
    <t>QBPP_HJ-_30_025_10_4</t>
  </si>
  <si>
    <t>QBPP_HJ-_30_025_10_5</t>
  </si>
  <si>
    <t>QBPP_HJ-_30_025_20_1</t>
  </si>
  <si>
    <t>QBPP_HJ-_30_025_20_2</t>
  </si>
  <si>
    <t>QBPP_HJ-_30_025_20_3</t>
  </si>
  <si>
    <t>QBPP_HJ-_30_025_20_4</t>
  </si>
  <si>
    <t>QBPP_HJ-_30_025_20_5</t>
  </si>
  <si>
    <t>QBPP_HJ-_30_050_06_1</t>
  </si>
  <si>
    <t>QBPP_HJ-_30_050_06_2</t>
  </si>
  <si>
    <t>QBPP_HJ-_30_050_06_3</t>
  </si>
  <si>
    <t>QBPP_HJ-_30_050_06_4</t>
  </si>
  <si>
    <t>QBPP_HJ-_30_050_06_5</t>
  </si>
  <si>
    <t>QBPP_HJ-_30_050_10_1</t>
  </si>
  <si>
    <t>QBPP_HJ-_30_050_10_2</t>
  </si>
  <si>
    <t>QBPP_HJ-_30_050_10_3</t>
  </si>
  <si>
    <t>QBPP_HJ-_30_050_10_4</t>
  </si>
  <si>
    <t>QBPP_HJ-_30_050_10_5</t>
  </si>
  <si>
    <t>QBPP_HJ-_30_050_20_1</t>
  </si>
  <si>
    <t>QBPP_HJ-_30_050_20_2</t>
  </si>
  <si>
    <t>QBPP_HJ-_30_050_20_3</t>
  </si>
  <si>
    <t>QBPP_HJ-_30_050_20_4</t>
  </si>
  <si>
    <t>QBPP_HJ-_30_050_20_5</t>
  </si>
  <si>
    <t>QBPP_HJ-_30_075_06_1</t>
  </si>
  <si>
    <t>QBPP_HJ-_30_075_06_2</t>
  </si>
  <si>
    <t>QBPP_HJ-_30_075_06_3</t>
  </si>
  <si>
    <t>QBPP_HJ-_30_075_06_4</t>
  </si>
  <si>
    <t>QBPP_HJ-_30_075_06_5</t>
  </si>
  <si>
    <t>QBPP_HJ-_30_075_10_1</t>
  </si>
  <si>
    <t>QBPP_HJ-_30_075_10_2</t>
  </si>
  <si>
    <t>QBPP_HJ-_30_075_10_3</t>
  </si>
  <si>
    <t>QBPP_HJ-_30_075_10_4</t>
  </si>
  <si>
    <t>QBPP_HJ-_30_075_10_5</t>
  </si>
  <si>
    <t>QBPP_HJ-_30_075_20_1</t>
  </si>
  <si>
    <t>QBPP_HJ-_30_075_20_2</t>
  </si>
  <si>
    <t>QBPP_HJ-_30_075_20_3</t>
  </si>
  <si>
    <t>QBPP_HJ-_30_075_20_4</t>
  </si>
  <si>
    <t>QBPP_HJ-_30_075_20_5</t>
  </si>
  <si>
    <t>QBPP_HJ-_35_025_06_1</t>
  </si>
  <si>
    <t>QBPP_HJ-_35_025_06_2</t>
  </si>
  <si>
    <t>QBPP_HJ-_35_025_06_3</t>
  </si>
  <si>
    <t>QBPP_HJ-_35_025_06_4</t>
  </si>
  <si>
    <t>QBPP_HJ-_35_025_06_5</t>
  </si>
  <si>
    <t>QBPP_HJ-_35_025_10_1</t>
  </si>
  <si>
    <t>QBPP_HJ-_35_025_10_2</t>
  </si>
  <si>
    <t>QBPP_HJ-_35_025_10_3</t>
  </si>
  <si>
    <t>QBPP_HJ-_35_025_10_4</t>
  </si>
  <si>
    <t>QBPP_HJ-_35_025_10_5</t>
  </si>
  <si>
    <t>QBPP_HJ-_35_025_20_1</t>
  </si>
  <si>
    <t>QBPP_HJ-_35_025_20_2</t>
  </si>
  <si>
    <t>QBPP_HJ-_35_025_20_3</t>
  </si>
  <si>
    <t>QBPP_HJ-_35_025_20_4</t>
  </si>
  <si>
    <t>QBPP_HJ-_35_025_20_5</t>
  </si>
  <si>
    <t>QBPP_HJ-_35_050_06_1</t>
  </si>
  <si>
    <t>QBPP_HJ-_35_050_06_2</t>
  </si>
  <si>
    <t>QBPP_HJ-_35_050_06_3</t>
  </si>
  <si>
    <t>QBPP_HJ-_35_050_06_4</t>
  </si>
  <si>
    <t>QBPP_HJ-_35_050_06_5</t>
  </si>
  <si>
    <t>QBPP_HJ-_35_050_10_1</t>
  </si>
  <si>
    <t>QBPP_HJ-_35_050_10_2</t>
  </si>
  <si>
    <t>QBPP_HJ-_35_050_10_3</t>
  </si>
  <si>
    <t>QBPP_HJ-_35_050_10_4</t>
  </si>
  <si>
    <t>QBPP_HJ-_35_050_10_5</t>
  </si>
  <si>
    <t>QBPP_HJ-_35_050_20_1</t>
  </si>
  <si>
    <t>QBPP_HJ-_35_050_20_2</t>
  </si>
  <si>
    <t>QBPP_HJ-_35_050_20_3</t>
  </si>
  <si>
    <t>QBPP_HJ-_35_050_20_4</t>
  </si>
  <si>
    <t>QBPP_HJ-_35_050_20_5</t>
  </si>
  <si>
    <t>QBPP_HJ-_35_075_06_1</t>
  </si>
  <si>
    <t>QBPP_HJ-_35_075_06_2</t>
  </si>
  <si>
    <t>QBPP_HJ-_35_075_06_3</t>
  </si>
  <si>
    <t>QBPP_HJ-_35_075_06_4</t>
  </si>
  <si>
    <t>QBPP_HJ-_35_075_06_5</t>
  </si>
  <si>
    <t>QBPP_HJ-_35_075_10_1</t>
  </si>
  <si>
    <t>QBPP_HJ-_35_075_10_2</t>
  </si>
  <si>
    <t>QBPP_HJ-_35_075_10_3</t>
  </si>
  <si>
    <t>QBPP_HJ-_35_075_10_4</t>
  </si>
  <si>
    <t>QBPP_HJ-_35_075_10_5</t>
  </si>
  <si>
    <t>QBPP_HJ-_35_075_20_1</t>
  </si>
  <si>
    <t>QBPP_HJ-_35_075_20_2</t>
  </si>
  <si>
    <t>QBPP_HJ-_35_075_20_3</t>
  </si>
  <si>
    <t>QBPP_HJ-_35_075_20_4</t>
  </si>
  <si>
    <t>QBPP_HJ-_35_075_20_5</t>
  </si>
  <si>
    <t>QBPP_HJ-_40_025_06_1</t>
  </si>
  <si>
    <t>QBPP_HJ-_40_025_06_2</t>
  </si>
  <si>
    <t>QBPP_HJ-_40_025_06_3</t>
  </si>
  <si>
    <t>QBPP_HJ-_40_025_06_4</t>
  </si>
  <si>
    <t>QBPP_HJ-_40_025_06_5</t>
  </si>
  <si>
    <t>QBPP_HJ-_40_025_10_1</t>
  </si>
  <si>
    <t>QBPP_HJ-_40_025_10_2</t>
  </si>
  <si>
    <t>QBPP_HJ-_40_025_10_3</t>
  </si>
  <si>
    <t>QBPP_HJ-_40_025_10_4</t>
  </si>
  <si>
    <t>QBPP_HJ-_40_025_10_5</t>
  </si>
  <si>
    <t>QBPP_HJ-_40_025_20_1</t>
  </si>
  <si>
    <t>QBPP_HJ-_40_025_20_2</t>
  </si>
  <si>
    <t>QBPP_HJ-_40_025_20_3</t>
  </si>
  <si>
    <t>QBPP_HJ-_40_025_20_4</t>
  </si>
  <si>
    <t>QBPP_HJ-_40_025_20_5</t>
  </si>
  <si>
    <t>QBPP_HJ-_40_050_06_1</t>
  </si>
  <si>
    <t>QBPP_HJ-_40_050_06_2</t>
  </si>
  <si>
    <t>QBPP_HJ-_40_050_06_3</t>
  </si>
  <si>
    <t>QBPP_HJ-_40_050_06_4</t>
  </si>
  <si>
    <t>QBPP_HJ-_40_050_06_5</t>
  </si>
  <si>
    <t>QBPP_HJ-_40_050_10_1</t>
  </si>
  <si>
    <t>QBPP_HJ-_40_050_10_2</t>
  </si>
  <si>
    <t>QBPP_HJ-_40_050_10_3</t>
  </si>
  <si>
    <t>QBPP_HJ-_40_050_10_4</t>
  </si>
  <si>
    <t>QBPP_HJ-_40_050_10_5</t>
  </si>
  <si>
    <t>QBPP_HJ-_40_050_20_1</t>
  </si>
  <si>
    <t>QBPP_HJ-_40_050_20_2</t>
  </si>
  <si>
    <t>QBPP_HJ-_40_050_20_3</t>
  </si>
  <si>
    <t>QBPP_HJ-_40_050_20_4</t>
  </si>
  <si>
    <t>QBPP_HJ-_40_050_20_5</t>
  </si>
  <si>
    <t>QBPP_HJ-_40_075_06_1</t>
  </si>
  <si>
    <t>QBPP_HJ-_40_075_06_2</t>
  </si>
  <si>
    <t>QBPP_HJ-_40_075_06_3</t>
  </si>
  <si>
    <t>QBPP_HJ-_40_075_06_4</t>
  </si>
  <si>
    <t>QBPP_HJ-_40_075_06_5</t>
  </si>
  <si>
    <t>QBPP_HJ-_40_075_10_1</t>
  </si>
  <si>
    <t>QBPP_HJ-_40_075_10_2</t>
  </si>
  <si>
    <t>QBPP_HJ-_40_075_10_3</t>
  </si>
  <si>
    <t>QBPP_HJ-_40_075_10_4</t>
  </si>
  <si>
    <t>QBPP_HJ-_40_075_10_5</t>
  </si>
  <si>
    <t>QBPP_HJ-_40_075_20_1</t>
  </si>
  <si>
    <t>QBPP_HJ-_40_075_20_2</t>
  </si>
  <si>
    <t>QBPP_HJ-_40_075_20_3</t>
  </si>
  <si>
    <t>QBPP_HJ-_40_075_20_4</t>
  </si>
  <si>
    <t>QBPP_HJ-_40_075_20_5</t>
  </si>
  <si>
    <t>QBPP_HJ-_45_025_06_1</t>
  </si>
  <si>
    <t>QBPP_HJ-_45_025_06_2</t>
  </si>
  <si>
    <t>QBPP_HJ-_45_025_06_3</t>
  </si>
  <si>
    <t>QBPP_HJ-_45_025_06_4</t>
  </si>
  <si>
    <t>QBPP_HJ-_45_025_06_5</t>
  </si>
  <si>
    <t>QBPP_HJ-_45_025_10_1</t>
  </si>
  <si>
    <t>QBPP_HJ-_45_025_10_2</t>
  </si>
  <si>
    <t>QBPP_HJ-_45_025_10_3</t>
  </si>
  <si>
    <t>QBPP_HJ-_45_025_10_4</t>
  </si>
  <si>
    <t>QBPP_HJ-_45_025_10_5</t>
  </si>
  <si>
    <t>QBPP_HJ-_45_025_20_1</t>
  </si>
  <si>
    <t>QBPP_HJ-_45_025_20_2</t>
  </si>
  <si>
    <t>QBPP_HJ-_45_025_20_3</t>
  </si>
  <si>
    <t>QBPP_HJ-_45_025_20_4</t>
  </si>
  <si>
    <t>QBPP_HJ-_45_025_20_5</t>
  </si>
  <si>
    <t>QBPP_HJ-_45_050_06_1</t>
  </si>
  <si>
    <t>QBPP_HJ-_45_050_06_2</t>
  </si>
  <si>
    <t>QBPP_HJ-_45_050_06_3</t>
  </si>
  <si>
    <t>QBPP_HJ-_45_050_06_4</t>
  </si>
  <si>
    <t>QBPP_HJ-_45_050_06_5</t>
  </si>
  <si>
    <t>QBPP_HJ-_45_050_10_1</t>
  </si>
  <si>
    <t>QBPP_HJ-_45_050_10_2</t>
  </si>
  <si>
    <t>QBPP_HJ-_45_050_10_3</t>
  </si>
  <si>
    <t>QBPP_HJ-_45_050_10_4</t>
  </si>
  <si>
    <t>QBPP_HJ-_45_050_10_5</t>
  </si>
  <si>
    <t>QBPP_HJ-_45_050_20_1</t>
  </si>
  <si>
    <t>QBPP_HJ-_45_050_20_2</t>
  </si>
  <si>
    <t>QBPP_HJ-_45_050_20_3</t>
  </si>
  <si>
    <t>QBPP_HJ-_45_050_20_4</t>
  </si>
  <si>
    <t>QBPP_HJ-_45_050_20_5</t>
  </si>
  <si>
    <t>QBPP_HJ-_45_075_06_1</t>
  </si>
  <si>
    <t>QBPP_HJ-_45_075_06_2</t>
  </si>
  <si>
    <t>QBPP_HJ-_45_075_06_3</t>
  </si>
  <si>
    <t>QBPP_HJ-_45_075_06_4</t>
  </si>
  <si>
    <t>QBPP_HJ-_45_075_06_5</t>
  </si>
  <si>
    <t>QBPP_HJ-_45_075_10_1</t>
  </si>
  <si>
    <t>QBPP_HJ-_45_075_10_2</t>
  </si>
  <si>
    <t>QBPP_HJ-_45_075_10_3</t>
  </si>
  <si>
    <t>QBPP_HJ-_45_075_10_4</t>
  </si>
  <si>
    <t>QBPP_HJ-_45_075_10_5</t>
  </si>
  <si>
    <t>QBPP_HJ-_45_075_20_1</t>
  </si>
  <si>
    <t>QBPP_HJ-_45_075_20_2</t>
  </si>
  <si>
    <t>QBPP_HJ-_45_075_20_3</t>
  </si>
  <si>
    <t>QBPP_HJ-_45_075_20_4</t>
  </si>
  <si>
    <t>QBPP_HJ-_45_075_20_5</t>
  </si>
  <si>
    <t>FGW</t>
  </si>
  <si>
    <t>OPT</t>
  </si>
  <si>
    <t>TLE</t>
  </si>
  <si>
    <t>MLE</t>
  </si>
  <si>
    <t>root UB</t>
  </si>
  <si>
    <t>root LB</t>
  </si>
  <si>
    <t>best primal</t>
  </si>
  <si>
    <t>best dual</t>
  </si>
  <si>
    <t>gap</t>
  </si>
  <si>
    <t>runtime</t>
  </si>
  <si>
    <t>FGW+SB</t>
  </si>
  <si>
    <t>EFGW</t>
  </si>
  <si>
    <t>2A</t>
  </si>
  <si>
    <t>2A+SB</t>
  </si>
  <si>
    <t>E2A</t>
  </si>
  <si>
    <t>R</t>
  </si>
  <si>
    <t>ER</t>
  </si>
  <si>
    <t>BP(1,1)</t>
  </si>
  <si>
    <t>BP(5,10)</t>
  </si>
  <si>
    <t>Instances</t>
  </si>
  <si>
    <t>F_FGW+sym.br.</t>
  </si>
  <si>
    <t>F_EFGW</t>
  </si>
  <si>
    <t>F_2A</t>
  </si>
  <si>
    <t>F_2A+sym.br.</t>
  </si>
  <si>
    <t>F_E2A</t>
  </si>
  <si>
    <t>F_R</t>
  </si>
  <si>
    <t>F_ER</t>
  </si>
  <si>
    <t>#</t>
  </si>
  <si>
    <t>solved</t>
  </si>
  <si>
    <t>avg. gap</t>
  </si>
  <si>
    <t>avg. runtime</t>
  </si>
  <si>
    <t>~*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</si>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</sst>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0" fillId="0" fontId="3" numFmtId="165" xfId="0" applyFont="1" applyNumberFormat="1"/>
    <xf borderId="4" fillId="0" fontId="4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4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165" xfId="0" applyAlignment="1" applyFont="1" applyNumberFormat="1">
      <alignment horizontal="right"/>
    </xf>
    <xf quotePrefix="1" borderId="4" fillId="0" fontId="4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horizontal="center"/>
    </xf>
    <xf borderId="4" fillId="0" fontId="1" numFmtId="165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right" readingOrder="0" vertical="bottom"/>
    </xf>
    <xf borderId="4" fillId="0" fontId="4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165" xfId="0" applyAlignment="1" applyFont="1" applyNumberForma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2" fontId="3" numFmtId="0" xfId="0" applyFont="1"/>
    <xf borderId="0" fillId="2" fontId="3" numFmtId="165" xfId="0" applyFont="1" applyNumberFormat="1"/>
    <xf borderId="0" fillId="3" fontId="3" numFmtId="0" xfId="0" applyFont="1"/>
    <xf borderId="0" fillId="3" fontId="3" numFmtId="165" xfId="0" applyFont="1" applyNumberFormat="1"/>
    <xf quotePrefix="1" borderId="0" fillId="0" fontId="3" numFmtId="0" xfId="0" applyAlignment="1" applyFont="1">
      <alignment horizontal="center" readingOrder="0"/>
    </xf>
    <xf borderId="0" fillId="2" fontId="1" numFmtId="0" xfId="0" applyFont="1"/>
    <xf borderId="0" fillId="2" fontId="1" numFmtId="165" xfId="0" applyFont="1" applyNumberFormat="1"/>
    <xf borderId="0" fillId="0" fontId="1" numFmtId="0" xfId="0" applyFont="1"/>
    <xf borderId="0" fillId="0" fontId="1" numFmtId="165" xfId="0" applyFont="1" applyNumberFormat="1"/>
    <xf borderId="0" fillId="3" fontId="1" numFmtId="0" xfId="0" applyFont="1"/>
    <xf borderId="0" fillId="3" fontId="1" numFmtId="165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4"/>
      <c r="H2" s="4"/>
      <c r="I2" s="4"/>
      <c r="J2" s="4"/>
      <c r="K2" s="7"/>
      <c r="L2" s="4"/>
      <c r="M2" s="7"/>
      <c r="N2" s="7"/>
      <c r="O2" s="7"/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4"/>
      <c r="H3" s="4"/>
      <c r="I3" s="4"/>
      <c r="J3" s="4"/>
      <c r="K3" s="7"/>
      <c r="L3" s="4"/>
      <c r="M3" s="7"/>
      <c r="N3" s="7"/>
      <c r="O3" s="7"/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4"/>
      <c r="H4" s="4"/>
      <c r="I4" s="4"/>
      <c r="J4" s="4"/>
      <c r="K4" s="7"/>
      <c r="L4" s="4"/>
      <c r="M4" s="7"/>
      <c r="N4" s="7"/>
      <c r="O4" s="7"/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4"/>
      <c r="H5" s="4"/>
      <c r="I5" s="4"/>
      <c r="J5" s="4"/>
      <c r="K5" s="7"/>
      <c r="L5" s="4"/>
      <c r="M5" s="7"/>
      <c r="N5" s="7"/>
      <c r="O5" s="7"/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4"/>
      <c r="H6" s="4"/>
      <c r="I6" s="4"/>
      <c r="J6" s="4"/>
      <c r="K6" s="7"/>
      <c r="L6" s="4"/>
      <c r="M6" s="7"/>
      <c r="N6" s="7"/>
      <c r="O6" s="7"/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4"/>
      <c r="H7" s="4"/>
      <c r="I7" s="4"/>
      <c r="J7" s="4"/>
      <c r="K7" s="7"/>
      <c r="L7" s="4"/>
      <c r="M7" s="7"/>
      <c r="N7" s="7"/>
      <c r="O7" s="7"/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4"/>
      <c r="H8" s="4"/>
      <c r="I8" s="4"/>
      <c r="J8" s="4"/>
      <c r="K8" s="7"/>
      <c r="L8" s="4"/>
      <c r="M8" s="7"/>
      <c r="N8" s="7"/>
      <c r="O8" s="7"/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4"/>
      <c r="H9" s="4"/>
      <c r="I9" s="4"/>
      <c r="J9" s="4"/>
      <c r="K9" s="7"/>
      <c r="L9" s="4"/>
      <c r="M9" s="7"/>
      <c r="N9" s="7"/>
      <c r="O9" s="7"/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4"/>
      <c r="H10" s="4"/>
      <c r="I10" s="4"/>
      <c r="J10" s="4"/>
      <c r="K10" s="7"/>
      <c r="L10" s="4"/>
      <c r="M10" s="7"/>
      <c r="N10" s="7"/>
      <c r="O10" s="7"/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4"/>
      <c r="H11" s="4"/>
      <c r="I11" s="4"/>
      <c r="J11" s="4"/>
      <c r="K11" s="7"/>
      <c r="L11" s="4"/>
      <c r="M11" s="7"/>
      <c r="N11" s="7"/>
      <c r="O11" s="7"/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4"/>
      <c r="H12" s="4"/>
      <c r="I12" s="4"/>
      <c r="J12" s="4"/>
      <c r="K12" s="7"/>
      <c r="L12" s="4"/>
      <c r="M12" s="7"/>
      <c r="N12" s="7"/>
      <c r="O12" s="7"/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4"/>
      <c r="H13" s="4"/>
      <c r="I13" s="4"/>
      <c r="J13" s="4"/>
      <c r="K13" s="7"/>
      <c r="L13" s="4"/>
      <c r="M13" s="7"/>
      <c r="N13" s="7"/>
      <c r="O13" s="7"/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4"/>
      <c r="H14" s="4"/>
      <c r="I14" s="4"/>
      <c r="J14" s="4"/>
      <c r="K14" s="7"/>
      <c r="L14" s="4"/>
      <c r="M14" s="7"/>
      <c r="N14" s="7"/>
      <c r="O14" s="7"/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4"/>
      <c r="H15" s="4"/>
      <c r="I15" s="4"/>
      <c r="J15" s="4"/>
      <c r="K15" s="7"/>
      <c r="L15" s="4"/>
      <c r="M15" s="7"/>
      <c r="N15" s="7"/>
      <c r="O15" s="7"/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4"/>
      <c r="H16" s="4"/>
      <c r="I16" s="4"/>
      <c r="J16" s="4"/>
      <c r="K16" s="7"/>
      <c r="L16" s="4"/>
      <c r="M16" s="7"/>
      <c r="N16" s="7"/>
      <c r="O16" s="7"/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4"/>
      <c r="H17" s="4"/>
      <c r="I17" s="4"/>
      <c r="J17" s="4"/>
      <c r="K17" s="7"/>
      <c r="L17" s="4"/>
      <c r="M17" s="7"/>
      <c r="N17" s="7"/>
      <c r="O17" s="7"/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4"/>
      <c r="H18" s="4"/>
      <c r="I18" s="4"/>
      <c r="J18" s="4"/>
      <c r="K18" s="7"/>
      <c r="L18" s="4"/>
      <c r="M18" s="7"/>
      <c r="N18" s="7"/>
      <c r="O18" s="7"/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4"/>
      <c r="H19" s="4"/>
      <c r="I19" s="4"/>
      <c r="J19" s="4"/>
      <c r="K19" s="7"/>
      <c r="L19" s="4"/>
      <c r="M19" s="7"/>
      <c r="N19" s="7"/>
      <c r="O19" s="7"/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4"/>
      <c r="H20" s="4"/>
      <c r="I20" s="4"/>
      <c r="J20" s="4"/>
      <c r="K20" s="7"/>
      <c r="L20" s="4"/>
      <c r="M20" s="7"/>
      <c r="N20" s="7"/>
      <c r="O20" s="7"/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4"/>
      <c r="H21" s="4"/>
      <c r="I21" s="4"/>
      <c r="J21" s="4"/>
      <c r="K21" s="7"/>
      <c r="L21" s="4"/>
      <c r="M21" s="7"/>
      <c r="N21" s="7"/>
      <c r="O21" s="7"/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4"/>
      <c r="H22" s="4"/>
      <c r="I22" s="4"/>
      <c r="J22" s="4"/>
      <c r="K22" s="7"/>
      <c r="L22" s="4"/>
      <c r="M22" s="7"/>
      <c r="N22" s="7"/>
      <c r="O22" s="7"/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4"/>
      <c r="H23" s="4"/>
      <c r="I23" s="4"/>
      <c r="J23" s="4"/>
      <c r="K23" s="7"/>
      <c r="L23" s="4"/>
      <c r="M23" s="7"/>
      <c r="N23" s="7"/>
      <c r="O23" s="7"/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4"/>
      <c r="H24" s="4"/>
      <c r="I24" s="4"/>
      <c r="J24" s="4"/>
      <c r="K24" s="7"/>
      <c r="L24" s="4"/>
      <c r="M24" s="7"/>
      <c r="N24" s="7"/>
      <c r="O24" s="7"/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4"/>
      <c r="H25" s="4"/>
      <c r="I25" s="4"/>
      <c r="J25" s="4"/>
      <c r="K25" s="7"/>
      <c r="L25" s="4"/>
      <c r="M25" s="7"/>
      <c r="N25" s="7"/>
      <c r="O25" s="7"/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4"/>
      <c r="H26" s="4"/>
      <c r="I26" s="4"/>
      <c r="J26" s="4"/>
      <c r="K26" s="7"/>
      <c r="L26" s="4"/>
      <c r="M26" s="7"/>
      <c r="N26" s="7"/>
      <c r="O26" s="7"/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4"/>
      <c r="H27" s="4"/>
      <c r="I27" s="4"/>
      <c r="J27" s="4"/>
      <c r="K27" s="7"/>
      <c r="L27" s="4"/>
      <c r="M27" s="7"/>
      <c r="N27" s="7"/>
      <c r="O27" s="7"/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4"/>
      <c r="H28" s="4"/>
      <c r="I28" s="4"/>
      <c r="J28" s="4"/>
      <c r="K28" s="7"/>
      <c r="L28" s="4"/>
      <c r="M28" s="7"/>
      <c r="N28" s="7"/>
      <c r="O28" s="7"/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4"/>
      <c r="H29" s="4"/>
      <c r="I29" s="4"/>
      <c r="J29" s="4"/>
      <c r="K29" s="7"/>
      <c r="L29" s="4"/>
      <c r="M29" s="7"/>
      <c r="N29" s="7"/>
      <c r="O29" s="7"/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4"/>
      <c r="H30" s="4"/>
      <c r="I30" s="4"/>
      <c r="J30" s="4"/>
      <c r="K30" s="7"/>
      <c r="L30" s="4"/>
      <c r="M30" s="7"/>
      <c r="N30" s="7"/>
      <c r="O30" s="7"/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4"/>
      <c r="H31" s="4"/>
      <c r="I31" s="4"/>
      <c r="J31" s="4"/>
      <c r="K31" s="7"/>
      <c r="L31" s="4"/>
      <c r="M31" s="7"/>
      <c r="N31" s="7"/>
      <c r="O31" s="7"/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4"/>
      <c r="H32" s="4"/>
      <c r="I32" s="4"/>
      <c r="J32" s="4"/>
      <c r="K32" s="7"/>
      <c r="L32" s="4"/>
      <c r="M32" s="7"/>
      <c r="N32" s="7"/>
      <c r="O32" s="7"/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4"/>
      <c r="H33" s="4"/>
      <c r="I33" s="4"/>
      <c r="J33" s="4"/>
      <c r="K33" s="7"/>
      <c r="L33" s="4"/>
      <c r="M33" s="7"/>
      <c r="N33" s="7"/>
      <c r="O33" s="7"/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4"/>
      <c r="H34" s="4"/>
      <c r="I34" s="4"/>
      <c r="J34" s="4"/>
      <c r="K34" s="7"/>
      <c r="L34" s="4"/>
      <c r="M34" s="7"/>
      <c r="N34" s="7"/>
      <c r="O34" s="7"/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4"/>
      <c r="H35" s="4"/>
      <c r="I35" s="4"/>
      <c r="J35" s="4"/>
      <c r="K35" s="7"/>
      <c r="L35" s="4"/>
      <c r="M35" s="7"/>
      <c r="N35" s="7"/>
      <c r="O35" s="7"/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4"/>
      <c r="H36" s="4"/>
      <c r="I36" s="4"/>
      <c r="J36" s="4"/>
      <c r="K36" s="7"/>
      <c r="L36" s="4"/>
      <c r="M36" s="7"/>
      <c r="N36" s="7"/>
      <c r="O36" s="7"/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4"/>
      <c r="H37" s="4"/>
      <c r="I37" s="4"/>
      <c r="J37" s="4"/>
      <c r="K37" s="7"/>
      <c r="L37" s="4"/>
      <c r="M37" s="7"/>
      <c r="N37" s="7"/>
      <c r="O37" s="7"/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4"/>
      <c r="H38" s="4"/>
      <c r="I38" s="4"/>
      <c r="J38" s="4"/>
      <c r="K38" s="7"/>
      <c r="L38" s="4"/>
      <c r="M38" s="7"/>
      <c r="N38" s="7"/>
      <c r="O38" s="7"/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4"/>
      <c r="H39" s="4"/>
      <c r="I39" s="4"/>
      <c r="J39" s="4"/>
      <c r="K39" s="7"/>
      <c r="L39" s="4"/>
      <c r="M39" s="7"/>
      <c r="N39" s="7"/>
      <c r="O39" s="7"/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4"/>
      <c r="H40" s="4"/>
      <c r="I40" s="4"/>
      <c r="J40" s="4"/>
      <c r="K40" s="7"/>
      <c r="L40" s="4"/>
      <c r="M40" s="7"/>
      <c r="N40" s="7"/>
      <c r="O40" s="7"/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4"/>
      <c r="H41" s="4"/>
      <c r="I41" s="4"/>
      <c r="J41" s="4"/>
      <c r="K41" s="7"/>
      <c r="L41" s="4"/>
      <c r="M41" s="7"/>
      <c r="N41" s="7"/>
      <c r="O41" s="7"/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4"/>
      <c r="H42" s="4"/>
      <c r="I42" s="4"/>
      <c r="J42" s="4"/>
      <c r="K42" s="7"/>
      <c r="L42" s="4"/>
      <c r="M42" s="7"/>
      <c r="N42" s="7"/>
      <c r="O42" s="7"/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4"/>
      <c r="H43" s="4"/>
      <c r="I43" s="4"/>
      <c r="J43" s="4"/>
      <c r="K43" s="7"/>
      <c r="L43" s="4"/>
      <c r="M43" s="7"/>
      <c r="N43" s="7"/>
      <c r="O43" s="7"/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4"/>
      <c r="H44" s="4"/>
      <c r="I44" s="4"/>
      <c r="J44" s="4"/>
      <c r="K44" s="7"/>
      <c r="L44" s="4"/>
      <c r="M44" s="7"/>
      <c r="N44" s="7"/>
      <c r="O44" s="7"/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4"/>
      <c r="H45" s="4"/>
      <c r="I45" s="4"/>
      <c r="J45" s="4"/>
      <c r="K45" s="7"/>
      <c r="L45" s="4"/>
      <c r="M45" s="7"/>
      <c r="N45" s="7"/>
      <c r="O45" s="7"/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4"/>
      <c r="H46" s="4"/>
      <c r="I46" s="4"/>
      <c r="J46" s="4"/>
      <c r="K46" s="7"/>
      <c r="L46" s="4"/>
      <c r="M46" s="7"/>
      <c r="N46" s="7"/>
      <c r="O46" s="7"/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4"/>
      <c r="H47" s="4"/>
      <c r="I47" s="4"/>
      <c r="J47" s="4"/>
      <c r="K47" s="7"/>
      <c r="L47" s="4"/>
      <c r="M47" s="7"/>
      <c r="N47" s="7"/>
      <c r="O47" s="7"/>
    </row>
    <row r="48">
      <c r="A48" s="8" t="s">
        <v>53</v>
      </c>
      <c r="B48" s="9">
        <v>30.0</v>
      </c>
      <c r="C48" s="9" t="s">
        <v>8</v>
      </c>
      <c r="D48" s="9">
        <v>25.0</v>
      </c>
      <c r="E48" s="10">
        <v>0.6</v>
      </c>
      <c r="F48" s="9">
        <v>1.0</v>
      </c>
      <c r="G48" s="4"/>
      <c r="H48" s="4"/>
      <c r="I48" s="4"/>
      <c r="J48" s="4"/>
      <c r="K48" s="7"/>
      <c r="L48" s="4"/>
      <c r="M48" s="7"/>
      <c r="N48" s="7"/>
      <c r="O48" s="7"/>
    </row>
    <row r="49">
      <c r="A49" s="8" t="s">
        <v>54</v>
      </c>
      <c r="B49" s="9">
        <v>30.0</v>
      </c>
      <c r="C49" s="9" t="s">
        <v>8</v>
      </c>
      <c r="D49" s="9">
        <v>25.0</v>
      </c>
      <c r="E49" s="10">
        <v>0.6</v>
      </c>
      <c r="F49" s="9">
        <v>2.0</v>
      </c>
      <c r="G49" s="4"/>
      <c r="H49" s="4"/>
      <c r="I49" s="4"/>
      <c r="J49" s="4"/>
      <c r="K49" s="7"/>
      <c r="L49" s="4"/>
      <c r="M49" s="7"/>
      <c r="N49" s="7"/>
      <c r="O49" s="7"/>
    </row>
    <row r="50">
      <c r="A50" s="8" t="s">
        <v>55</v>
      </c>
      <c r="B50" s="9">
        <v>30.0</v>
      </c>
      <c r="C50" s="9" t="s">
        <v>8</v>
      </c>
      <c r="D50" s="9">
        <v>25.0</v>
      </c>
      <c r="E50" s="10">
        <v>0.6</v>
      </c>
      <c r="F50" s="9">
        <v>3.0</v>
      </c>
      <c r="G50" s="4"/>
      <c r="H50" s="4"/>
      <c r="I50" s="4"/>
      <c r="J50" s="4"/>
      <c r="K50" s="7"/>
      <c r="L50" s="4"/>
      <c r="M50" s="7"/>
      <c r="N50" s="7"/>
      <c r="O50" s="7"/>
    </row>
    <row r="51">
      <c r="A51" s="8" t="s">
        <v>56</v>
      </c>
      <c r="B51" s="9">
        <v>30.0</v>
      </c>
      <c r="C51" s="9" t="s">
        <v>8</v>
      </c>
      <c r="D51" s="9">
        <v>25.0</v>
      </c>
      <c r="E51" s="10">
        <v>0.6</v>
      </c>
      <c r="F51" s="9">
        <v>4.0</v>
      </c>
      <c r="G51" s="4"/>
      <c r="H51" s="4"/>
      <c r="I51" s="4"/>
      <c r="J51" s="4"/>
      <c r="K51" s="7"/>
      <c r="L51" s="4"/>
      <c r="M51" s="7"/>
      <c r="N51" s="7"/>
      <c r="O51" s="7"/>
    </row>
    <row r="52">
      <c r="A52" s="8" t="s">
        <v>57</v>
      </c>
      <c r="B52" s="9">
        <v>30.0</v>
      </c>
      <c r="C52" s="9" t="s">
        <v>8</v>
      </c>
      <c r="D52" s="9">
        <v>25.0</v>
      </c>
      <c r="E52" s="10">
        <v>0.6</v>
      </c>
      <c r="F52" s="9">
        <v>5.0</v>
      </c>
      <c r="G52" s="4"/>
      <c r="H52" s="4"/>
      <c r="I52" s="4"/>
      <c r="J52" s="4"/>
      <c r="K52" s="7"/>
      <c r="L52" s="4"/>
      <c r="M52" s="7"/>
      <c r="N52" s="7"/>
      <c r="O52" s="7"/>
    </row>
    <row r="53">
      <c r="A53" s="8" t="s">
        <v>58</v>
      </c>
      <c r="B53" s="9">
        <v>30.0</v>
      </c>
      <c r="C53" s="9" t="s">
        <v>8</v>
      </c>
      <c r="D53" s="9">
        <v>25.0</v>
      </c>
      <c r="E53" s="10">
        <v>1.0</v>
      </c>
      <c r="F53" s="9">
        <v>1.0</v>
      </c>
      <c r="G53" s="4"/>
      <c r="H53" s="4"/>
      <c r="I53" s="4"/>
      <c r="J53" s="4"/>
      <c r="K53" s="7"/>
      <c r="L53" s="4"/>
      <c r="M53" s="7"/>
      <c r="N53" s="7"/>
      <c r="O53" s="7"/>
    </row>
    <row r="54">
      <c r="A54" s="8" t="s">
        <v>59</v>
      </c>
      <c r="B54" s="9">
        <v>30.0</v>
      </c>
      <c r="C54" s="9" t="s">
        <v>8</v>
      </c>
      <c r="D54" s="9">
        <v>25.0</v>
      </c>
      <c r="E54" s="10">
        <v>1.0</v>
      </c>
      <c r="F54" s="9">
        <v>2.0</v>
      </c>
      <c r="G54" s="4"/>
      <c r="H54" s="4"/>
      <c r="I54" s="4"/>
      <c r="J54" s="4"/>
      <c r="K54" s="7"/>
      <c r="L54" s="4"/>
      <c r="M54" s="7"/>
      <c r="N54" s="7"/>
      <c r="O54" s="7"/>
    </row>
    <row r="55">
      <c r="A55" s="8" t="s">
        <v>60</v>
      </c>
      <c r="B55" s="9">
        <v>30.0</v>
      </c>
      <c r="C55" s="9" t="s">
        <v>8</v>
      </c>
      <c r="D55" s="9">
        <v>25.0</v>
      </c>
      <c r="E55" s="10">
        <v>1.0</v>
      </c>
      <c r="F55" s="9">
        <v>3.0</v>
      </c>
      <c r="G55" s="4"/>
      <c r="H55" s="4"/>
      <c r="I55" s="4"/>
      <c r="J55" s="4"/>
      <c r="K55" s="7"/>
      <c r="L55" s="4"/>
      <c r="M55" s="7"/>
      <c r="N55" s="7"/>
      <c r="O55" s="7"/>
    </row>
    <row r="56">
      <c r="A56" s="8" t="s">
        <v>61</v>
      </c>
      <c r="B56" s="9">
        <v>30.0</v>
      </c>
      <c r="C56" s="9" t="s">
        <v>8</v>
      </c>
      <c r="D56" s="9">
        <v>25.0</v>
      </c>
      <c r="E56" s="10">
        <v>1.0</v>
      </c>
      <c r="F56" s="9">
        <v>4.0</v>
      </c>
      <c r="G56" s="4"/>
      <c r="H56" s="4"/>
      <c r="I56" s="4"/>
      <c r="J56" s="4"/>
      <c r="K56" s="7"/>
      <c r="L56" s="4"/>
      <c r="M56" s="7"/>
      <c r="N56" s="7"/>
      <c r="O56" s="7"/>
    </row>
    <row r="57">
      <c r="A57" s="8" t="s">
        <v>62</v>
      </c>
      <c r="B57" s="9">
        <v>30.0</v>
      </c>
      <c r="C57" s="9" t="s">
        <v>8</v>
      </c>
      <c r="D57" s="9">
        <v>25.0</v>
      </c>
      <c r="E57" s="10">
        <v>1.0</v>
      </c>
      <c r="F57" s="9">
        <v>5.0</v>
      </c>
      <c r="G57" s="4"/>
      <c r="H57" s="4"/>
      <c r="I57" s="4"/>
      <c r="J57" s="4"/>
      <c r="K57" s="7"/>
      <c r="L57" s="4"/>
      <c r="M57" s="7"/>
      <c r="N57" s="7"/>
      <c r="O57" s="7"/>
    </row>
    <row r="58">
      <c r="A58" s="8" t="s">
        <v>63</v>
      </c>
      <c r="B58" s="9">
        <v>30.0</v>
      </c>
      <c r="C58" s="9" t="s">
        <v>8</v>
      </c>
      <c r="D58" s="9">
        <v>25.0</v>
      </c>
      <c r="E58" s="10">
        <v>2.0</v>
      </c>
      <c r="F58" s="9">
        <v>1.0</v>
      </c>
      <c r="G58" s="4"/>
      <c r="H58" s="4"/>
      <c r="I58" s="4"/>
      <c r="J58" s="4"/>
      <c r="K58" s="7"/>
      <c r="L58" s="4"/>
      <c r="M58" s="7"/>
      <c r="N58" s="7"/>
      <c r="O58" s="7"/>
    </row>
    <row r="59">
      <c r="A59" s="8" t="s">
        <v>64</v>
      </c>
      <c r="B59" s="9">
        <v>30.0</v>
      </c>
      <c r="C59" s="9" t="s">
        <v>8</v>
      </c>
      <c r="D59" s="9">
        <v>25.0</v>
      </c>
      <c r="E59" s="10">
        <v>2.0</v>
      </c>
      <c r="F59" s="9">
        <v>2.0</v>
      </c>
      <c r="G59" s="4"/>
      <c r="H59" s="4"/>
      <c r="I59" s="4"/>
      <c r="J59" s="4"/>
      <c r="K59" s="7"/>
      <c r="L59" s="4"/>
      <c r="M59" s="7"/>
      <c r="N59" s="7"/>
      <c r="O59" s="7"/>
    </row>
    <row r="60">
      <c r="A60" s="8" t="s">
        <v>65</v>
      </c>
      <c r="B60" s="9">
        <v>30.0</v>
      </c>
      <c r="C60" s="9" t="s">
        <v>8</v>
      </c>
      <c r="D60" s="9">
        <v>25.0</v>
      </c>
      <c r="E60" s="10">
        <v>2.0</v>
      </c>
      <c r="F60" s="9">
        <v>3.0</v>
      </c>
      <c r="G60" s="4"/>
      <c r="H60" s="4"/>
      <c r="I60" s="4"/>
      <c r="J60" s="4"/>
      <c r="K60" s="7"/>
      <c r="L60" s="4"/>
      <c r="M60" s="7"/>
      <c r="N60" s="7"/>
      <c r="O60" s="7"/>
    </row>
    <row r="61">
      <c r="A61" s="8" t="s">
        <v>66</v>
      </c>
      <c r="B61" s="9">
        <v>30.0</v>
      </c>
      <c r="C61" s="9" t="s">
        <v>8</v>
      </c>
      <c r="D61" s="9">
        <v>25.0</v>
      </c>
      <c r="E61" s="10">
        <v>2.0</v>
      </c>
      <c r="F61" s="9">
        <v>4.0</v>
      </c>
      <c r="G61" s="4"/>
      <c r="H61" s="4"/>
      <c r="I61" s="4"/>
      <c r="J61" s="4"/>
      <c r="K61" s="7"/>
      <c r="L61" s="4"/>
      <c r="M61" s="7"/>
      <c r="N61" s="7"/>
      <c r="O61" s="7"/>
    </row>
    <row r="62">
      <c r="A62" s="8" t="s">
        <v>67</v>
      </c>
      <c r="B62" s="9">
        <v>30.0</v>
      </c>
      <c r="C62" s="9" t="s">
        <v>8</v>
      </c>
      <c r="D62" s="9">
        <v>25.0</v>
      </c>
      <c r="E62" s="10">
        <v>2.0</v>
      </c>
      <c r="F62" s="9">
        <v>5.0</v>
      </c>
      <c r="G62" s="4"/>
      <c r="H62" s="4"/>
      <c r="I62" s="4"/>
      <c r="J62" s="4"/>
      <c r="K62" s="7"/>
      <c r="L62" s="4"/>
      <c r="M62" s="7"/>
      <c r="N62" s="7"/>
      <c r="O62" s="7"/>
    </row>
    <row r="63">
      <c r="A63" s="8" t="s">
        <v>68</v>
      </c>
      <c r="B63" s="9">
        <v>30.0</v>
      </c>
      <c r="C63" s="9" t="s">
        <v>8</v>
      </c>
      <c r="D63" s="9">
        <v>50.0</v>
      </c>
      <c r="E63" s="10">
        <v>0.6</v>
      </c>
      <c r="F63" s="9">
        <v>1.0</v>
      </c>
      <c r="G63" s="4"/>
      <c r="H63" s="4"/>
      <c r="I63" s="4"/>
      <c r="J63" s="4"/>
      <c r="K63" s="7"/>
      <c r="L63" s="4"/>
      <c r="M63" s="7"/>
      <c r="N63" s="7"/>
      <c r="O63" s="7"/>
    </row>
    <row r="64">
      <c r="A64" s="8" t="s">
        <v>69</v>
      </c>
      <c r="B64" s="9">
        <v>30.0</v>
      </c>
      <c r="C64" s="9" t="s">
        <v>8</v>
      </c>
      <c r="D64" s="9">
        <v>50.0</v>
      </c>
      <c r="E64" s="10">
        <v>0.6</v>
      </c>
      <c r="F64" s="9">
        <v>2.0</v>
      </c>
      <c r="G64" s="4"/>
      <c r="H64" s="4"/>
      <c r="I64" s="4"/>
      <c r="J64" s="4"/>
      <c r="K64" s="7"/>
      <c r="L64" s="4"/>
      <c r="M64" s="7"/>
      <c r="N64" s="7"/>
      <c r="O64" s="7"/>
    </row>
    <row r="65">
      <c r="A65" s="8" t="s">
        <v>70</v>
      </c>
      <c r="B65" s="9">
        <v>30.0</v>
      </c>
      <c r="C65" s="9" t="s">
        <v>8</v>
      </c>
      <c r="D65" s="9">
        <v>50.0</v>
      </c>
      <c r="E65" s="10">
        <v>0.6</v>
      </c>
      <c r="F65" s="9">
        <v>3.0</v>
      </c>
      <c r="G65" s="4"/>
      <c r="H65" s="4"/>
      <c r="I65" s="4"/>
      <c r="J65" s="4"/>
      <c r="K65" s="7"/>
      <c r="L65" s="4"/>
      <c r="M65" s="7"/>
      <c r="N65" s="7"/>
      <c r="O65" s="7"/>
    </row>
    <row r="66">
      <c r="A66" s="8" t="s">
        <v>71</v>
      </c>
      <c r="B66" s="9">
        <v>30.0</v>
      </c>
      <c r="C66" s="9" t="s">
        <v>8</v>
      </c>
      <c r="D66" s="9">
        <v>50.0</v>
      </c>
      <c r="E66" s="10">
        <v>0.6</v>
      </c>
      <c r="F66" s="9">
        <v>4.0</v>
      </c>
      <c r="G66" s="4"/>
      <c r="H66" s="4"/>
      <c r="I66" s="4"/>
      <c r="J66" s="4"/>
      <c r="K66" s="7"/>
      <c r="L66" s="4"/>
      <c r="M66" s="7"/>
      <c r="N66" s="7"/>
      <c r="O66" s="7"/>
    </row>
    <row r="67">
      <c r="A67" s="8" t="s">
        <v>72</v>
      </c>
      <c r="B67" s="9">
        <v>30.0</v>
      </c>
      <c r="C67" s="9" t="s">
        <v>8</v>
      </c>
      <c r="D67" s="9">
        <v>50.0</v>
      </c>
      <c r="E67" s="10">
        <v>0.6</v>
      </c>
      <c r="F67" s="9">
        <v>5.0</v>
      </c>
      <c r="G67" s="4"/>
      <c r="H67" s="4"/>
      <c r="I67" s="4"/>
      <c r="J67" s="4"/>
      <c r="K67" s="7"/>
      <c r="L67" s="4"/>
      <c r="M67" s="7"/>
      <c r="N67" s="7"/>
      <c r="O67" s="7"/>
    </row>
    <row r="68">
      <c r="A68" s="8" t="s">
        <v>73</v>
      </c>
      <c r="B68" s="9">
        <v>30.0</v>
      </c>
      <c r="C68" s="9" t="s">
        <v>8</v>
      </c>
      <c r="D68" s="9">
        <v>50.0</v>
      </c>
      <c r="E68" s="10">
        <v>1.0</v>
      </c>
      <c r="F68" s="9">
        <v>1.0</v>
      </c>
      <c r="G68" s="4"/>
      <c r="H68" s="4"/>
      <c r="I68" s="4"/>
      <c r="J68" s="4"/>
      <c r="K68" s="7"/>
      <c r="L68" s="4"/>
      <c r="M68" s="7"/>
      <c r="N68" s="7"/>
      <c r="O68" s="7"/>
    </row>
    <row r="69">
      <c r="A69" s="8" t="s">
        <v>74</v>
      </c>
      <c r="B69" s="9">
        <v>30.0</v>
      </c>
      <c r="C69" s="9" t="s">
        <v>8</v>
      </c>
      <c r="D69" s="9">
        <v>50.0</v>
      </c>
      <c r="E69" s="10">
        <v>1.0</v>
      </c>
      <c r="F69" s="9">
        <v>2.0</v>
      </c>
      <c r="G69" s="4"/>
      <c r="H69" s="4"/>
      <c r="I69" s="4"/>
      <c r="J69" s="4"/>
      <c r="K69" s="7"/>
      <c r="L69" s="4"/>
      <c r="M69" s="7"/>
      <c r="N69" s="7"/>
      <c r="O69" s="7"/>
    </row>
    <row r="70">
      <c r="A70" s="8" t="s">
        <v>75</v>
      </c>
      <c r="B70" s="9">
        <v>30.0</v>
      </c>
      <c r="C70" s="9" t="s">
        <v>8</v>
      </c>
      <c r="D70" s="9">
        <v>50.0</v>
      </c>
      <c r="E70" s="10">
        <v>1.0</v>
      </c>
      <c r="F70" s="9">
        <v>3.0</v>
      </c>
      <c r="G70" s="4"/>
      <c r="H70" s="4"/>
      <c r="I70" s="4"/>
      <c r="J70" s="4"/>
      <c r="K70" s="7"/>
      <c r="L70" s="4"/>
      <c r="M70" s="7"/>
      <c r="N70" s="7"/>
      <c r="O70" s="7"/>
    </row>
    <row r="71">
      <c r="A71" s="8" t="s">
        <v>76</v>
      </c>
      <c r="B71" s="9">
        <v>30.0</v>
      </c>
      <c r="C71" s="9" t="s">
        <v>8</v>
      </c>
      <c r="D71" s="9">
        <v>50.0</v>
      </c>
      <c r="E71" s="10">
        <v>1.0</v>
      </c>
      <c r="F71" s="9">
        <v>4.0</v>
      </c>
      <c r="G71" s="4"/>
      <c r="H71" s="4"/>
      <c r="I71" s="4"/>
      <c r="J71" s="4"/>
      <c r="K71" s="7"/>
      <c r="L71" s="4"/>
      <c r="M71" s="7"/>
      <c r="N71" s="7"/>
      <c r="O71" s="7"/>
    </row>
    <row r="72">
      <c r="A72" s="8" t="s">
        <v>77</v>
      </c>
      <c r="B72" s="9">
        <v>30.0</v>
      </c>
      <c r="C72" s="9" t="s">
        <v>8</v>
      </c>
      <c r="D72" s="9">
        <v>50.0</v>
      </c>
      <c r="E72" s="10">
        <v>1.0</v>
      </c>
      <c r="F72" s="9">
        <v>5.0</v>
      </c>
      <c r="G72" s="4"/>
      <c r="H72" s="4"/>
      <c r="I72" s="4"/>
      <c r="J72" s="4"/>
      <c r="K72" s="7"/>
      <c r="L72" s="4"/>
      <c r="M72" s="7"/>
      <c r="N72" s="7"/>
      <c r="O72" s="7"/>
    </row>
    <row r="73">
      <c r="A73" s="8" t="s">
        <v>78</v>
      </c>
      <c r="B73" s="9">
        <v>30.0</v>
      </c>
      <c r="C73" s="9" t="s">
        <v>8</v>
      </c>
      <c r="D73" s="9">
        <v>50.0</v>
      </c>
      <c r="E73" s="10">
        <v>2.0</v>
      </c>
      <c r="F73" s="9">
        <v>1.0</v>
      </c>
      <c r="G73" s="4"/>
      <c r="H73" s="4"/>
      <c r="I73" s="4"/>
      <c r="J73" s="4"/>
      <c r="K73" s="7"/>
      <c r="L73" s="4"/>
      <c r="M73" s="7"/>
      <c r="N73" s="7"/>
      <c r="O73" s="7"/>
    </row>
    <row r="74">
      <c r="A74" s="8" t="s">
        <v>79</v>
      </c>
      <c r="B74" s="9">
        <v>30.0</v>
      </c>
      <c r="C74" s="9" t="s">
        <v>8</v>
      </c>
      <c r="D74" s="9">
        <v>50.0</v>
      </c>
      <c r="E74" s="10">
        <v>2.0</v>
      </c>
      <c r="F74" s="9">
        <v>2.0</v>
      </c>
      <c r="G74" s="4"/>
      <c r="H74" s="4"/>
      <c r="I74" s="4"/>
      <c r="J74" s="4"/>
      <c r="K74" s="7"/>
      <c r="L74" s="4"/>
      <c r="M74" s="7"/>
      <c r="N74" s="7"/>
      <c r="O74" s="7"/>
    </row>
    <row r="75">
      <c r="A75" s="8" t="s">
        <v>80</v>
      </c>
      <c r="B75" s="9">
        <v>30.0</v>
      </c>
      <c r="C75" s="9" t="s">
        <v>8</v>
      </c>
      <c r="D75" s="9">
        <v>50.0</v>
      </c>
      <c r="E75" s="10">
        <v>2.0</v>
      </c>
      <c r="F75" s="9">
        <v>3.0</v>
      </c>
      <c r="G75" s="4"/>
      <c r="H75" s="4"/>
      <c r="I75" s="4"/>
      <c r="J75" s="4"/>
      <c r="K75" s="7"/>
      <c r="L75" s="4"/>
      <c r="M75" s="7"/>
      <c r="N75" s="7"/>
      <c r="O75" s="7"/>
    </row>
    <row r="76">
      <c r="A76" s="8" t="s">
        <v>81</v>
      </c>
      <c r="B76" s="9">
        <v>30.0</v>
      </c>
      <c r="C76" s="9" t="s">
        <v>8</v>
      </c>
      <c r="D76" s="9">
        <v>50.0</v>
      </c>
      <c r="E76" s="10">
        <v>2.0</v>
      </c>
      <c r="F76" s="9">
        <v>4.0</v>
      </c>
      <c r="G76" s="4"/>
      <c r="H76" s="4"/>
      <c r="I76" s="4"/>
      <c r="J76" s="4"/>
      <c r="K76" s="7"/>
      <c r="L76" s="4"/>
      <c r="M76" s="7"/>
      <c r="N76" s="7"/>
      <c r="O76" s="7"/>
    </row>
    <row r="77">
      <c r="A77" s="8" t="s">
        <v>82</v>
      </c>
      <c r="B77" s="9">
        <v>30.0</v>
      </c>
      <c r="C77" s="9" t="s">
        <v>8</v>
      </c>
      <c r="D77" s="9">
        <v>50.0</v>
      </c>
      <c r="E77" s="10">
        <v>2.0</v>
      </c>
      <c r="F77" s="9">
        <v>5.0</v>
      </c>
      <c r="G77" s="4"/>
      <c r="H77" s="4"/>
      <c r="I77" s="4"/>
      <c r="J77" s="4"/>
      <c r="K77" s="7"/>
      <c r="L77" s="4"/>
      <c r="M77" s="7"/>
      <c r="N77" s="7"/>
      <c r="O77" s="7"/>
    </row>
    <row r="78">
      <c r="A78" s="8" t="s">
        <v>83</v>
      </c>
      <c r="B78" s="9">
        <v>30.0</v>
      </c>
      <c r="C78" s="9" t="s">
        <v>8</v>
      </c>
      <c r="D78" s="9">
        <v>75.0</v>
      </c>
      <c r="E78" s="10">
        <v>0.6</v>
      </c>
      <c r="F78" s="9">
        <v>1.0</v>
      </c>
      <c r="G78" s="4"/>
      <c r="H78" s="4"/>
      <c r="I78" s="4"/>
      <c r="J78" s="4"/>
      <c r="K78" s="7"/>
      <c r="L78" s="4"/>
      <c r="M78" s="7"/>
      <c r="N78" s="7"/>
      <c r="O78" s="7"/>
    </row>
    <row r="79">
      <c r="A79" s="8" t="s">
        <v>84</v>
      </c>
      <c r="B79" s="9">
        <v>30.0</v>
      </c>
      <c r="C79" s="9" t="s">
        <v>8</v>
      </c>
      <c r="D79" s="9">
        <v>75.0</v>
      </c>
      <c r="E79" s="10">
        <v>0.6</v>
      </c>
      <c r="F79" s="9">
        <v>2.0</v>
      </c>
      <c r="G79" s="4"/>
      <c r="H79" s="4"/>
      <c r="I79" s="4"/>
      <c r="J79" s="4"/>
      <c r="K79" s="7"/>
      <c r="L79" s="4"/>
      <c r="M79" s="7"/>
      <c r="N79" s="7"/>
      <c r="O79" s="7"/>
    </row>
    <row r="80">
      <c r="A80" s="8" t="s">
        <v>85</v>
      </c>
      <c r="B80" s="9">
        <v>30.0</v>
      </c>
      <c r="C80" s="9" t="s">
        <v>8</v>
      </c>
      <c r="D80" s="9">
        <v>75.0</v>
      </c>
      <c r="E80" s="10">
        <v>0.6</v>
      </c>
      <c r="F80" s="9">
        <v>3.0</v>
      </c>
      <c r="G80" s="4"/>
      <c r="H80" s="4"/>
      <c r="I80" s="4"/>
      <c r="J80" s="4"/>
      <c r="K80" s="7"/>
      <c r="L80" s="4"/>
      <c r="M80" s="7"/>
      <c r="N80" s="7"/>
      <c r="O80" s="7"/>
    </row>
    <row r="81">
      <c r="A81" s="8" t="s">
        <v>86</v>
      </c>
      <c r="B81" s="9">
        <v>30.0</v>
      </c>
      <c r="C81" s="9" t="s">
        <v>8</v>
      </c>
      <c r="D81" s="9">
        <v>75.0</v>
      </c>
      <c r="E81" s="10">
        <v>0.6</v>
      </c>
      <c r="F81" s="9">
        <v>4.0</v>
      </c>
      <c r="G81" s="4"/>
      <c r="H81" s="4"/>
      <c r="I81" s="4"/>
      <c r="J81" s="4"/>
      <c r="K81" s="7"/>
      <c r="L81" s="4"/>
      <c r="M81" s="7"/>
      <c r="N81" s="7"/>
      <c r="O81" s="7"/>
    </row>
    <row r="82">
      <c r="A82" s="8" t="s">
        <v>87</v>
      </c>
      <c r="B82" s="9">
        <v>30.0</v>
      </c>
      <c r="C82" s="9" t="s">
        <v>8</v>
      </c>
      <c r="D82" s="9">
        <v>75.0</v>
      </c>
      <c r="E82" s="10">
        <v>0.6</v>
      </c>
      <c r="F82" s="9">
        <v>5.0</v>
      </c>
      <c r="G82" s="4"/>
      <c r="H82" s="4"/>
      <c r="I82" s="4"/>
      <c r="J82" s="4"/>
      <c r="K82" s="7"/>
      <c r="L82" s="4"/>
      <c r="M82" s="7"/>
      <c r="N82" s="7"/>
      <c r="O82" s="7"/>
    </row>
    <row r="83">
      <c r="A83" s="8" t="s">
        <v>88</v>
      </c>
      <c r="B83" s="9">
        <v>30.0</v>
      </c>
      <c r="C83" s="9" t="s">
        <v>8</v>
      </c>
      <c r="D83" s="9">
        <v>75.0</v>
      </c>
      <c r="E83" s="10">
        <v>1.0</v>
      </c>
      <c r="F83" s="9">
        <v>1.0</v>
      </c>
      <c r="G83" s="4"/>
      <c r="H83" s="4"/>
      <c r="I83" s="4"/>
      <c r="J83" s="4"/>
      <c r="K83" s="7"/>
      <c r="L83" s="4"/>
      <c r="M83" s="7"/>
      <c r="N83" s="7"/>
      <c r="O83" s="7"/>
    </row>
    <row r="84">
      <c r="A84" s="8" t="s">
        <v>89</v>
      </c>
      <c r="B84" s="9">
        <v>30.0</v>
      </c>
      <c r="C84" s="9" t="s">
        <v>8</v>
      </c>
      <c r="D84" s="9">
        <v>75.0</v>
      </c>
      <c r="E84" s="10">
        <v>1.0</v>
      </c>
      <c r="F84" s="9">
        <v>2.0</v>
      </c>
      <c r="G84" s="4"/>
      <c r="H84" s="4"/>
      <c r="I84" s="4"/>
      <c r="J84" s="4"/>
      <c r="K84" s="7"/>
      <c r="L84" s="4"/>
      <c r="M84" s="7"/>
      <c r="N84" s="7"/>
      <c r="O84" s="7"/>
    </row>
    <row r="85">
      <c r="A85" s="8" t="s">
        <v>90</v>
      </c>
      <c r="B85" s="9">
        <v>30.0</v>
      </c>
      <c r="C85" s="9" t="s">
        <v>8</v>
      </c>
      <c r="D85" s="9">
        <v>75.0</v>
      </c>
      <c r="E85" s="10">
        <v>1.0</v>
      </c>
      <c r="F85" s="9">
        <v>3.0</v>
      </c>
      <c r="G85" s="4"/>
      <c r="H85" s="4"/>
      <c r="I85" s="4"/>
      <c r="J85" s="4"/>
      <c r="K85" s="7"/>
      <c r="L85" s="4"/>
      <c r="M85" s="7"/>
      <c r="N85" s="7"/>
      <c r="O85" s="7"/>
    </row>
    <row r="86">
      <c r="A86" s="8" t="s">
        <v>91</v>
      </c>
      <c r="B86" s="9">
        <v>30.0</v>
      </c>
      <c r="C86" s="9" t="s">
        <v>8</v>
      </c>
      <c r="D86" s="9">
        <v>75.0</v>
      </c>
      <c r="E86" s="10">
        <v>1.0</v>
      </c>
      <c r="F86" s="9">
        <v>4.0</v>
      </c>
      <c r="G86" s="4"/>
      <c r="H86" s="4"/>
      <c r="I86" s="4"/>
      <c r="J86" s="4"/>
      <c r="K86" s="7"/>
      <c r="L86" s="4"/>
      <c r="M86" s="7"/>
      <c r="N86" s="7"/>
      <c r="O86" s="7"/>
    </row>
    <row r="87">
      <c r="A87" s="8" t="s">
        <v>92</v>
      </c>
      <c r="B87" s="9">
        <v>30.0</v>
      </c>
      <c r="C87" s="9" t="s">
        <v>8</v>
      </c>
      <c r="D87" s="9">
        <v>75.0</v>
      </c>
      <c r="E87" s="10">
        <v>1.0</v>
      </c>
      <c r="F87" s="9">
        <v>5.0</v>
      </c>
      <c r="G87" s="4"/>
      <c r="H87" s="4"/>
      <c r="I87" s="4"/>
      <c r="J87" s="4"/>
      <c r="K87" s="7"/>
      <c r="L87" s="4"/>
      <c r="M87" s="7"/>
      <c r="N87" s="7"/>
      <c r="O87" s="7"/>
    </row>
    <row r="88">
      <c r="A88" s="8" t="s">
        <v>93</v>
      </c>
      <c r="B88" s="9">
        <v>30.0</v>
      </c>
      <c r="C88" s="9" t="s">
        <v>8</v>
      </c>
      <c r="D88" s="9">
        <v>75.0</v>
      </c>
      <c r="E88" s="10">
        <v>2.0</v>
      </c>
      <c r="F88" s="9">
        <v>1.0</v>
      </c>
      <c r="G88" s="4"/>
      <c r="H88" s="4"/>
      <c r="I88" s="4"/>
      <c r="J88" s="4"/>
      <c r="K88" s="7"/>
      <c r="L88" s="4"/>
      <c r="M88" s="7"/>
      <c r="N88" s="7"/>
      <c r="O88" s="7"/>
    </row>
    <row r="89">
      <c r="A89" s="8" t="s">
        <v>94</v>
      </c>
      <c r="B89" s="9">
        <v>30.0</v>
      </c>
      <c r="C89" s="9" t="s">
        <v>8</v>
      </c>
      <c r="D89" s="9">
        <v>75.0</v>
      </c>
      <c r="E89" s="10">
        <v>2.0</v>
      </c>
      <c r="F89" s="9">
        <v>2.0</v>
      </c>
      <c r="G89" s="4"/>
      <c r="H89" s="4"/>
      <c r="I89" s="4"/>
      <c r="J89" s="4"/>
      <c r="K89" s="7"/>
      <c r="L89" s="4"/>
      <c r="M89" s="7"/>
      <c r="N89" s="7"/>
      <c r="O89" s="7"/>
    </row>
    <row r="90">
      <c r="A90" s="8" t="s">
        <v>95</v>
      </c>
      <c r="B90" s="9">
        <v>30.0</v>
      </c>
      <c r="C90" s="9" t="s">
        <v>8</v>
      </c>
      <c r="D90" s="9">
        <v>75.0</v>
      </c>
      <c r="E90" s="10">
        <v>2.0</v>
      </c>
      <c r="F90" s="9">
        <v>3.0</v>
      </c>
      <c r="G90" s="4"/>
      <c r="H90" s="4"/>
      <c r="I90" s="4"/>
      <c r="J90" s="4"/>
      <c r="K90" s="7"/>
      <c r="L90" s="4"/>
      <c r="M90" s="7"/>
      <c r="N90" s="7"/>
      <c r="O90" s="7"/>
    </row>
    <row r="91">
      <c r="A91" s="8" t="s">
        <v>96</v>
      </c>
      <c r="B91" s="9">
        <v>30.0</v>
      </c>
      <c r="C91" s="9" t="s">
        <v>8</v>
      </c>
      <c r="D91" s="9">
        <v>75.0</v>
      </c>
      <c r="E91" s="10">
        <v>2.0</v>
      </c>
      <c r="F91" s="9">
        <v>4.0</v>
      </c>
      <c r="G91" s="4"/>
      <c r="H91" s="4"/>
      <c r="I91" s="4"/>
      <c r="J91" s="4"/>
      <c r="K91" s="7"/>
      <c r="L91" s="4"/>
      <c r="M91" s="7"/>
      <c r="N91" s="7"/>
      <c r="O91" s="7"/>
    </row>
    <row r="92">
      <c r="A92" s="8" t="s">
        <v>97</v>
      </c>
      <c r="B92" s="9">
        <v>30.0</v>
      </c>
      <c r="C92" s="9" t="s">
        <v>8</v>
      </c>
      <c r="D92" s="9">
        <v>75.0</v>
      </c>
      <c r="E92" s="10">
        <v>2.0</v>
      </c>
      <c r="F92" s="9">
        <v>5.0</v>
      </c>
      <c r="G92" s="4"/>
      <c r="H92" s="4"/>
      <c r="I92" s="4"/>
      <c r="J92" s="4"/>
      <c r="K92" s="7"/>
      <c r="L92" s="4"/>
      <c r="M92" s="7"/>
      <c r="N92" s="7"/>
      <c r="O92" s="7"/>
    </row>
    <row r="93">
      <c r="A93" s="8" t="s">
        <v>98</v>
      </c>
      <c r="B93" s="9">
        <v>35.0</v>
      </c>
      <c r="C93" s="9" t="s">
        <v>8</v>
      </c>
      <c r="D93" s="9">
        <v>25.0</v>
      </c>
      <c r="E93" s="10">
        <v>0.6</v>
      </c>
      <c r="F93" s="9">
        <v>1.0</v>
      </c>
      <c r="G93" s="4"/>
      <c r="H93" s="4"/>
      <c r="I93" s="4"/>
      <c r="J93" s="4"/>
      <c r="K93" s="7"/>
      <c r="L93" s="4"/>
      <c r="M93" s="7"/>
      <c r="N93" s="7"/>
      <c r="O93" s="7"/>
    </row>
    <row r="94">
      <c r="A94" s="8" t="s">
        <v>99</v>
      </c>
      <c r="B94" s="9">
        <v>35.0</v>
      </c>
      <c r="C94" s="9" t="s">
        <v>8</v>
      </c>
      <c r="D94" s="9">
        <v>25.0</v>
      </c>
      <c r="E94" s="10">
        <v>0.6</v>
      </c>
      <c r="F94" s="9">
        <v>2.0</v>
      </c>
      <c r="G94" s="4"/>
      <c r="H94" s="4"/>
      <c r="I94" s="4"/>
      <c r="J94" s="4"/>
      <c r="K94" s="7"/>
      <c r="L94" s="4"/>
      <c r="M94" s="7"/>
      <c r="N94" s="7"/>
      <c r="O94" s="7"/>
    </row>
    <row r="95">
      <c r="A95" s="8" t="s">
        <v>100</v>
      </c>
      <c r="B95" s="9">
        <v>35.0</v>
      </c>
      <c r="C95" s="9" t="s">
        <v>8</v>
      </c>
      <c r="D95" s="9">
        <v>25.0</v>
      </c>
      <c r="E95" s="10">
        <v>0.6</v>
      </c>
      <c r="F95" s="9">
        <v>3.0</v>
      </c>
      <c r="G95" s="4"/>
      <c r="H95" s="4"/>
      <c r="I95" s="4"/>
      <c r="J95" s="4"/>
      <c r="K95" s="7"/>
      <c r="L95" s="4"/>
      <c r="M95" s="7"/>
      <c r="N95" s="7"/>
      <c r="O95" s="7"/>
    </row>
    <row r="96">
      <c r="A96" s="8" t="s">
        <v>101</v>
      </c>
      <c r="B96" s="9">
        <v>35.0</v>
      </c>
      <c r="C96" s="9" t="s">
        <v>8</v>
      </c>
      <c r="D96" s="9">
        <v>25.0</v>
      </c>
      <c r="E96" s="10">
        <v>0.6</v>
      </c>
      <c r="F96" s="9">
        <v>4.0</v>
      </c>
      <c r="G96" s="4"/>
      <c r="H96" s="4"/>
      <c r="I96" s="4"/>
      <c r="J96" s="4"/>
      <c r="K96" s="7"/>
      <c r="L96" s="4"/>
      <c r="M96" s="7"/>
      <c r="N96" s="7"/>
      <c r="O96" s="7"/>
    </row>
    <row r="97">
      <c r="A97" s="8" t="s">
        <v>102</v>
      </c>
      <c r="B97" s="9">
        <v>35.0</v>
      </c>
      <c r="C97" s="9" t="s">
        <v>8</v>
      </c>
      <c r="D97" s="9">
        <v>25.0</v>
      </c>
      <c r="E97" s="10">
        <v>0.6</v>
      </c>
      <c r="F97" s="9">
        <v>5.0</v>
      </c>
      <c r="G97" s="4"/>
      <c r="H97" s="4"/>
      <c r="I97" s="4"/>
      <c r="J97" s="4"/>
      <c r="K97" s="7"/>
      <c r="L97" s="4"/>
      <c r="M97" s="7"/>
      <c r="N97" s="7"/>
      <c r="O97" s="7"/>
    </row>
    <row r="98">
      <c r="A98" s="8" t="s">
        <v>103</v>
      </c>
      <c r="B98" s="9">
        <v>35.0</v>
      </c>
      <c r="C98" s="9" t="s">
        <v>8</v>
      </c>
      <c r="D98" s="9">
        <v>25.0</v>
      </c>
      <c r="E98" s="10">
        <v>1.0</v>
      </c>
      <c r="F98" s="9">
        <v>1.0</v>
      </c>
      <c r="G98" s="4"/>
      <c r="H98" s="4"/>
      <c r="I98" s="4"/>
      <c r="J98" s="4"/>
      <c r="K98" s="7"/>
      <c r="L98" s="4"/>
      <c r="M98" s="7"/>
      <c r="N98" s="7"/>
      <c r="O98" s="7"/>
    </row>
    <row r="99">
      <c r="A99" s="8" t="s">
        <v>104</v>
      </c>
      <c r="B99" s="9">
        <v>35.0</v>
      </c>
      <c r="C99" s="9" t="s">
        <v>8</v>
      </c>
      <c r="D99" s="9">
        <v>25.0</v>
      </c>
      <c r="E99" s="10">
        <v>1.0</v>
      </c>
      <c r="F99" s="9">
        <v>2.0</v>
      </c>
      <c r="G99" s="4"/>
      <c r="H99" s="4"/>
      <c r="I99" s="4"/>
      <c r="J99" s="4"/>
      <c r="K99" s="7"/>
      <c r="L99" s="4"/>
      <c r="M99" s="7"/>
      <c r="N99" s="7"/>
      <c r="O99" s="7"/>
    </row>
    <row r="100">
      <c r="A100" s="8" t="s">
        <v>105</v>
      </c>
      <c r="B100" s="9">
        <v>35.0</v>
      </c>
      <c r="C100" s="9" t="s">
        <v>8</v>
      </c>
      <c r="D100" s="9">
        <v>25.0</v>
      </c>
      <c r="E100" s="10">
        <v>1.0</v>
      </c>
      <c r="F100" s="9">
        <v>3.0</v>
      </c>
      <c r="G100" s="4"/>
      <c r="H100" s="4"/>
      <c r="I100" s="4"/>
      <c r="J100" s="4"/>
      <c r="K100" s="7"/>
      <c r="L100" s="4"/>
      <c r="M100" s="7"/>
      <c r="N100" s="7"/>
      <c r="O100" s="7"/>
    </row>
    <row r="101">
      <c r="A101" s="8" t="s">
        <v>106</v>
      </c>
      <c r="B101" s="9">
        <v>35.0</v>
      </c>
      <c r="C101" s="9" t="s">
        <v>8</v>
      </c>
      <c r="D101" s="9">
        <v>25.0</v>
      </c>
      <c r="E101" s="10">
        <v>1.0</v>
      </c>
      <c r="F101" s="9">
        <v>4.0</v>
      </c>
      <c r="G101" s="4"/>
      <c r="H101" s="4"/>
      <c r="I101" s="4"/>
      <c r="J101" s="4"/>
      <c r="K101" s="7"/>
      <c r="L101" s="4"/>
      <c r="M101" s="7"/>
      <c r="N101" s="7"/>
      <c r="O101" s="7"/>
    </row>
    <row r="102">
      <c r="A102" s="8" t="s">
        <v>107</v>
      </c>
      <c r="B102" s="9">
        <v>35.0</v>
      </c>
      <c r="C102" s="9" t="s">
        <v>8</v>
      </c>
      <c r="D102" s="9">
        <v>25.0</v>
      </c>
      <c r="E102" s="10">
        <v>1.0</v>
      </c>
      <c r="F102" s="9">
        <v>5.0</v>
      </c>
      <c r="G102" s="4"/>
      <c r="H102" s="4"/>
      <c r="I102" s="4"/>
      <c r="J102" s="4"/>
      <c r="K102" s="7"/>
      <c r="L102" s="4"/>
      <c r="M102" s="7"/>
      <c r="N102" s="7"/>
      <c r="O102" s="7"/>
    </row>
    <row r="103">
      <c r="A103" s="8" t="s">
        <v>108</v>
      </c>
      <c r="B103" s="9">
        <v>35.0</v>
      </c>
      <c r="C103" s="9" t="s">
        <v>8</v>
      </c>
      <c r="D103" s="9">
        <v>25.0</v>
      </c>
      <c r="E103" s="10">
        <v>2.0</v>
      </c>
      <c r="F103" s="9">
        <v>1.0</v>
      </c>
      <c r="G103" s="4"/>
      <c r="H103" s="4"/>
      <c r="I103" s="4"/>
      <c r="J103" s="4"/>
      <c r="K103" s="7"/>
      <c r="L103" s="4"/>
      <c r="M103" s="7"/>
      <c r="N103" s="7"/>
      <c r="O103" s="7"/>
    </row>
    <row r="104">
      <c r="A104" s="8" t="s">
        <v>109</v>
      </c>
      <c r="B104" s="9">
        <v>35.0</v>
      </c>
      <c r="C104" s="9" t="s">
        <v>8</v>
      </c>
      <c r="D104" s="9">
        <v>25.0</v>
      </c>
      <c r="E104" s="10">
        <v>2.0</v>
      </c>
      <c r="F104" s="9">
        <v>2.0</v>
      </c>
      <c r="G104" s="4"/>
      <c r="H104" s="4"/>
      <c r="I104" s="4"/>
      <c r="J104" s="4"/>
      <c r="K104" s="7"/>
      <c r="L104" s="4"/>
      <c r="M104" s="7"/>
      <c r="N104" s="7"/>
      <c r="O104" s="7"/>
    </row>
    <row r="105">
      <c r="A105" s="8" t="s">
        <v>110</v>
      </c>
      <c r="B105" s="9">
        <v>35.0</v>
      </c>
      <c r="C105" s="9" t="s">
        <v>8</v>
      </c>
      <c r="D105" s="9">
        <v>25.0</v>
      </c>
      <c r="E105" s="10">
        <v>2.0</v>
      </c>
      <c r="F105" s="9">
        <v>3.0</v>
      </c>
      <c r="G105" s="4"/>
      <c r="H105" s="4"/>
      <c r="I105" s="4"/>
      <c r="J105" s="4"/>
      <c r="K105" s="7"/>
      <c r="L105" s="4"/>
      <c r="M105" s="7"/>
      <c r="N105" s="7"/>
      <c r="O105" s="7"/>
    </row>
    <row r="106">
      <c r="A106" s="8" t="s">
        <v>111</v>
      </c>
      <c r="B106" s="9">
        <v>35.0</v>
      </c>
      <c r="C106" s="9" t="s">
        <v>8</v>
      </c>
      <c r="D106" s="9">
        <v>25.0</v>
      </c>
      <c r="E106" s="10">
        <v>2.0</v>
      </c>
      <c r="F106" s="9">
        <v>4.0</v>
      </c>
      <c r="G106" s="4"/>
      <c r="H106" s="4"/>
      <c r="I106" s="4"/>
      <c r="J106" s="4"/>
      <c r="K106" s="7"/>
      <c r="L106" s="4"/>
      <c r="M106" s="7"/>
      <c r="N106" s="7"/>
      <c r="O106" s="7"/>
    </row>
    <row r="107">
      <c r="A107" s="8" t="s">
        <v>112</v>
      </c>
      <c r="B107" s="9">
        <v>35.0</v>
      </c>
      <c r="C107" s="9" t="s">
        <v>8</v>
      </c>
      <c r="D107" s="9">
        <v>25.0</v>
      </c>
      <c r="E107" s="10">
        <v>2.0</v>
      </c>
      <c r="F107" s="9">
        <v>5.0</v>
      </c>
      <c r="G107" s="4"/>
      <c r="H107" s="4"/>
      <c r="I107" s="4"/>
      <c r="J107" s="4"/>
      <c r="K107" s="7"/>
      <c r="L107" s="4"/>
      <c r="M107" s="7"/>
      <c r="N107" s="7"/>
      <c r="O107" s="7"/>
    </row>
    <row r="108">
      <c r="A108" s="8" t="s">
        <v>113</v>
      </c>
      <c r="B108" s="9">
        <v>35.0</v>
      </c>
      <c r="C108" s="9" t="s">
        <v>8</v>
      </c>
      <c r="D108" s="9">
        <v>50.0</v>
      </c>
      <c r="E108" s="10">
        <v>0.6</v>
      </c>
      <c r="F108" s="9">
        <v>1.0</v>
      </c>
      <c r="G108" s="4"/>
      <c r="H108" s="4"/>
      <c r="I108" s="4"/>
      <c r="J108" s="4"/>
      <c r="K108" s="7"/>
      <c r="L108" s="4"/>
      <c r="M108" s="7"/>
      <c r="N108" s="7"/>
      <c r="O108" s="7"/>
    </row>
    <row r="109">
      <c r="A109" s="8" t="s">
        <v>114</v>
      </c>
      <c r="B109" s="9">
        <v>35.0</v>
      </c>
      <c r="C109" s="9" t="s">
        <v>8</v>
      </c>
      <c r="D109" s="9">
        <v>50.0</v>
      </c>
      <c r="E109" s="10">
        <v>0.6</v>
      </c>
      <c r="F109" s="9">
        <v>2.0</v>
      </c>
      <c r="G109" s="4"/>
      <c r="H109" s="4"/>
      <c r="I109" s="4"/>
      <c r="J109" s="4"/>
      <c r="K109" s="7"/>
      <c r="L109" s="4"/>
      <c r="M109" s="7"/>
      <c r="N109" s="7"/>
      <c r="O109" s="7"/>
    </row>
    <row r="110">
      <c r="A110" s="8" t="s">
        <v>115</v>
      </c>
      <c r="B110" s="9">
        <v>35.0</v>
      </c>
      <c r="C110" s="9" t="s">
        <v>8</v>
      </c>
      <c r="D110" s="9">
        <v>50.0</v>
      </c>
      <c r="E110" s="10">
        <v>0.6</v>
      </c>
      <c r="F110" s="9">
        <v>3.0</v>
      </c>
      <c r="G110" s="4"/>
      <c r="H110" s="4"/>
      <c r="I110" s="4"/>
      <c r="J110" s="4"/>
      <c r="K110" s="7"/>
      <c r="L110" s="4"/>
      <c r="M110" s="7"/>
      <c r="N110" s="7"/>
      <c r="O110" s="7"/>
    </row>
    <row r="111">
      <c r="A111" s="8" t="s">
        <v>116</v>
      </c>
      <c r="B111" s="9">
        <v>35.0</v>
      </c>
      <c r="C111" s="9" t="s">
        <v>8</v>
      </c>
      <c r="D111" s="9">
        <v>50.0</v>
      </c>
      <c r="E111" s="10">
        <v>0.6</v>
      </c>
      <c r="F111" s="9">
        <v>4.0</v>
      </c>
      <c r="G111" s="4"/>
      <c r="H111" s="4"/>
      <c r="I111" s="4"/>
      <c r="J111" s="4"/>
      <c r="K111" s="7"/>
      <c r="L111" s="4"/>
      <c r="M111" s="7"/>
      <c r="N111" s="7"/>
      <c r="O111" s="7"/>
    </row>
    <row r="112">
      <c r="A112" s="8" t="s">
        <v>117</v>
      </c>
      <c r="B112" s="9">
        <v>35.0</v>
      </c>
      <c r="C112" s="9" t="s">
        <v>8</v>
      </c>
      <c r="D112" s="9">
        <v>50.0</v>
      </c>
      <c r="E112" s="10">
        <v>0.6</v>
      </c>
      <c r="F112" s="9">
        <v>5.0</v>
      </c>
      <c r="G112" s="4"/>
      <c r="H112" s="4"/>
      <c r="I112" s="4"/>
      <c r="J112" s="4"/>
      <c r="K112" s="7"/>
      <c r="L112" s="4"/>
      <c r="M112" s="7"/>
      <c r="N112" s="7"/>
      <c r="O112" s="7"/>
    </row>
    <row r="113">
      <c r="A113" s="8" t="s">
        <v>118</v>
      </c>
      <c r="B113" s="9">
        <v>35.0</v>
      </c>
      <c r="C113" s="9" t="s">
        <v>8</v>
      </c>
      <c r="D113" s="9">
        <v>50.0</v>
      </c>
      <c r="E113" s="10">
        <v>1.0</v>
      </c>
      <c r="F113" s="9">
        <v>1.0</v>
      </c>
      <c r="G113" s="4"/>
      <c r="H113" s="4"/>
      <c r="I113" s="4"/>
      <c r="J113" s="4"/>
      <c r="K113" s="7"/>
      <c r="L113" s="4"/>
      <c r="M113" s="7"/>
      <c r="N113" s="7"/>
      <c r="O113" s="7"/>
    </row>
    <row r="114">
      <c r="A114" s="8" t="s">
        <v>119</v>
      </c>
      <c r="B114" s="9">
        <v>35.0</v>
      </c>
      <c r="C114" s="9" t="s">
        <v>8</v>
      </c>
      <c r="D114" s="9">
        <v>50.0</v>
      </c>
      <c r="E114" s="10">
        <v>1.0</v>
      </c>
      <c r="F114" s="9">
        <v>2.0</v>
      </c>
      <c r="G114" s="4"/>
      <c r="H114" s="4"/>
      <c r="I114" s="4"/>
      <c r="J114" s="4"/>
      <c r="K114" s="7"/>
      <c r="L114" s="4"/>
      <c r="M114" s="7"/>
      <c r="N114" s="7"/>
      <c r="O114" s="7"/>
    </row>
    <row r="115">
      <c r="A115" s="8" t="s">
        <v>120</v>
      </c>
      <c r="B115" s="9">
        <v>35.0</v>
      </c>
      <c r="C115" s="9" t="s">
        <v>8</v>
      </c>
      <c r="D115" s="9">
        <v>50.0</v>
      </c>
      <c r="E115" s="10">
        <v>1.0</v>
      </c>
      <c r="F115" s="9">
        <v>3.0</v>
      </c>
      <c r="G115" s="4"/>
      <c r="H115" s="4"/>
      <c r="I115" s="4"/>
      <c r="J115" s="4"/>
      <c r="K115" s="7"/>
      <c r="L115" s="4"/>
      <c r="M115" s="7"/>
      <c r="N115" s="7"/>
      <c r="O115" s="7"/>
    </row>
    <row r="116">
      <c r="A116" s="8" t="s">
        <v>121</v>
      </c>
      <c r="B116" s="9">
        <v>35.0</v>
      </c>
      <c r="C116" s="9" t="s">
        <v>8</v>
      </c>
      <c r="D116" s="9">
        <v>50.0</v>
      </c>
      <c r="E116" s="10">
        <v>1.0</v>
      </c>
      <c r="F116" s="9">
        <v>4.0</v>
      </c>
      <c r="G116" s="4"/>
      <c r="H116" s="4"/>
      <c r="I116" s="4"/>
      <c r="J116" s="4"/>
      <c r="K116" s="7"/>
      <c r="L116" s="4"/>
      <c r="M116" s="7"/>
      <c r="N116" s="7"/>
      <c r="O116" s="7"/>
    </row>
    <row r="117">
      <c r="A117" s="8" t="s">
        <v>122</v>
      </c>
      <c r="B117" s="9">
        <v>35.0</v>
      </c>
      <c r="C117" s="9" t="s">
        <v>8</v>
      </c>
      <c r="D117" s="9">
        <v>50.0</v>
      </c>
      <c r="E117" s="10">
        <v>1.0</v>
      </c>
      <c r="F117" s="9">
        <v>5.0</v>
      </c>
      <c r="G117" s="4"/>
      <c r="H117" s="4"/>
      <c r="I117" s="4"/>
      <c r="J117" s="4"/>
      <c r="K117" s="7"/>
      <c r="L117" s="4"/>
      <c r="M117" s="7"/>
      <c r="N117" s="7"/>
      <c r="O117" s="7"/>
    </row>
    <row r="118">
      <c r="A118" s="8" t="s">
        <v>123</v>
      </c>
      <c r="B118" s="9">
        <v>35.0</v>
      </c>
      <c r="C118" s="9" t="s">
        <v>8</v>
      </c>
      <c r="D118" s="9">
        <v>50.0</v>
      </c>
      <c r="E118" s="10">
        <v>2.0</v>
      </c>
      <c r="F118" s="9">
        <v>1.0</v>
      </c>
      <c r="G118" s="4"/>
      <c r="H118" s="4"/>
      <c r="I118" s="4"/>
      <c r="J118" s="4"/>
      <c r="K118" s="7"/>
      <c r="L118" s="4"/>
      <c r="M118" s="7"/>
      <c r="N118" s="7"/>
      <c r="O118" s="7"/>
    </row>
    <row r="119">
      <c r="A119" s="8" t="s">
        <v>124</v>
      </c>
      <c r="B119" s="9">
        <v>35.0</v>
      </c>
      <c r="C119" s="9" t="s">
        <v>8</v>
      </c>
      <c r="D119" s="9">
        <v>50.0</v>
      </c>
      <c r="E119" s="10">
        <v>2.0</v>
      </c>
      <c r="F119" s="9">
        <v>2.0</v>
      </c>
      <c r="G119" s="4"/>
      <c r="H119" s="4"/>
      <c r="I119" s="4"/>
      <c r="J119" s="4"/>
      <c r="K119" s="7"/>
      <c r="L119" s="4"/>
      <c r="M119" s="7"/>
      <c r="N119" s="7"/>
      <c r="O119" s="7"/>
    </row>
    <row r="120">
      <c r="A120" s="8" t="s">
        <v>125</v>
      </c>
      <c r="B120" s="9">
        <v>35.0</v>
      </c>
      <c r="C120" s="9" t="s">
        <v>8</v>
      </c>
      <c r="D120" s="9">
        <v>50.0</v>
      </c>
      <c r="E120" s="10">
        <v>2.0</v>
      </c>
      <c r="F120" s="9">
        <v>3.0</v>
      </c>
      <c r="G120" s="4"/>
      <c r="H120" s="4"/>
      <c r="I120" s="4"/>
      <c r="J120" s="4"/>
      <c r="K120" s="7"/>
      <c r="L120" s="4"/>
      <c r="M120" s="7"/>
      <c r="N120" s="7"/>
      <c r="O120" s="7"/>
    </row>
    <row r="121">
      <c r="A121" s="8" t="s">
        <v>126</v>
      </c>
      <c r="B121" s="9">
        <v>35.0</v>
      </c>
      <c r="C121" s="9" t="s">
        <v>8</v>
      </c>
      <c r="D121" s="9">
        <v>50.0</v>
      </c>
      <c r="E121" s="10">
        <v>2.0</v>
      </c>
      <c r="F121" s="9">
        <v>4.0</v>
      </c>
      <c r="G121" s="4"/>
      <c r="H121" s="4"/>
      <c r="I121" s="4"/>
      <c r="J121" s="4"/>
      <c r="K121" s="7"/>
      <c r="L121" s="4"/>
      <c r="M121" s="7"/>
      <c r="N121" s="7"/>
      <c r="O121" s="7"/>
    </row>
    <row r="122">
      <c r="A122" s="8" t="s">
        <v>127</v>
      </c>
      <c r="B122" s="9">
        <v>35.0</v>
      </c>
      <c r="C122" s="9" t="s">
        <v>8</v>
      </c>
      <c r="D122" s="9">
        <v>50.0</v>
      </c>
      <c r="E122" s="10">
        <v>2.0</v>
      </c>
      <c r="F122" s="9">
        <v>5.0</v>
      </c>
      <c r="G122" s="4"/>
      <c r="H122" s="4"/>
      <c r="I122" s="4"/>
      <c r="J122" s="4"/>
      <c r="K122" s="7"/>
      <c r="L122" s="4"/>
      <c r="M122" s="7"/>
      <c r="N122" s="7"/>
      <c r="O122" s="7"/>
    </row>
    <row r="123">
      <c r="A123" s="8" t="s">
        <v>128</v>
      </c>
      <c r="B123" s="9">
        <v>35.0</v>
      </c>
      <c r="C123" s="9" t="s">
        <v>8</v>
      </c>
      <c r="D123" s="9">
        <v>75.0</v>
      </c>
      <c r="E123" s="10">
        <v>0.6</v>
      </c>
      <c r="F123" s="9">
        <v>1.0</v>
      </c>
      <c r="G123" s="4"/>
      <c r="H123" s="4"/>
      <c r="I123" s="4"/>
      <c r="J123" s="4"/>
      <c r="K123" s="7"/>
      <c r="L123" s="4"/>
      <c r="M123" s="7"/>
      <c r="N123" s="7"/>
      <c r="O123" s="7"/>
    </row>
    <row r="124">
      <c r="A124" s="8" t="s">
        <v>129</v>
      </c>
      <c r="B124" s="9">
        <v>35.0</v>
      </c>
      <c r="C124" s="9" t="s">
        <v>8</v>
      </c>
      <c r="D124" s="9">
        <v>75.0</v>
      </c>
      <c r="E124" s="10">
        <v>0.6</v>
      </c>
      <c r="F124" s="9">
        <v>2.0</v>
      </c>
      <c r="G124" s="4"/>
      <c r="H124" s="4"/>
      <c r="I124" s="4"/>
      <c r="J124" s="4"/>
      <c r="K124" s="7"/>
      <c r="L124" s="4"/>
      <c r="M124" s="7"/>
      <c r="N124" s="7"/>
      <c r="O124" s="7"/>
    </row>
    <row r="125">
      <c r="A125" s="8" t="s">
        <v>130</v>
      </c>
      <c r="B125" s="9">
        <v>35.0</v>
      </c>
      <c r="C125" s="9" t="s">
        <v>8</v>
      </c>
      <c r="D125" s="9">
        <v>75.0</v>
      </c>
      <c r="E125" s="10">
        <v>0.6</v>
      </c>
      <c r="F125" s="9">
        <v>3.0</v>
      </c>
      <c r="G125" s="4"/>
      <c r="H125" s="4"/>
      <c r="I125" s="4"/>
      <c r="J125" s="4"/>
      <c r="K125" s="7"/>
      <c r="L125" s="4"/>
      <c r="M125" s="7"/>
      <c r="N125" s="7"/>
      <c r="O125" s="7"/>
    </row>
    <row r="126">
      <c r="A126" s="8" t="s">
        <v>131</v>
      </c>
      <c r="B126" s="9">
        <v>35.0</v>
      </c>
      <c r="C126" s="9" t="s">
        <v>8</v>
      </c>
      <c r="D126" s="9">
        <v>75.0</v>
      </c>
      <c r="E126" s="10">
        <v>0.6</v>
      </c>
      <c r="F126" s="9">
        <v>4.0</v>
      </c>
      <c r="G126" s="4"/>
      <c r="H126" s="4"/>
      <c r="I126" s="4"/>
      <c r="J126" s="4"/>
      <c r="K126" s="7"/>
      <c r="L126" s="4"/>
      <c r="M126" s="7"/>
      <c r="N126" s="7"/>
      <c r="O126" s="7"/>
    </row>
    <row r="127">
      <c r="A127" s="8" t="s">
        <v>132</v>
      </c>
      <c r="B127" s="9">
        <v>35.0</v>
      </c>
      <c r="C127" s="9" t="s">
        <v>8</v>
      </c>
      <c r="D127" s="9">
        <v>75.0</v>
      </c>
      <c r="E127" s="10">
        <v>0.6</v>
      </c>
      <c r="F127" s="9">
        <v>5.0</v>
      </c>
      <c r="G127" s="4"/>
      <c r="H127" s="4"/>
      <c r="I127" s="4"/>
      <c r="J127" s="4"/>
      <c r="K127" s="7"/>
      <c r="L127" s="4"/>
      <c r="M127" s="7"/>
      <c r="N127" s="7"/>
      <c r="O127" s="7"/>
    </row>
    <row r="128">
      <c r="A128" s="8" t="s">
        <v>133</v>
      </c>
      <c r="B128" s="9">
        <v>35.0</v>
      </c>
      <c r="C128" s="9" t="s">
        <v>8</v>
      </c>
      <c r="D128" s="9">
        <v>75.0</v>
      </c>
      <c r="E128" s="10">
        <v>1.0</v>
      </c>
      <c r="F128" s="9">
        <v>1.0</v>
      </c>
      <c r="G128" s="4"/>
      <c r="H128" s="4"/>
      <c r="I128" s="4"/>
      <c r="J128" s="4"/>
      <c r="K128" s="7"/>
      <c r="L128" s="4"/>
      <c r="M128" s="7"/>
      <c r="N128" s="7"/>
      <c r="O128" s="7"/>
    </row>
    <row r="129">
      <c r="A129" s="8" t="s">
        <v>134</v>
      </c>
      <c r="B129" s="9">
        <v>35.0</v>
      </c>
      <c r="C129" s="9" t="s">
        <v>8</v>
      </c>
      <c r="D129" s="9">
        <v>75.0</v>
      </c>
      <c r="E129" s="10">
        <v>1.0</v>
      </c>
      <c r="F129" s="9">
        <v>2.0</v>
      </c>
      <c r="G129" s="4"/>
      <c r="H129" s="4"/>
      <c r="I129" s="4"/>
      <c r="J129" s="4"/>
      <c r="K129" s="7"/>
      <c r="L129" s="4"/>
      <c r="M129" s="7"/>
      <c r="N129" s="7"/>
      <c r="O129" s="7"/>
    </row>
    <row r="130">
      <c r="A130" s="8" t="s">
        <v>135</v>
      </c>
      <c r="B130" s="9">
        <v>35.0</v>
      </c>
      <c r="C130" s="9" t="s">
        <v>8</v>
      </c>
      <c r="D130" s="9">
        <v>75.0</v>
      </c>
      <c r="E130" s="10">
        <v>1.0</v>
      </c>
      <c r="F130" s="9">
        <v>3.0</v>
      </c>
      <c r="G130" s="4"/>
      <c r="H130" s="4"/>
      <c r="I130" s="4"/>
      <c r="J130" s="4"/>
      <c r="K130" s="7"/>
      <c r="L130" s="4"/>
      <c r="M130" s="7"/>
      <c r="N130" s="7"/>
      <c r="O130" s="7"/>
    </row>
    <row r="131">
      <c r="A131" s="8" t="s">
        <v>136</v>
      </c>
      <c r="B131" s="9">
        <v>35.0</v>
      </c>
      <c r="C131" s="9" t="s">
        <v>8</v>
      </c>
      <c r="D131" s="9">
        <v>75.0</v>
      </c>
      <c r="E131" s="10">
        <v>1.0</v>
      </c>
      <c r="F131" s="9">
        <v>4.0</v>
      </c>
      <c r="G131" s="4"/>
      <c r="H131" s="4"/>
      <c r="I131" s="4"/>
      <c r="J131" s="4"/>
      <c r="K131" s="7"/>
      <c r="L131" s="4"/>
      <c r="M131" s="7"/>
      <c r="N131" s="7"/>
      <c r="O131" s="7"/>
    </row>
    <row r="132">
      <c r="A132" s="8" t="s">
        <v>137</v>
      </c>
      <c r="B132" s="9">
        <v>35.0</v>
      </c>
      <c r="C132" s="9" t="s">
        <v>8</v>
      </c>
      <c r="D132" s="9">
        <v>75.0</v>
      </c>
      <c r="E132" s="10">
        <v>1.0</v>
      </c>
      <c r="F132" s="9">
        <v>5.0</v>
      </c>
      <c r="G132" s="4"/>
      <c r="H132" s="4"/>
      <c r="I132" s="4"/>
      <c r="J132" s="4"/>
      <c r="K132" s="7"/>
      <c r="L132" s="4"/>
      <c r="M132" s="7"/>
      <c r="N132" s="7"/>
      <c r="O132" s="7"/>
    </row>
    <row r="133">
      <c r="A133" s="8" t="s">
        <v>138</v>
      </c>
      <c r="B133" s="9">
        <v>35.0</v>
      </c>
      <c r="C133" s="9" t="s">
        <v>8</v>
      </c>
      <c r="D133" s="9">
        <v>75.0</v>
      </c>
      <c r="E133" s="10">
        <v>2.0</v>
      </c>
      <c r="F133" s="9">
        <v>1.0</v>
      </c>
      <c r="G133" s="4"/>
      <c r="H133" s="4"/>
      <c r="I133" s="4"/>
      <c r="J133" s="4"/>
      <c r="K133" s="7"/>
      <c r="L133" s="4"/>
      <c r="M133" s="7"/>
      <c r="N133" s="7"/>
      <c r="O133" s="7"/>
    </row>
    <row r="134">
      <c r="A134" s="8" t="s">
        <v>139</v>
      </c>
      <c r="B134" s="9">
        <v>35.0</v>
      </c>
      <c r="C134" s="9" t="s">
        <v>8</v>
      </c>
      <c r="D134" s="9">
        <v>75.0</v>
      </c>
      <c r="E134" s="10">
        <v>2.0</v>
      </c>
      <c r="F134" s="9">
        <v>2.0</v>
      </c>
      <c r="G134" s="4"/>
      <c r="H134" s="4"/>
      <c r="I134" s="4"/>
      <c r="J134" s="4"/>
      <c r="K134" s="7"/>
      <c r="L134" s="4"/>
      <c r="M134" s="7"/>
      <c r="N134" s="7"/>
      <c r="O134" s="7"/>
    </row>
    <row r="135">
      <c r="A135" s="8" t="s">
        <v>140</v>
      </c>
      <c r="B135" s="9">
        <v>35.0</v>
      </c>
      <c r="C135" s="9" t="s">
        <v>8</v>
      </c>
      <c r="D135" s="9">
        <v>75.0</v>
      </c>
      <c r="E135" s="10">
        <v>2.0</v>
      </c>
      <c r="F135" s="9">
        <v>3.0</v>
      </c>
      <c r="G135" s="4"/>
      <c r="H135" s="4"/>
      <c r="I135" s="4"/>
      <c r="J135" s="4"/>
      <c r="K135" s="7"/>
      <c r="L135" s="4"/>
      <c r="M135" s="7"/>
      <c r="N135" s="7"/>
      <c r="O135" s="7"/>
    </row>
    <row r="136">
      <c r="A136" s="8" t="s">
        <v>141</v>
      </c>
      <c r="B136" s="9">
        <v>35.0</v>
      </c>
      <c r="C136" s="9" t="s">
        <v>8</v>
      </c>
      <c r="D136" s="9">
        <v>75.0</v>
      </c>
      <c r="E136" s="10">
        <v>2.0</v>
      </c>
      <c r="F136" s="9">
        <v>4.0</v>
      </c>
      <c r="G136" s="4"/>
      <c r="H136" s="4"/>
      <c r="I136" s="4"/>
      <c r="J136" s="4"/>
      <c r="K136" s="7"/>
      <c r="L136" s="4"/>
      <c r="M136" s="7"/>
      <c r="N136" s="7"/>
      <c r="O136" s="7"/>
    </row>
    <row r="137">
      <c r="A137" s="8" t="s">
        <v>142</v>
      </c>
      <c r="B137" s="9">
        <v>35.0</v>
      </c>
      <c r="C137" s="9" t="s">
        <v>8</v>
      </c>
      <c r="D137" s="9">
        <v>75.0</v>
      </c>
      <c r="E137" s="10">
        <v>2.0</v>
      </c>
      <c r="F137" s="9">
        <v>5.0</v>
      </c>
      <c r="G137" s="4"/>
      <c r="H137" s="4"/>
      <c r="I137" s="4"/>
      <c r="J137" s="4"/>
      <c r="K137" s="7"/>
      <c r="L137" s="4"/>
      <c r="M137" s="7"/>
      <c r="N137" s="7"/>
      <c r="O137" s="7"/>
    </row>
    <row r="138">
      <c r="A138" s="8" t="s">
        <v>143</v>
      </c>
      <c r="B138" s="9">
        <v>40.0</v>
      </c>
      <c r="C138" s="9" t="s">
        <v>8</v>
      </c>
      <c r="D138" s="9">
        <v>25.0</v>
      </c>
      <c r="E138" s="10">
        <v>0.6</v>
      </c>
      <c r="F138" s="9">
        <v>1.0</v>
      </c>
      <c r="G138" s="4"/>
      <c r="H138" s="4"/>
      <c r="I138" s="4"/>
      <c r="J138" s="4"/>
      <c r="K138" s="7"/>
      <c r="M138" s="7"/>
      <c r="N138" s="7"/>
      <c r="O138" s="7"/>
    </row>
    <row r="139">
      <c r="A139" s="8" t="s">
        <v>144</v>
      </c>
      <c r="B139" s="9">
        <v>40.0</v>
      </c>
      <c r="C139" s="9" t="s">
        <v>8</v>
      </c>
      <c r="D139" s="9">
        <v>25.0</v>
      </c>
      <c r="E139" s="10">
        <v>0.6</v>
      </c>
      <c r="F139" s="9">
        <v>2.0</v>
      </c>
      <c r="I139" s="4"/>
      <c r="J139" s="4"/>
      <c r="K139" s="7"/>
      <c r="M139" s="7"/>
      <c r="N139" s="7"/>
      <c r="O139" s="7"/>
    </row>
    <row r="140">
      <c r="A140" s="8" t="s">
        <v>145</v>
      </c>
      <c r="B140" s="9">
        <v>40.0</v>
      </c>
      <c r="C140" s="9" t="s">
        <v>8</v>
      </c>
      <c r="D140" s="9">
        <v>25.0</v>
      </c>
      <c r="E140" s="10">
        <v>0.6</v>
      </c>
      <c r="F140" s="9">
        <v>3.0</v>
      </c>
      <c r="G140" s="11"/>
      <c r="H140" s="11"/>
      <c r="I140" s="11"/>
      <c r="J140" s="12"/>
      <c r="K140" s="13"/>
      <c r="L140" s="12"/>
      <c r="M140" s="13"/>
      <c r="N140" s="13"/>
      <c r="O140" s="13"/>
    </row>
    <row r="141">
      <c r="A141" s="8" t="s">
        <v>146</v>
      </c>
      <c r="B141" s="9">
        <v>40.0</v>
      </c>
      <c r="C141" s="9" t="s">
        <v>8</v>
      </c>
      <c r="D141" s="9">
        <v>25.0</v>
      </c>
      <c r="E141" s="10">
        <v>0.6</v>
      </c>
      <c r="F141" s="9">
        <v>4.0</v>
      </c>
      <c r="G141" s="11"/>
      <c r="H141" s="11"/>
      <c r="I141" s="11"/>
      <c r="J141" s="12"/>
      <c r="K141" s="13"/>
      <c r="L141" s="12"/>
      <c r="M141" s="13"/>
      <c r="N141" s="13"/>
      <c r="O141" s="13"/>
    </row>
    <row r="142">
      <c r="A142" s="8" t="s">
        <v>147</v>
      </c>
      <c r="B142" s="9">
        <v>40.0</v>
      </c>
      <c r="C142" s="9" t="s">
        <v>8</v>
      </c>
      <c r="D142" s="9">
        <v>25.0</v>
      </c>
      <c r="E142" s="10">
        <v>0.6</v>
      </c>
      <c r="F142" s="9">
        <v>5.0</v>
      </c>
      <c r="G142" s="11"/>
      <c r="H142" s="11"/>
      <c r="I142" s="11"/>
      <c r="J142" s="12"/>
      <c r="K142" s="13"/>
      <c r="L142" s="12"/>
      <c r="M142" s="13"/>
      <c r="N142" s="13"/>
      <c r="O142" s="13"/>
    </row>
    <row r="143">
      <c r="A143" s="8" t="s">
        <v>148</v>
      </c>
      <c r="B143" s="9">
        <v>40.0</v>
      </c>
      <c r="C143" s="9" t="s">
        <v>8</v>
      </c>
      <c r="D143" s="9">
        <v>25.0</v>
      </c>
      <c r="E143" s="10">
        <v>1.0</v>
      </c>
      <c r="F143" s="9">
        <v>1.0</v>
      </c>
      <c r="G143" s="11"/>
      <c r="H143" s="11"/>
      <c r="I143" s="11"/>
      <c r="J143" s="12"/>
      <c r="K143" s="13"/>
      <c r="L143" s="12"/>
      <c r="M143" s="13"/>
      <c r="N143" s="13"/>
      <c r="O143" s="13"/>
    </row>
    <row r="144">
      <c r="A144" s="8" t="s">
        <v>149</v>
      </c>
      <c r="B144" s="9">
        <v>40.0</v>
      </c>
      <c r="C144" s="9" t="s">
        <v>8</v>
      </c>
      <c r="D144" s="9">
        <v>25.0</v>
      </c>
      <c r="E144" s="10">
        <v>1.0</v>
      </c>
      <c r="F144" s="9">
        <v>2.0</v>
      </c>
      <c r="G144" s="11"/>
      <c r="H144" s="11"/>
      <c r="I144" s="11"/>
      <c r="J144" s="12"/>
      <c r="K144" s="13"/>
      <c r="L144" s="12"/>
      <c r="M144" s="13"/>
      <c r="N144" s="13"/>
      <c r="O144" s="13"/>
    </row>
    <row r="145">
      <c r="A145" s="8" t="s">
        <v>150</v>
      </c>
      <c r="B145" s="9">
        <v>40.0</v>
      </c>
      <c r="C145" s="9" t="s">
        <v>8</v>
      </c>
      <c r="D145" s="9">
        <v>25.0</v>
      </c>
      <c r="E145" s="10">
        <v>1.0</v>
      </c>
      <c r="F145" s="9">
        <v>3.0</v>
      </c>
      <c r="G145" s="11"/>
      <c r="H145" s="11"/>
      <c r="I145" s="11"/>
      <c r="J145" s="12"/>
      <c r="K145" s="13"/>
      <c r="L145" s="12"/>
      <c r="M145" s="13"/>
      <c r="N145" s="13"/>
      <c r="O145" s="13"/>
    </row>
    <row r="146">
      <c r="A146" s="8" t="s">
        <v>151</v>
      </c>
      <c r="B146" s="9">
        <v>40.0</v>
      </c>
      <c r="C146" s="9" t="s">
        <v>8</v>
      </c>
      <c r="D146" s="9">
        <v>25.0</v>
      </c>
      <c r="E146" s="10">
        <v>1.0</v>
      </c>
      <c r="F146" s="9">
        <v>4.0</v>
      </c>
      <c r="G146" s="11"/>
      <c r="H146" s="11"/>
      <c r="I146" s="11"/>
      <c r="J146" s="12"/>
      <c r="K146" s="13"/>
      <c r="L146" s="12"/>
      <c r="M146" s="13"/>
      <c r="N146" s="13"/>
      <c r="O146" s="13"/>
    </row>
    <row r="147">
      <c r="A147" s="8" t="s">
        <v>152</v>
      </c>
      <c r="B147" s="9">
        <v>40.0</v>
      </c>
      <c r="C147" s="9" t="s">
        <v>8</v>
      </c>
      <c r="D147" s="9">
        <v>25.0</v>
      </c>
      <c r="E147" s="10">
        <v>1.0</v>
      </c>
      <c r="F147" s="9">
        <v>5.0</v>
      </c>
      <c r="G147" s="11"/>
      <c r="H147" s="11"/>
      <c r="I147" s="11"/>
      <c r="J147" s="12"/>
      <c r="K147" s="13"/>
      <c r="L147" s="12"/>
      <c r="M147" s="13"/>
      <c r="N147" s="13"/>
      <c r="O147" s="13"/>
    </row>
    <row r="148">
      <c r="A148" s="8" t="s">
        <v>153</v>
      </c>
      <c r="B148" s="9">
        <v>40.0</v>
      </c>
      <c r="C148" s="9" t="s">
        <v>8</v>
      </c>
      <c r="D148" s="9">
        <v>25.0</v>
      </c>
      <c r="E148" s="10">
        <v>2.0</v>
      </c>
      <c r="F148" s="9">
        <v>1.0</v>
      </c>
      <c r="G148" s="11"/>
      <c r="H148" s="11"/>
      <c r="I148" s="11"/>
      <c r="J148" s="12"/>
      <c r="K148" s="13"/>
      <c r="L148" s="12"/>
      <c r="M148" s="13"/>
      <c r="N148" s="13"/>
      <c r="O148" s="13"/>
    </row>
    <row r="149">
      <c r="A149" s="8" t="s">
        <v>154</v>
      </c>
      <c r="B149" s="9">
        <v>40.0</v>
      </c>
      <c r="C149" s="9" t="s">
        <v>8</v>
      </c>
      <c r="D149" s="9">
        <v>25.0</v>
      </c>
      <c r="E149" s="10">
        <v>2.0</v>
      </c>
      <c r="F149" s="9">
        <v>2.0</v>
      </c>
      <c r="G149" s="11"/>
      <c r="H149" s="11"/>
      <c r="I149" s="11"/>
      <c r="J149" s="12"/>
      <c r="K149" s="13"/>
      <c r="L149" s="12"/>
      <c r="M149" s="13"/>
      <c r="N149" s="13"/>
      <c r="O149" s="13"/>
    </row>
    <row r="150">
      <c r="A150" s="8" t="s">
        <v>155</v>
      </c>
      <c r="B150" s="9">
        <v>40.0</v>
      </c>
      <c r="C150" s="9" t="s">
        <v>8</v>
      </c>
      <c r="D150" s="9">
        <v>25.0</v>
      </c>
      <c r="E150" s="10">
        <v>2.0</v>
      </c>
      <c r="F150" s="9">
        <v>3.0</v>
      </c>
      <c r="G150" s="11"/>
      <c r="H150" s="11"/>
      <c r="I150" s="11"/>
      <c r="J150" s="12"/>
      <c r="K150" s="13"/>
      <c r="L150" s="12"/>
      <c r="M150" s="13"/>
      <c r="N150" s="13"/>
      <c r="O150" s="13"/>
    </row>
    <row r="151">
      <c r="A151" s="8" t="s">
        <v>156</v>
      </c>
      <c r="B151" s="9">
        <v>40.0</v>
      </c>
      <c r="C151" s="9" t="s">
        <v>8</v>
      </c>
      <c r="D151" s="9">
        <v>25.0</v>
      </c>
      <c r="E151" s="10">
        <v>2.0</v>
      </c>
      <c r="F151" s="9">
        <v>4.0</v>
      </c>
      <c r="G151" s="11"/>
      <c r="H151" s="11"/>
      <c r="I151" s="11"/>
      <c r="J151" s="12"/>
      <c r="K151" s="13"/>
      <c r="L151" s="12"/>
      <c r="M151" s="13"/>
      <c r="N151" s="13"/>
      <c r="O151" s="13"/>
    </row>
    <row r="152">
      <c r="A152" s="8" t="s">
        <v>157</v>
      </c>
      <c r="B152" s="9">
        <v>40.0</v>
      </c>
      <c r="C152" s="9" t="s">
        <v>8</v>
      </c>
      <c r="D152" s="9">
        <v>25.0</v>
      </c>
      <c r="E152" s="10">
        <v>2.0</v>
      </c>
      <c r="F152" s="9">
        <v>5.0</v>
      </c>
      <c r="G152" s="11"/>
      <c r="H152" s="11"/>
      <c r="I152" s="11"/>
      <c r="J152" s="12"/>
      <c r="K152" s="13"/>
      <c r="L152" s="12"/>
      <c r="M152" s="13"/>
      <c r="N152" s="13"/>
      <c r="O152" s="13"/>
    </row>
    <row r="153">
      <c r="A153" s="8" t="s">
        <v>158</v>
      </c>
      <c r="B153" s="9">
        <v>40.0</v>
      </c>
      <c r="C153" s="9" t="s">
        <v>8</v>
      </c>
      <c r="D153" s="9">
        <v>50.0</v>
      </c>
      <c r="E153" s="10">
        <v>0.6</v>
      </c>
      <c r="F153" s="9">
        <v>1.0</v>
      </c>
      <c r="G153" s="11"/>
      <c r="H153" s="11"/>
      <c r="I153" s="11"/>
      <c r="J153" s="12"/>
      <c r="K153" s="13"/>
      <c r="L153" s="12"/>
      <c r="M153" s="13"/>
      <c r="N153" s="13"/>
      <c r="O153" s="13"/>
    </row>
    <row r="154">
      <c r="A154" s="8" t="s">
        <v>159</v>
      </c>
      <c r="B154" s="9">
        <v>40.0</v>
      </c>
      <c r="C154" s="9" t="s">
        <v>8</v>
      </c>
      <c r="D154" s="9">
        <v>50.0</v>
      </c>
      <c r="E154" s="10">
        <v>0.6</v>
      </c>
      <c r="F154" s="9">
        <v>2.0</v>
      </c>
      <c r="G154" s="11"/>
      <c r="H154" s="11"/>
      <c r="I154" s="11"/>
      <c r="J154" s="12"/>
      <c r="K154" s="13"/>
      <c r="L154" s="12"/>
      <c r="M154" s="13"/>
      <c r="N154" s="13"/>
      <c r="O154" s="13"/>
    </row>
    <row r="155">
      <c r="A155" s="8" t="s">
        <v>160</v>
      </c>
      <c r="B155" s="9">
        <v>40.0</v>
      </c>
      <c r="C155" s="9" t="s">
        <v>8</v>
      </c>
      <c r="D155" s="9">
        <v>50.0</v>
      </c>
      <c r="E155" s="10">
        <v>0.6</v>
      </c>
      <c r="F155" s="9">
        <v>3.0</v>
      </c>
      <c r="G155" s="11"/>
      <c r="H155" s="11"/>
      <c r="I155" s="11"/>
      <c r="J155" s="12"/>
      <c r="K155" s="13"/>
      <c r="L155" s="12"/>
      <c r="M155" s="13"/>
      <c r="N155" s="13"/>
      <c r="O155" s="13"/>
    </row>
    <row r="156">
      <c r="A156" s="8" t="s">
        <v>161</v>
      </c>
      <c r="B156" s="9">
        <v>40.0</v>
      </c>
      <c r="C156" s="9" t="s">
        <v>8</v>
      </c>
      <c r="D156" s="9">
        <v>50.0</v>
      </c>
      <c r="E156" s="10">
        <v>0.6</v>
      </c>
      <c r="F156" s="9">
        <v>4.0</v>
      </c>
      <c r="G156" s="11"/>
      <c r="H156" s="11"/>
      <c r="I156" s="11"/>
      <c r="J156" s="12"/>
      <c r="K156" s="13"/>
      <c r="L156" s="12"/>
      <c r="M156" s="13"/>
      <c r="N156" s="13"/>
      <c r="O156" s="13"/>
    </row>
    <row r="157">
      <c r="A157" s="8" t="s">
        <v>162</v>
      </c>
      <c r="B157" s="9">
        <v>40.0</v>
      </c>
      <c r="C157" s="9" t="s">
        <v>8</v>
      </c>
      <c r="D157" s="9">
        <v>50.0</v>
      </c>
      <c r="E157" s="10">
        <v>0.6</v>
      </c>
      <c r="F157" s="9">
        <v>5.0</v>
      </c>
      <c r="G157" s="11"/>
      <c r="H157" s="11"/>
      <c r="I157" s="11"/>
      <c r="J157" s="12"/>
      <c r="K157" s="13"/>
      <c r="L157" s="12"/>
      <c r="M157" s="13"/>
      <c r="N157" s="13"/>
      <c r="O157" s="13"/>
    </row>
    <row r="158">
      <c r="A158" s="8" t="s">
        <v>163</v>
      </c>
      <c r="B158" s="9">
        <v>40.0</v>
      </c>
      <c r="C158" s="9" t="s">
        <v>8</v>
      </c>
      <c r="D158" s="9">
        <v>50.0</v>
      </c>
      <c r="E158" s="10">
        <v>1.0</v>
      </c>
      <c r="F158" s="9">
        <v>1.0</v>
      </c>
      <c r="G158" s="11"/>
      <c r="H158" s="11"/>
      <c r="I158" s="11"/>
      <c r="J158" s="12"/>
      <c r="K158" s="13"/>
      <c r="L158" s="12"/>
      <c r="M158" s="13"/>
      <c r="N158" s="13"/>
      <c r="O158" s="13"/>
    </row>
    <row r="159">
      <c r="A159" s="8" t="s">
        <v>164</v>
      </c>
      <c r="B159" s="9">
        <v>40.0</v>
      </c>
      <c r="C159" s="9" t="s">
        <v>8</v>
      </c>
      <c r="D159" s="9">
        <v>50.0</v>
      </c>
      <c r="E159" s="10">
        <v>1.0</v>
      </c>
      <c r="F159" s="9">
        <v>2.0</v>
      </c>
      <c r="G159" s="11"/>
      <c r="H159" s="11"/>
      <c r="I159" s="11"/>
      <c r="J159" s="12"/>
      <c r="K159" s="13"/>
      <c r="L159" s="12"/>
      <c r="M159" s="13"/>
      <c r="N159" s="13"/>
      <c r="O159" s="13"/>
    </row>
    <row r="160">
      <c r="A160" s="8" t="s">
        <v>165</v>
      </c>
      <c r="B160" s="9">
        <v>40.0</v>
      </c>
      <c r="C160" s="9" t="s">
        <v>8</v>
      </c>
      <c r="D160" s="9">
        <v>50.0</v>
      </c>
      <c r="E160" s="10">
        <v>1.0</v>
      </c>
      <c r="F160" s="9">
        <v>3.0</v>
      </c>
      <c r="G160" s="11"/>
      <c r="H160" s="11"/>
      <c r="I160" s="11"/>
      <c r="J160" s="12"/>
      <c r="K160" s="13"/>
      <c r="L160" s="12"/>
      <c r="M160" s="13"/>
      <c r="N160" s="13"/>
      <c r="O160" s="13"/>
    </row>
    <row r="161">
      <c r="A161" s="8" t="s">
        <v>166</v>
      </c>
      <c r="B161" s="9">
        <v>40.0</v>
      </c>
      <c r="C161" s="9" t="s">
        <v>8</v>
      </c>
      <c r="D161" s="9">
        <v>50.0</v>
      </c>
      <c r="E161" s="10">
        <v>1.0</v>
      </c>
      <c r="F161" s="9">
        <v>4.0</v>
      </c>
      <c r="G161" s="11"/>
      <c r="H161" s="11"/>
      <c r="I161" s="11"/>
      <c r="J161" s="12"/>
      <c r="K161" s="13"/>
      <c r="L161" s="12"/>
      <c r="M161" s="13"/>
      <c r="N161" s="13"/>
      <c r="O161" s="13"/>
    </row>
    <row r="162">
      <c r="A162" s="8" t="s">
        <v>167</v>
      </c>
      <c r="B162" s="9">
        <v>40.0</v>
      </c>
      <c r="C162" s="9" t="s">
        <v>8</v>
      </c>
      <c r="D162" s="9">
        <v>50.0</v>
      </c>
      <c r="E162" s="10">
        <v>1.0</v>
      </c>
      <c r="F162" s="9">
        <v>5.0</v>
      </c>
      <c r="G162" s="11"/>
      <c r="H162" s="11"/>
      <c r="I162" s="11"/>
      <c r="J162" s="12"/>
      <c r="K162" s="13"/>
      <c r="L162" s="12"/>
      <c r="M162" s="13"/>
      <c r="N162" s="13"/>
      <c r="O162" s="13"/>
    </row>
    <row r="163">
      <c r="A163" s="8" t="s">
        <v>168</v>
      </c>
      <c r="B163" s="9">
        <v>40.0</v>
      </c>
      <c r="C163" s="9" t="s">
        <v>8</v>
      </c>
      <c r="D163" s="9">
        <v>50.0</v>
      </c>
      <c r="E163" s="10">
        <v>2.0</v>
      </c>
      <c r="F163" s="9">
        <v>1.0</v>
      </c>
      <c r="G163" s="11"/>
      <c r="H163" s="11"/>
      <c r="I163" s="11"/>
      <c r="J163" s="12"/>
      <c r="K163" s="13"/>
      <c r="L163" s="12"/>
      <c r="M163" s="13"/>
      <c r="N163" s="13"/>
      <c r="O163" s="13"/>
    </row>
    <row r="164">
      <c r="A164" s="8" t="s">
        <v>169</v>
      </c>
      <c r="B164" s="9">
        <v>40.0</v>
      </c>
      <c r="C164" s="9" t="s">
        <v>8</v>
      </c>
      <c r="D164" s="9">
        <v>50.0</v>
      </c>
      <c r="E164" s="10">
        <v>2.0</v>
      </c>
      <c r="F164" s="9">
        <v>2.0</v>
      </c>
      <c r="G164" s="11"/>
      <c r="H164" s="11"/>
      <c r="I164" s="11"/>
      <c r="J164" s="12"/>
      <c r="K164" s="13"/>
      <c r="L164" s="12"/>
      <c r="M164" s="13"/>
      <c r="N164" s="13"/>
      <c r="O164" s="13"/>
    </row>
    <row r="165">
      <c r="A165" s="8" t="s">
        <v>170</v>
      </c>
      <c r="B165" s="9">
        <v>40.0</v>
      </c>
      <c r="C165" s="9" t="s">
        <v>8</v>
      </c>
      <c r="D165" s="9">
        <v>50.0</v>
      </c>
      <c r="E165" s="10">
        <v>2.0</v>
      </c>
      <c r="F165" s="9">
        <v>3.0</v>
      </c>
      <c r="G165" s="11"/>
      <c r="H165" s="11"/>
      <c r="I165" s="11"/>
      <c r="J165" s="12"/>
      <c r="K165" s="13"/>
      <c r="L165" s="12"/>
      <c r="M165" s="13"/>
      <c r="N165" s="13"/>
      <c r="O165" s="13"/>
    </row>
    <row r="166">
      <c r="A166" s="8" t="s">
        <v>171</v>
      </c>
      <c r="B166" s="9">
        <v>40.0</v>
      </c>
      <c r="C166" s="9" t="s">
        <v>8</v>
      </c>
      <c r="D166" s="9">
        <v>50.0</v>
      </c>
      <c r="E166" s="10">
        <v>2.0</v>
      </c>
      <c r="F166" s="9">
        <v>4.0</v>
      </c>
      <c r="G166" s="11"/>
      <c r="H166" s="11"/>
      <c r="I166" s="11"/>
      <c r="J166" s="12"/>
      <c r="K166" s="13"/>
      <c r="L166" s="12"/>
      <c r="M166" s="13"/>
      <c r="N166" s="13"/>
      <c r="O166" s="13"/>
    </row>
    <row r="167">
      <c r="A167" s="8" t="s">
        <v>172</v>
      </c>
      <c r="B167" s="9">
        <v>40.0</v>
      </c>
      <c r="C167" s="9" t="s">
        <v>8</v>
      </c>
      <c r="D167" s="9">
        <v>50.0</v>
      </c>
      <c r="E167" s="10">
        <v>2.0</v>
      </c>
      <c r="F167" s="9">
        <v>5.0</v>
      </c>
      <c r="G167" s="11"/>
      <c r="H167" s="11"/>
      <c r="I167" s="11"/>
      <c r="J167" s="12"/>
      <c r="K167" s="13"/>
      <c r="L167" s="12"/>
      <c r="M167" s="13"/>
      <c r="N167" s="13"/>
      <c r="O167" s="13"/>
    </row>
    <row r="168">
      <c r="A168" s="8" t="s">
        <v>173</v>
      </c>
      <c r="B168" s="9">
        <v>40.0</v>
      </c>
      <c r="C168" s="9" t="s">
        <v>8</v>
      </c>
      <c r="D168" s="9">
        <v>75.0</v>
      </c>
      <c r="E168" s="10">
        <v>0.6</v>
      </c>
      <c r="F168" s="9">
        <v>1.0</v>
      </c>
      <c r="G168" s="11"/>
      <c r="H168" s="11"/>
      <c r="I168" s="11"/>
      <c r="J168" s="12"/>
      <c r="K168" s="13"/>
      <c r="L168" s="12"/>
      <c r="M168" s="13"/>
      <c r="N168" s="13"/>
      <c r="O168" s="13"/>
    </row>
    <row r="169">
      <c r="A169" s="8" t="s">
        <v>174</v>
      </c>
      <c r="B169" s="9">
        <v>40.0</v>
      </c>
      <c r="C169" s="9" t="s">
        <v>8</v>
      </c>
      <c r="D169" s="9">
        <v>75.0</v>
      </c>
      <c r="E169" s="10">
        <v>0.6</v>
      </c>
      <c r="F169" s="9">
        <v>2.0</v>
      </c>
      <c r="G169" s="11"/>
      <c r="H169" s="11"/>
      <c r="I169" s="11"/>
      <c r="J169" s="12"/>
      <c r="K169" s="13"/>
      <c r="L169" s="12"/>
      <c r="M169" s="13"/>
      <c r="N169" s="13"/>
      <c r="O169" s="13"/>
    </row>
    <row r="170">
      <c r="A170" s="8" t="s">
        <v>175</v>
      </c>
      <c r="B170" s="9">
        <v>40.0</v>
      </c>
      <c r="C170" s="9" t="s">
        <v>8</v>
      </c>
      <c r="D170" s="9">
        <v>75.0</v>
      </c>
      <c r="E170" s="10">
        <v>0.6</v>
      </c>
      <c r="F170" s="9">
        <v>3.0</v>
      </c>
      <c r="G170" s="11"/>
      <c r="H170" s="11"/>
      <c r="I170" s="11"/>
      <c r="J170" s="12"/>
      <c r="K170" s="13"/>
      <c r="L170" s="12"/>
      <c r="M170" s="13"/>
      <c r="N170" s="13"/>
      <c r="O170" s="13"/>
    </row>
    <row r="171">
      <c r="A171" s="8" t="s">
        <v>176</v>
      </c>
      <c r="B171" s="9">
        <v>40.0</v>
      </c>
      <c r="C171" s="9" t="s">
        <v>8</v>
      </c>
      <c r="D171" s="9">
        <v>75.0</v>
      </c>
      <c r="E171" s="10">
        <v>0.6</v>
      </c>
      <c r="F171" s="9">
        <v>4.0</v>
      </c>
      <c r="G171" s="11"/>
      <c r="H171" s="11"/>
      <c r="I171" s="11"/>
      <c r="J171" s="12"/>
      <c r="K171" s="13"/>
      <c r="L171" s="12"/>
      <c r="M171" s="13"/>
      <c r="N171" s="13"/>
      <c r="O171" s="13"/>
    </row>
    <row r="172">
      <c r="A172" s="8" t="s">
        <v>177</v>
      </c>
      <c r="B172" s="9">
        <v>40.0</v>
      </c>
      <c r="C172" s="9" t="s">
        <v>8</v>
      </c>
      <c r="D172" s="9">
        <v>75.0</v>
      </c>
      <c r="E172" s="10">
        <v>0.6</v>
      </c>
      <c r="F172" s="9">
        <v>5.0</v>
      </c>
      <c r="G172" s="11"/>
      <c r="H172" s="11"/>
      <c r="I172" s="11"/>
      <c r="J172" s="12"/>
      <c r="K172" s="13"/>
      <c r="L172" s="12"/>
      <c r="M172" s="13"/>
      <c r="N172" s="13"/>
      <c r="O172" s="13"/>
    </row>
    <row r="173">
      <c r="A173" s="8" t="s">
        <v>178</v>
      </c>
      <c r="B173" s="9">
        <v>40.0</v>
      </c>
      <c r="C173" s="9" t="s">
        <v>8</v>
      </c>
      <c r="D173" s="9">
        <v>75.0</v>
      </c>
      <c r="E173" s="10">
        <v>1.0</v>
      </c>
      <c r="F173" s="9">
        <v>1.0</v>
      </c>
      <c r="G173" s="11"/>
      <c r="H173" s="11"/>
      <c r="I173" s="11"/>
      <c r="J173" s="12"/>
      <c r="K173" s="13"/>
      <c r="L173" s="12"/>
      <c r="M173" s="13"/>
      <c r="N173" s="13"/>
      <c r="O173" s="13"/>
    </row>
    <row r="174">
      <c r="A174" s="8" t="s">
        <v>179</v>
      </c>
      <c r="B174" s="9">
        <v>40.0</v>
      </c>
      <c r="C174" s="9" t="s">
        <v>8</v>
      </c>
      <c r="D174" s="9">
        <v>75.0</v>
      </c>
      <c r="E174" s="10">
        <v>1.0</v>
      </c>
      <c r="F174" s="9">
        <v>2.0</v>
      </c>
      <c r="G174" s="11"/>
      <c r="H174" s="11"/>
      <c r="I174" s="11"/>
      <c r="J174" s="12"/>
      <c r="K174" s="13"/>
      <c r="L174" s="12"/>
      <c r="M174" s="13"/>
      <c r="N174" s="13"/>
      <c r="O174" s="13"/>
    </row>
    <row r="175">
      <c r="A175" s="8" t="s">
        <v>180</v>
      </c>
      <c r="B175" s="9">
        <v>40.0</v>
      </c>
      <c r="C175" s="9" t="s">
        <v>8</v>
      </c>
      <c r="D175" s="9">
        <v>75.0</v>
      </c>
      <c r="E175" s="10">
        <v>1.0</v>
      </c>
      <c r="F175" s="9">
        <v>3.0</v>
      </c>
      <c r="G175" s="11"/>
      <c r="H175" s="11"/>
      <c r="I175" s="11"/>
      <c r="J175" s="12"/>
      <c r="K175" s="13"/>
      <c r="L175" s="12"/>
      <c r="M175" s="13"/>
      <c r="N175" s="13"/>
      <c r="O175" s="13"/>
    </row>
    <row r="176">
      <c r="A176" s="8" t="s">
        <v>181</v>
      </c>
      <c r="B176" s="9">
        <v>40.0</v>
      </c>
      <c r="C176" s="9" t="s">
        <v>8</v>
      </c>
      <c r="D176" s="9">
        <v>75.0</v>
      </c>
      <c r="E176" s="10">
        <v>1.0</v>
      </c>
      <c r="F176" s="9">
        <v>4.0</v>
      </c>
      <c r="G176" s="11"/>
      <c r="H176" s="11"/>
      <c r="I176" s="11"/>
      <c r="J176" s="12"/>
      <c r="K176" s="13"/>
      <c r="L176" s="12"/>
      <c r="M176" s="13"/>
      <c r="N176" s="13"/>
      <c r="O176" s="13"/>
    </row>
    <row r="177">
      <c r="A177" s="8" t="s">
        <v>182</v>
      </c>
      <c r="B177" s="9">
        <v>40.0</v>
      </c>
      <c r="C177" s="9" t="s">
        <v>8</v>
      </c>
      <c r="D177" s="9">
        <v>75.0</v>
      </c>
      <c r="E177" s="10">
        <v>1.0</v>
      </c>
      <c r="F177" s="9">
        <v>5.0</v>
      </c>
      <c r="G177" s="11"/>
      <c r="H177" s="11"/>
      <c r="I177" s="11"/>
      <c r="J177" s="12"/>
      <c r="K177" s="13"/>
      <c r="L177" s="12"/>
      <c r="M177" s="13"/>
      <c r="N177" s="13"/>
      <c r="O177" s="13"/>
    </row>
    <row r="178">
      <c r="A178" s="8" t="s">
        <v>183</v>
      </c>
      <c r="B178" s="9">
        <v>40.0</v>
      </c>
      <c r="C178" s="9" t="s">
        <v>8</v>
      </c>
      <c r="D178" s="9">
        <v>75.0</v>
      </c>
      <c r="E178" s="10">
        <v>2.0</v>
      </c>
      <c r="F178" s="9">
        <v>1.0</v>
      </c>
      <c r="G178" s="11"/>
      <c r="H178" s="11"/>
      <c r="I178" s="11"/>
      <c r="J178" s="12"/>
      <c r="K178" s="13"/>
      <c r="L178" s="12"/>
      <c r="M178" s="13"/>
      <c r="N178" s="13"/>
      <c r="O178" s="13"/>
    </row>
    <row r="179">
      <c r="A179" s="8" t="s">
        <v>184</v>
      </c>
      <c r="B179" s="9">
        <v>40.0</v>
      </c>
      <c r="C179" s="9" t="s">
        <v>8</v>
      </c>
      <c r="D179" s="9">
        <v>75.0</v>
      </c>
      <c r="E179" s="10">
        <v>2.0</v>
      </c>
      <c r="F179" s="9">
        <v>2.0</v>
      </c>
      <c r="G179" s="11"/>
      <c r="H179" s="11"/>
      <c r="I179" s="11"/>
      <c r="J179" s="12"/>
      <c r="K179" s="13"/>
      <c r="L179" s="12"/>
      <c r="M179" s="13"/>
      <c r="N179" s="13"/>
      <c r="O179" s="13"/>
    </row>
    <row r="180">
      <c r="A180" s="8" t="s">
        <v>185</v>
      </c>
      <c r="B180" s="9">
        <v>40.0</v>
      </c>
      <c r="C180" s="9" t="s">
        <v>8</v>
      </c>
      <c r="D180" s="9">
        <v>75.0</v>
      </c>
      <c r="E180" s="10">
        <v>2.0</v>
      </c>
      <c r="F180" s="9">
        <v>3.0</v>
      </c>
      <c r="G180" s="11"/>
      <c r="H180" s="11"/>
      <c r="I180" s="11"/>
      <c r="J180" s="12"/>
      <c r="K180" s="13"/>
      <c r="L180" s="12"/>
      <c r="M180" s="13"/>
      <c r="N180" s="13"/>
      <c r="O180" s="13"/>
    </row>
    <row r="181">
      <c r="A181" s="8" t="s">
        <v>186</v>
      </c>
      <c r="B181" s="9">
        <v>40.0</v>
      </c>
      <c r="C181" s="9" t="s">
        <v>8</v>
      </c>
      <c r="D181" s="9">
        <v>75.0</v>
      </c>
      <c r="E181" s="10">
        <v>2.0</v>
      </c>
      <c r="F181" s="9">
        <v>4.0</v>
      </c>
      <c r="G181" s="11"/>
      <c r="H181" s="11"/>
      <c r="I181" s="11"/>
      <c r="J181" s="12"/>
      <c r="K181" s="13"/>
      <c r="L181" s="12"/>
      <c r="M181" s="13"/>
      <c r="N181" s="13"/>
      <c r="O181" s="13"/>
    </row>
    <row r="182">
      <c r="A182" s="8" t="s">
        <v>187</v>
      </c>
      <c r="B182" s="9">
        <v>40.0</v>
      </c>
      <c r="C182" s="9" t="s">
        <v>8</v>
      </c>
      <c r="D182" s="9">
        <v>75.0</v>
      </c>
      <c r="E182" s="10">
        <v>2.0</v>
      </c>
      <c r="F182" s="9">
        <v>5.0</v>
      </c>
      <c r="G182" s="11"/>
      <c r="H182" s="11"/>
      <c r="I182" s="11"/>
      <c r="J182" s="12"/>
      <c r="K182" s="13"/>
      <c r="L182" s="12"/>
      <c r="M182" s="13"/>
      <c r="N182" s="13"/>
      <c r="O182" s="13"/>
    </row>
    <row r="183">
      <c r="A183" s="8" t="s">
        <v>188</v>
      </c>
      <c r="B183" s="9">
        <v>45.0</v>
      </c>
      <c r="C183" s="9" t="s">
        <v>8</v>
      </c>
      <c r="D183" s="9">
        <v>25.0</v>
      </c>
      <c r="E183" s="10">
        <v>0.6</v>
      </c>
      <c r="F183" s="9">
        <v>1.0</v>
      </c>
      <c r="G183" s="11"/>
      <c r="H183" s="11"/>
      <c r="I183" s="11"/>
      <c r="J183" s="12"/>
      <c r="K183" s="13"/>
      <c r="L183" s="12"/>
      <c r="M183" s="13"/>
      <c r="N183" s="13"/>
      <c r="O183" s="13"/>
    </row>
    <row r="184">
      <c r="A184" s="8" t="s">
        <v>189</v>
      </c>
      <c r="B184" s="9">
        <v>45.0</v>
      </c>
      <c r="C184" s="9" t="s">
        <v>8</v>
      </c>
      <c r="D184" s="9">
        <v>25.0</v>
      </c>
      <c r="E184" s="10">
        <v>0.6</v>
      </c>
      <c r="F184" s="9">
        <v>2.0</v>
      </c>
      <c r="G184" s="11"/>
      <c r="H184" s="11"/>
      <c r="I184" s="11"/>
      <c r="J184" s="12"/>
      <c r="K184" s="13"/>
      <c r="L184" s="12"/>
      <c r="M184" s="13"/>
      <c r="N184" s="13"/>
      <c r="O184" s="13"/>
    </row>
    <row r="185">
      <c r="A185" s="8" t="s">
        <v>190</v>
      </c>
      <c r="B185" s="9">
        <v>45.0</v>
      </c>
      <c r="C185" s="9" t="s">
        <v>8</v>
      </c>
      <c r="D185" s="9">
        <v>25.0</v>
      </c>
      <c r="E185" s="10">
        <v>0.6</v>
      </c>
      <c r="F185" s="9">
        <v>3.0</v>
      </c>
      <c r="G185" s="11"/>
      <c r="H185" s="11"/>
      <c r="I185" s="11"/>
      <c r="J185" s="12"/>
      <c r="K185" s="13"/>
      <c r="L185" s="12"/>
      <c r="M185" s="13"/>
      <c r="N185" s="13"/>
      <c r="O185" s="13"/>
    </row>
    <row r="186">
      <c r="A186" s="8" t="s">
        <v>191</v>
      </c>
      <c r="B186" s="9">
        <v>45.0</v>
      </c>
      <c r="C186" s="9" t="s">
        <v>8</v>
      </c>
      <c r="D186" s="9">
        <v>25.0</v>
      </c>
      <c r="E186" s="10">
        <v>0.6</v>
      </c>
      <c r="F186" s="9">
        <v>4.0</v>
      </c>
      <c r="G186" s="11"/>
      <c r="H186" s="11"/>
      <c r="I186" s="11"/>
      <c r="J186" s="12"/>
      <c r="K186" s="13"/>
      <c r="L186" s="12"/>
      <c r="M186" s="13"/>
      <c r="N186" s="13"/>
      <c r="O186" s="13"/>
    </row>
    <row r="187">
      <c r="A187" s="8" t="s">
        <v>192</v>
      </c>
      <c r="B187" s="9">
        <v>45.0</v>
      </c>
      <c r="C187" s="9" t="s">
        <v>8</v>
      </c>
      <c r="D187" s="9">
        <v>25.0</v>
      </c>
      <c r="E187" s="10">
        <v>0.6</v>
      </c>
      <c r="F187" s="9">
        <v>5.0</v>
      </c>
      <c r="G187" s="11"/>
      <c r="H187" s="11"/>
      <c r="I187" s="11"/>
      <c r="J187" s="12"/>
      <c r="K187" s="13"/>
      <c r="L187" s="12"/>
      <c r="M187" s="13"/>
      <c r="N187" s="13"/>
      <c r="O187" s="13"/>
    </row>
    <row r="188">
      <c r="A188" s="8" t="s">
        <v>193</v>
      </c>
      <c r="B188" s="9">
        <v>45.0</v>
      </c>
      <c r="C188" s="9" t="s">
        <v>8</v>
      </c>
      <c r="D188" s="9">
        <v>25.0</v>
      </c>
      <c r="E188" s="10">
        <v>1.0</v>
      </c>
      <c r="F188" s="9">
        <v>1.0</v>
      </c>
      <c r="G188" s="11"/>
      <c r="H188" s="11"/>
      <c r="I188" s="11"/>
      <c r="J188" s="12"/>
      <c r="K188" s="13"/>
      <c r="L188" s="12"/>
      <c r="M188" s="13"/>
      <c r="N188" s="13"/>
      <c r="O188" s="13"/>
    </row>
    <row r="189">
      <c r="A189" s="8" t="s">
        <v>194</v>
      </c>
      <c r="B189" s="9">
        <v>45.0</v>
      </c>
      <c r="C189" s="9" t="s">
        <v>8</v>
      </c>
      <c r="D189" s="9">
        <v>25.0</v>
      </c>
      <c r="E189" s="10">
        <v>1.0</v>
      </c>
      <c r="F189" s="9">
        <v>2.0</v>
      </c>
      <c r="G189" s="11"/>
      <c r="H189" s="11"/>
      <c r="I189" s="11"/>
      <c r="J189" s="12"/>
      <c r="K189" s="13"/>
      <c r="L189" s="12"/>
      <c r="M189" s="13"/>
      <c r="N189" s="13"/>
      <c r="O189" s="13"/>
    </row>
    <row r="190">
      <c r="A190" s="8" t="s">
        <v>195</v>
      </c>
      <c r="B190" s="9">
        <v>45.0</v>
      </c>
      <c r="C190" s="9" t="s">
        <v>8</v>
      </c>
      <c r="D190" s="9">
        <v>25.0</v>
      </c>
      <c r="E190" s="10">
        <v>1.0</v>
      </c>
      <c r="F190" s="9">
        <v>3.0</v>
      </c>
      <c r="G190" s="11"/>
      <c r="H190" s="11"/>
      <c r="I190" s="11"/>
      <c r="J190" s="12"/>
      <c r="K190" s="13"/>
      <c r="L190" s="12"/>
      <c r="M190" s="13"/>
      <c r="N190" s="13"/>
      <c r="O190" s="13"/>
    </row>
    <row r="191">
      <c r="A191" s="8" t="s">
        <v>196</v>
      </c>
      <c r="B191" s="9">
        <v>45.0</v>
      </c>
      <c r="C191" s="9" t="s">
        <v>8</v>
      </c>
      <c r="D191" s="9">
        <v>25.0</v>
      </c>
      <c r="E191" s="10">
        <v>1.0</v>
      </c>
      <c r="F191" s="9">
        <v>4.0</v>
      </c>
      <c r="G191" s="11"/>
      <c r="H191" s="11"/>
      <c r="I191" s="11"/>
      <c r="J191" s="12"/>
      <c r="K191" s="13"/>
      <c r="L191" s="12"/>
      <c r="M191" s="13"/>
      <c r="N191" s="13"/>
      <c r="O191" s="13"/>
    </row>
    <row r="192">
      <c r="A192" s="8" t="s">
        <v>197</v>
      </c>
      <c r="B192" s="9">
        <v>45.0</v>
      </c>
      <c r="C192" s="9" t="s">
        <v>8</v>
      </c>
      <c r="D192" s="9">
        <v>25.0</v>
      </c>
      <c r="E192" s="10">
        <v>1.0</v>
      </c>
      <c r="F192" s="9">
        <v>5.0</v>
      </c>
      <c r="G192" s="11"/>
      <c r="H192" s="11"/>
      <c r="I192" s="11"/>
      <c r="J192" s="12"/>
      <c r="K192" s="13"/>
      <c r="L192" s="12"/>
      <c r="M192" s="13"/>
      <c r="N192" s="13"/>
      <c r="O192" s="13"/>
    </row>
    <row r="193">
      <c r="A193" s="8" t="s">
        <v>198</v>
      </c>
      <c r="B193" s="9">
        <v>45.0</v>
      </c>
      <c r="C193" s="9" t="s">
        <v>8</v>
      </c>
      <c r="D193" s="9">
        <v>25.0</v>
      </c>
      <c r="E193" s="10">
        <v>2.0</v>
      </c>
      <c r="F193" s="9">
        <v>1.0</v>
      </c>
      <c r="G193" s="11"/>
      <c r="H193" s="11"/>
      <c r="I193" s="11"/>
      <c r="J193" s="12"/>
      <c r="K193" s="13"/>
      <c r="L193" s="12"/>
      <c r="M193" s="13"/>
      <c r="N193" s="13"/>
      <c r="O193" s="13"/>
    </row>
    <row r="194">
      <c r="A194" s="8" t="s">
        <v>199</v>
      </c>
      <c r="B194" s="9">
        <v>45.0</v>
      </c>
      <c r="C194" s="9" t="s">
        <v>8</v>
      </c>
      <c r="D194" s="9">
        <v>25.0</v>
      </c>
      <c r="E194" s="10">
        <v>2.0</v>
      </c>
      <c r="F194" s="9">
        <v>2.0</v>
      </c>
      <c r="G194" s="11"/>
      <c r="H194" s="11"/>
      <c r="I194" s="11"/>
      <c r="J194" s="12"/>
      <c r="K194" s="13"/>
      <c r="L194" s="12"/>
      <c r="M194" s="13"/>
      <c r="N194" s="13"/>
      <c r="O194" s="13"/>
    </row>
    <row r="195">
      <c r="A195" s="8" t="s">
        <v>200</v>
      </c>
      <c r="B195" s="9">
        <v>45.0</v>
      </c>
      <c r="C195" s="9" t="s">
        <v>8</v>
      </c>
      <c r="D195" s="9">
        <v>25.0</v>
      </c>
      <c r="E195" s="10">
        <v>2.0</v>
      </c>
      <c r="F195" s="9">
        <v>3.0</v>
      </c>
      <c r="G195" s="11"/>
      <c r="H195" s="11"/>
      <c r="I195" s="11"/>
      <c r="J195" s="12"/>
      <c r="K195" s="13"/>
      <c r="L195" s="12"/>
      <c r="M195" s="13"/>
      <c r="N195" s="13"/>
      <c r="O195" s="13"/>
    </row>
    <row r="196">
      <c r="A196" s="8" t="s">
        <v>201</v>
      </c>
      <c r="B196" s="9">
        <v>45.0</v>
      </c>
      <c r="C196" s="9" t="s">
        <v>8</v>
      </c>
      <c r="D196" s="9">
        <v>25.0</v>
      </c>
      <c r="E196" s="10">
        <v>2.0</v>
      </c>
      <c r="F196" s="9">
        <v>4.0</v>
      </c>
      <c r="G196" s="11"/>
      <c r="H196" s="11"/>
      <c r="I196" s="11"/>
      <c r="J196" s="12"/>
      <c r="K196" s="13"/>
      <c r="L196" s="12"/>
      <c r="M196" s="13"/>
      <c r="N196" s="13"/>
      <c r="O196" s="13"/>
    </row>
    <row r="197">
      <c r="A197" s="8" t="s">
        <v>202</v>
      </c>
      <c r="B197" s="9">
        <v>45.0</v>
      </c>
      <c r="C197" s="9" t="s">
        <v>8</v>
      </c>
      <c r="D197" s="9">
        <v>25.0</v>
      </c>
      <c r="E197" s="10">
        <v>2.0</v>
      </c>
      <c r="F197" s="9">
        <v>5.0</v>
      </c>
      <c r="G197" s="11"/>
      <c r="H197" s="11"/>
      <c r="I197" s="11"/>
      <c r="J197" s="12"/>
      <c r="K197" s="13"/>
      <c r="L197" s="12"/>
      <c r="M197" s="13"/>
      <c r="N197" s="13"/>
      <c r="O197" s="13"/>
    </row>
    <row r="198">
      <c r="A198" s="8" t="s">
        <v>203</v>
      </c>
      <c r="B198" s="9">
        <v>45.0</v>
      </c>
      <c r="C198" s="9" t="s">
        <v>8</v>
      </c>
      <c r="D198" s="9">
        <v>50.0</v>
      </c>
      <c r="E198" s="10">
        <v>0.6</v>
      </c>
      <c r="F198" s="9">
        <v>1.0</v>
      </c>
      <c r="G198" s="11"/>
      <c r="H198" s="11"/>
      <c r="I198" s="11"/>
      <c r="J198" s="12"/>
      <c r="K198" s="13"/>
      <c r="L198" s="12"/>
      <c r="M198" s="13"/>
      <c r="N198" s="13"/>
      <c r="O198" s="13"/>
    </row>
    <row r="199">
      <c r="A199" s="8" t="s">
        <v>204</v>
      </c>
      <c r="B199" s="9">
        <v>45.0</v>
      </c>
      <c r="C199" s="9" t="s">
        <v>8</v>
      </c>
      <c r="D199" s="9">
        <v>50.0</v>
      </c>
      <c r="E199" s="10">
        <v>0.6</v>
      </c>
      <c r="F199" s="9">
        <v>2.0</v>
      </c>
      <c r="G199" s="11"/>
      <c r="H199" s="11"/>
      <c r="I199" s="11"/>
      <c r="J199" s="12"/>
      <c r="K199" s="13"/>
      <c r="L199" s="12"/>
      <c r="M199" s="13"/>
      <c r="N199" s="13"/>
      <c r="O199" s="13"/>
    </row>
    <row r="200">
      <c r="A200" s="8" t="s">
        <v>205</v>
      </c>
      <c r="B200" s="9">
        <v>45.0</v>
      </c>
      <c r="C200" s="9" t="s">
        <v>8</v>
      </c>
      <c r="D200" s="9">
        <v>50.0</v>
      </c>
      <c r="E200" s="10">
        <v>0.6</v>
      </c>
      <c r="F200" s="9">
        <v>3.0</v>
      </c>
      <c r="G200" s="11"/>
      <c r="H200" s="11"/>
      <c r="I200" s="11"/>
      <c r="J200" s="12"/>
      <c r="K200" s="13"/>
      <c r="L200" s="12"/>
      <c r="M200" s="13"/>
      <c r="N200" s="13"/>
      <c r="O200" s="13"/>
    </row>
    <row r="201">
      <c r="A201" s="8" t="s">
        <v>206</v>
      </c>
      <c r="B201" s="9">
        <v>45.0</v>
      </c>
      <c r="C201" s="9" t="s">
        <v>8</v>
      </c>
      <c r="D201" s="9">
        <v>50.0</v>
      </c>
      <c r="E201" s="10">
        <v>0.6</v>
      </c>
      <c r="F201" s="9">
        <v>4.0</v>
      </c>
      <c r="G201" s="11"/>
      <c r="H201" s="11"/>
      <c r="I201" s="11"/>
      <c r="J201" s="12"/>
      <c r="K201" s="13"/>
      <c r="L201" s="12"/>
      <c r="M201" s="13"/>
      <c r="N201" s="13"/>
      <c r="O201" s="13"/>
    </row>
    <row r="202">
      <c r="A202" s="8" t="s">
        <v>207</v>
      </c>
      <c r="B202" s="9">
        <v>45.0</v>
      </c>
      <c r="C202" s="9" t="s">
        <v>8</v>
      </c>
      <c r="D202" s="9">
        <v>50.0</v>
      </c>
      <c r="E202" s="10">
        <v>0.6</v>
      </c>
      <c r="F202" s="9">
        <v>5.0</v>
      </c>
      <c r="G202" s="11"/>
      <c r="H202" s="11"/>
      <c r="I202" s="11"/>
      <c r="J202" s="12"/>
      <c r="K202" s="13"/>
      <c r="L202" s="12"/>
      <c r="M202" s="13"/>
      <c r="N202" s="13"/>
      <c r="O202" s="13"/>
    </row>
    <row r="203">
      <c r="A203" s="8" t="s">
        <v>208</v>
      </c>
      <c r="B203" s="9">
        <v>45.0</v>
      </c>
      <c r="C203" s="9" t="s">
        <v>8</v>
      </c>
      <c r="D203" s="9">
        <v>50.0</v>
      </c>
      <c r="E203" s="10">
        <v>1.0</v>
      </c>
      <c r="F203" s="9">
        <v>1.0</v>
      </c>
      <c r="G203" s="11"/>
      <c r="H203" s="11"/>
      <c r="I203" s="11"/>
      <c r="J203" s="12"/>
      <c r="K203" s="13"/>
      <c r="L203" s="12"/>
      <c r="M203" s="13"/>
      <c r="N203" s="13"/>
      <c r="O203" s="13"/>
    </row>
    <row r="204">
      <c r="A204" s="8" t="s">
        <v>209</v>
      </c>
      <c r="B204" s="9">
        <v>45.0</v>
      </c>
      <c r="C204" s="9" t="s">
        <v>8</v>
      </c>
      <c r="D204" s="9">
        <v>50.0</v>
      </c>
      <c r="E204" s="10">
        <v>1.0</v>
      </c>
      <c r="F204" s="9">
        <v>2.0</v>
      </c>
      <c r="G204" s="11"/>
      <c r="H204" s="11"/>
      <c r="I204" s="11"/>
      <c r="J204" s="12"/>
      <c r="K204" s="13"/>
      <c r="L204" s="12"/>
      <c r="M204" s="13"/>
      <c r="N204" s="13"/>
      <c r="O204" s="13"/>
    </row>
    <row r="205">
      <c r="A205" s="8" t="s">
        <v>210</v>
      </c>
      <c r="B205" s="9">
        <v>45.0</v>
      </c>
      <c r="C205" s="9" t="s">
        <v>8</v>
      </c>
      <c r="D205" s="9">
        <v>50.0</v>
      </c>
      <c r="E205" s="10">
        <v>1.0</v>
      </c>
      <c r="F205" s="9">
        <v>3.0</v>
      </c>
      <c r="G205" s="11"/>
      <c r="H205" s="11"/>
      <c r="I205" s="11"/>
      <c r="J205" s="12"/>
      <c r="K205" s="13"/>
      <c r="L205" s="12"/>
      <c r="M205" s="13"/>
      <c r="N205" s="13"/>
      <c r="O205" s="13"/>
    </row>
    <row r="206">
      <c r="A206" s="8" t="s">
        <v>211</v>
      </c>
      <c r="B206" s="9">
        <v>45.0</v>
      </c>
      <c r="C206" s="9" t="s">
        <v>8</v>
      </c>
      <c r="D206" s="9">
        <v>50.0</v>
      </c>
      <c r="E206" s="10">
        <v>1.0</v>
      </c>
      <c r="F206" s="9">
        <v>4.0</v>
      </c>
      <c r="G206" s="11"/>
      <c r="H206" s="11"/>
      <c r="I206" s="11"/>
      <c r="J206" s="12"/>
      <c r="K206" s="13"/>
      <c r="L206" s="12"/>
      <c r="M206" s="13"/>
      <c r="N206" s="13"/>
      <c r="O206" s="13"/>
    </row>
    <row r="207">
      <c r="A207" s="8" t="s">
        <v>212</v>
      </c>
      <c r="B207" s="9">
        <v>45.0</v>
      </c>
      <c r="C207" s="9" t="s">
        <v>8</v>
      </c>
      <c r="D207" s="9">
        <v>50.0</v>
      </c>
      <c r="E207" s="10">
        <v>1.0</v>
      </c>
      <c r="F207" s="9">
        <v>5.0</v>
      </c>
      <c r="G207" s="11"/>
      <c r="H207" s="11"/>
      <c r="I207" s="11"/>
      <c r="J207" s="12"/>
      <c r="K207" s="13"/>
      <c r="L207" s="12"/>
      <c r="M207" s="13"/>
      <c r="N207" s="13"/>
      <c r="O207" s="13"/>
    </row>
    <row r="208">
      <c r="A208" s="8" t="s">
        <v>213</v>
      </c>
      <c r="B208" s="9">
        <v>45.0</v>
      </c>
      <c r="C208" s="9" t="s">
        <v>8</v>
      </c>
      <c r="D208" s="9">
        <v>50.0</v>
      </c>
      <c r="E208" s="10">
        <v>2.0</v>
      </c>
      <c r="F208" s="9">
        <v>1.0</v>
      </c>
      <c r="G208" s="11"/>
      <c r="H208" s="11"/>
      <c r="I208" s="11"/>
      <c r="J208" s="12"/>
      <c r="K208" s="13"/>
      <c r="L208" s="12"/>
      <c r="M208" s="13"/>
      <c r="N208" s="13"/>
      <c r="O208" s="13"/>
    </row>
    <row r="209">
      <c r="A209" s="8" t="s">
        <v>214</v>
      </c>
      <c r="B209" s="9">
        <v>45.0</v>
      </c>
      <c r="C209" s="9" t="s">
        <v>8</v>
      </c>
      <c r="D209" s="9">
        <v>50.0</v>
      </c>
      <c r="E209" s="10">
        <v>2.0</v>
      </c>
      <c r="F209" s="9">
        <v>2.0</v>
      </c>
      <c r="G209" s="11"/>
      <c r="H209" s="11"/>
      <c r="I209" s="11"/>
      <c r="J209" s="12"/>
      <c r="K209" s="13"/>
      <c r="L209" s="12"/>
      <c r="M209" s="13"/>
      <c r="N209" s="13"/>
      <c r="O209" s="13"/>
    </row>
    <row r="210">
      <c r="A210" s="8" t="s">
        <v>215</v>
      </c>
      <c r="B210" s="9">
        <v>45.0</v>
      </c>
      <c r="C210" s="9" t="s">
        <v>8</v>
      </c>
      <c r="D210" s="9">
        <v>50.0</v>
      </c>
      <c r="E210" s="10">
        <v>2.0</v>
      </c>
      <c r="F210" s="9">
        <v>3.0</v>
      </c>
      <c r="G210" s="11"/>
      <c r="H210" s="11"/>
      <c r="I210" s="11"/>
      <c r="J210" s="12"/>
      <c r="K210" s="13"/>
      <c r="L210" s="12"/>
      <c r="M210" s="13"/>
      <c r="N210" s="13"/>
      <c r="O210" s="13"/>
    </row>
    <row r="211">
      <c r="A211" s="8" t="s">
        <v>216</v>
      </c>
      <c r="B211" s="9">
        <v>45.0</v>
      </c>
      <c r="C211" s="9" t="s">
        <v>8</v>
      </c>
      <c r="D211" s="9">
        <v>50.0</v>
      </c>
      <c r="E211" s="10">
        <v>2.0</v>
      </c>
      <c r="F211" s="9">
        <v>4.0</v>
      </c>
      <c r="G211" s="11"/>
      <c r="H211" s="11"/>
      <c r="I211" s="11"/>
      <c r="J211" s="12"/>
      <c r="K211" s="13"/>
      <c r="L211" s="12"/>
      <c r="M211" s="13"/>
      <c r="N211" s="13"/>
      <c r="O211" s="13"/>
    </row>
    <row r="212">
      <c r="A212" s="8" t="s">
        <v>217</v>
      </c>
      <c r="B212" s="9">
        <v>45.0</v>
      </c>
      <c r="C212" s="9" t="s">
        <v>8</v>
      </c>
      <c r="D212" s="9">
        <v>50.0</v>
      </c>
      <c r="E212" s="10">
        <v>2.0</v>
      </c>
      <c r="F212" s="9">
        <v>5.0</v>
      </c>
      <c r="G212" s="11"/>
      <c r="H212" s="11"/>
      <c r="I212" s="11"/>
      <c r="J212" s="12"/>
      <c r="K212" s="13"/>
      <c r="L212" s="12"/>
      <c r="M212" s="13"/>
      <c r="N212" s="13"/>
      <c r="O212" s="13"/>
    </row>
    <row r="213">
      <c r="A213" s="8" t="s">
        <v>218</v>
      </c>
      <c r="B213" s="9">
        <v>45.0</v>
      </c>
      <c r="C213" s="9" t="s">
        <v>8</v>
      </c>
      <c r="D213" s="9">
        <v>75.0</v>
      </c>
      <c r="E213" s="10">
        <v>0.6</v>
      </c>
      <c r="F213" s="9">
        <v>1.0</v>
      </c>
      <c r="G213" s="11"/>
      <c r="H213" s="11"/>
      <c r="I213" s="11"/>
      <c r="J213" s="12"/>
      <c r="K213" s="13"/>
      <c r="L213" s="12"/>
      <c r="M213" s="13"/>
      <c r="N213" s="13"/>
      <c r="O213" s="13"/>
    </row>
    <row r="214">
      <c r="A214" s="8" t="s">
        <v>219</v>
      </c>
      <c r="B214" s="9">
        <v>45.0</v>
      </c>
      <c r="C214" s="9" t="s">
        <v>8</v>
      </c>
      <c r="D214" s="9">
        <v>75.0</v>
      </c>
      <c r="E214" s="10">
        <v>0.6</v>
      </c>
      <c r="F214" s="9">
        <v>2.0</v>
      </c>
      <c r="G214" s="11"/>
      <c r="H214" s="11"/>
      <c r="I214" s="11"/>
      <c r="J214" s="12"/>
      <c r="K214" s="13"/>
      <c r="L214" s="12"/>
      <c r="M214" s="13"/>
      <c r="N214" s="13"/>
      <c r="O214" s="13"/>
    </row>
    <row r="215">
      <c r="A215" s="8" t="s">
        <v>220</v>
      </c>
      <c r="B215" s="9">
        <v>45.0</v>
      </c>
      <c r="C215" s="9" t="s">
        <v>8</v>
      </c>
      <c r="D215" s="9">
        <v>75.0</v>
      </c>
      <c r="E215" s="10">
        <v>0.6</v>
      </c>
      <c r="F215" s="9">
        <v>3.0</v>
      </c>
      <c r="G215" s="11"/>
      <c r="H215" s="11"/>
      <c r="I215" s="11"/>
      <c r="J215" s="12"/>
      <c r="K215" s="13"/>
      <c r="L215" s="12"/>
      <c r="M215" s="13"/>
      <c r="N215" s="13"/>
      <c r="O215" s="13"/>
    </row>
    <row r="216">
      <c r="A216" s="8" t="s">
        <v>221</v>
      </c>
      <c r="B216" s="9">
        <v>45.0</v>
      </c>
      <c r="C216" s="9" t="s">
        <v>8</v>
      </c>
      <c r="D216" s="9">
        <v>75.0</v>
      </c>
      <c r="E216" s="10">
        <v>0.6</v>
      </c>
      <c r="F216" s="9">
        <v>4.0</v>
      </c>
      <c r="G216" s="11"/>
      <c r="H216" s="11"/>
      <c r="I216" s="11"/>
      <c r="J216" s="12"/>
      <c r="K216" s="13"/>
      <c r="L216" s="12"/>
      <c r="M216" s="13"/>
      <c r="N216" s="13"/>
      <c r="O216" s="13"/>
    </row>
    <row r="217">
      <c r="A217" s="8" t="s">
        <v>222</v>
      </c>
      <c r="B217" s="9">
        <v>45.0</v>
      </c>
      <c r="C217" s="9" t="s">
        <v>8</v>
      </c>
      <c r="D217" s="9">
        <v>75.0</v>
      </c>
      <c r="E217" s="10">
        <v>0.6</v>
      </c>
      <c r="F217" s="9">
        <v>5.0</v>
      </c>
      <c r="G217" s="11"/>
      <c r="H217" s="11"/>
      <c r="I217" s="11"/>
      <c r="J217" s="12"/>
      <c r="K217" s="13"/>
      <c r="L217" s="12"/>
      <c r="M217" s="13"/>
      <c r="N217" s="13"/>
      <c r="O217" s="13"/>
    </row>
    <row r="218">
      <c r="A218" s="8" t="s">
        <v>223</v>
      </c>
      <c r="B218" s="9">
        <v>45.0</v>
      </c>
      <c r="C218" s="9" t="s">
        <v>8</v>
      </c>
      <c r="D218" s="9">
        <v>75.0</v>
      </c>
      <c r="E218" s="10">
        <v>1.0</v>
      </c>
      <c r="F218" s="9">
        <v>1.0</v>
      </c>
      <c r="G218" s="11"/>
      <c r="H218" s="11"/>
      <c r="I218" s="11"/>
      <c r="J218" s="12"/>
      <c r="K218" s="13"/>
      <c r="L218" s="12"/>
      <c r="M218" s="13"/>
      <c r="N218" s="13"/>
      <c r="O218" s="13"/>
    </row>
    <row r="219">
      <c r="A219" s="8" t="s">
        <v>224</v>
      </c>
      <c r="B219" s="9">
        <v>45.0</v>
      </c>
      <c r="C219" s="9" t="s">
        <v>8</v>
      </c>
      <c r="D219" s="9">
        <v>75.0</v>
      </c>
      <c r="E219" s="10">
        <v>1.0</v>
      </c>
      <c r="F219" s="9">
        <v>2.0</v>
      </c>
      <c r="G219" s="11"/>
      <c r="H219" s="11"/>
      <c r="I219" s="11"/>
      <c r="J219" s="12"/>
      <c r="K219" s="13"/>
      <c r="L219" s="12"/>
      <c r="M219" s="13"/>
      <c r="N219" s="13"/>
      <c r="O219" s="13"/>
    </row>
    <row r="220">
      <c r="A220" s="8" t="s">
        <v>225</v>
      </c>
      <c r="B220" s="9">
        <v>45.0</v>
      </c>
      <c r="C220" s="9" t="s">
        <v>8</v>
      </c>
      <c r="D220" s="9">
        <v>75.0</v>
      </c>
      <c r="E220" s="10">
        <v>1.0</v>
      </c>
      <c r="F220" s="9">
        <v>3.0</v>
      </c>
      <c r="G220" s="11"/>
      <c r="H220" s="11"/>
      <c r="I220" s="11"/>
      <c r="J220" s="12"/>
      <c r="K220" s="13"/>
      <c r="L220" s="12"/>
      <c r="M220" s="13"/>
      <c r="N220" s="13"/>
      <c r="O220" s="13"/>
    </row>
    <row r="221">
      <c r="A221" s="8" t="s">
        <v>226</v>
      </c>
      <c r="B221" s="9">
        <v>45.0</v>
      </c>
      <c r="C221" s="9" t="s">
        <v>8</v>
      </c>
      <c r="D221" s="9">
        <v>75.0</v>
      </c>
      <c r="E221" s="10">
        <v>1.0</v>
      </c>
      <c r="F221" s="9">
        <v>4.0</v>
      </c>
      <c r="G221" s="11"/>
      <c r="H221" s="11"/>
      <c r="I221" s="11"/>
      <c r="J221" s="12"/>
      <c r="K221" s="13"/>
      <c r="L221" s="12"/>
      <c r="M221" s="13"/>
      <c r="N221" s="13"/>
      <c r="O221" s="13"/>
    </row>
    <row r="222">
      <c r="A222" s="8" t="s">
        <v>227</v>
      </c>
      <c r="B222" s="9">
        <v>45.0</v>
      </c>
      <c r="C222" s="9" t="s">
        <v>8</v>
      </c>
      <c r="D222" s="9">
        <v>75.0</v>
      </c>
      <c r="E222" s="10">
        <v>1.0</v>
      </c>
      <c r="F222" s="9">
        <v>5.0</v>
      </c>
      <c r="G222" s="11"/>
      <c r="H222" s="11"/>
      <c r="I222" s="11"/>
      <c r="J222" s="12"/>
      <c r="K222" s="13"/>
      <c r="L222" s="12"/>
      <c r="M222" s="13"/>
      <c r="N222" s="13"/>
      <c r="O222" s="13"/>
    </row>
    <row r="223">
      <c r="A223" s="8" t="s">
        <v>228</v>
      </c>
      <c r="B223" s="9">
        <v>45.0</v>
      </c>
      <c r="C223" s="9" t="s">
        <v>8</v>
      </c>
      <c r="D223" s="9">
        <v>75.0</v>
      </c>
      <c r="E223" s="10">
        <v>2.0</v>
      </c>
      <c r="F223" s="9">
        <v>1.0</v>
      </c>
      <c r="G223" s="11"/>
      <c r="H223" s="11"/>
      <c r="I223" s="11"/>
      <c r="J223" s="12"/>
      <c r="K223" s="13"/>
      <c r="L223" s="12"/>
      <c r="M223" s="13"/>
      <c r="N223" s="13"/>
      <c r="O223" s="13"/>
    </row>
    <row r="224">
      <c r="A224" s="8" t="s">
        <v>229</v>
      </c>
      <c r="B224" s="9">
        <v>45.0</v>
      </c>
      <c r="C224" s="9" t="s">
        <v>8</v>
      </c>
      <c r="D224" s="9">
        <v>75.0</v>
      </c>
      <c r="E224" s="10">
        <v>2.0</v>
      </c>
      <c r="F224" s="9">
        <v>2.0</v>
      </c>
      <c r="G224" s="11"/>
      <c r="H224" s="11"/>
      <c r="I224" s="11"/>
      <c r="J224" s="12"/>
      <c r="K224" s="13"/>
      <c r="L224" s="12"/>
      <c r="M224" s="13"/>
      <c r="N224" s="13"/>
      <c r="O224" s="13"/>
    </row>
    <row r="225">
      <c r="A225" s="8" t="s">
        <v>230</v>
      </c>
      <c r="B225" s="9">
        <v>45.0</v>
      </c>
      <c r="C225" s="9" t="s">
        <v>8</v>
      </c>
      <c r="D225" s="9">
        <v>75.0</v>
      </c>
      <c r="E225" s="10">
        <v>2.0</v>
      </c>
      <c r="F225" s="9">
        <v>3.0</v>
      </c>
      <c r="G225" s="11"/>
      <c r="H225" s="11"/>
      <c r="I225" s="11"/>
      <c r="J225" s="12"/>
      <c r="K225" s="13"/>
      <c r="L225" s="12"/>
      <c r="M225" s="13"/>
      <c r="N225" s="13"/>
      <c r="O225" s="13"/>
    </row>
    <row r="226">
      <c r="A226" s="8" t="s">
        <v>231</v>
      </c>
      <c r="B226" s="9">
        <v>45.0</v>
      </c>
      <c r="C226" s="9" t="s">
        <v>8</v>
      </c>
      <c r="D226" s="9">
        <v>75.0</v>
      </c>
      <c r="E226" s="10">
        <v>2.0</v>
      </c>
      <c r="F226" s="9">
        <v>4.0</v>
      </c>
      <c r="G226" s="11"/>
      <c r="H226" s="11"/>
      <c r="I226" s="11"/>
      <c r="J226" s="12"/>
      <c r="K226" s="13"/>
      <c r="L226" s="12"/>
      <c r="M226" s="13"/>
      <c r="N226" s="13"/>
      <c r="O226" s="13"/>
    </row>
    <row r="227">
      <c r="A227" s="8" t="s">
        <v>232</v>
      </c>
      <c r="B227" s="9">
        <v>45.0</v>
      </c>
      <c r="C227" s="9" t="s">
        <v>8</v>
      </c>
      <c r="D227" s="9">
        <v>75.0</v>
      </c>
      <c r="E227" s="10">
        <v>2.0</v>
      </c>
      <c r="F227" s="9">
        <v>5.0</v>
      </c>
      <c r="G227" s="11"/>
      <c r="H227" s="11"/>
      <c r="I227" s="11"/>
      <c r="J227" s="12"/>
      <c r="K227" s="13"/>
      <c r="L227" s="12"/>
      <c r="M227" s="13"/>
      <c r="N227" s="13"/>
      <c r="O227" s="13"/>
    </row>
    <row r="228">
      <c r="A228" s="8" t="s">
        <v>233</v>
      </c>
      <c r="B228" s="9">
        <v>25.0</v>
      </c>
      <c r="C228" s="14" t="s">
        <v>234</v>
      </c>
      <c r="D228" s="9">
        <v>25.0</v>
      </c>
      <c r="E228" s="10">
        <v>0.6</v>
      </c>
      <c r="F228" s="9">
        <v>1.0</v>
      </c>
      <c r="G228" s="11"/>
      <c r="H228" s="11"/>
      <c r="I228" s="11"/>
      <c r="J228" s="12"/>
      <c r="K228" s="13"/>
      <c r="L228" s="12"/>
      <c r="M228" s="13"/>
      <c r="N228" s="13"/>
      <c r="O228" s="13"/>
    </row>
    <row r="229">
      <c r="A229" s="8" t="s">
        <v>235</v>
      </c>
      <c r="B229" s="9">
        <v>25.0</v>
      </c>
      <c r="C229" s="14" t="s">
        <v>234</v>
      </c>
      <c r="D229" s="9">
        <v>25.0</v>
      </c>
      <c r="E229" s="10">
        <v>0.6</v>
      </c>
      <c r="F229" s="9">
        <v>2.0</v>
      </c>
      <c r="G229" s="11"/>
      <c r="H229" s="11"/>
      <c r="I229" s="11"/>
      <c r="J229" s="12"/>
      <c r="K229" s="13"/>
      <c r="L229" s="12"/>
      <c r="M229" s="13"/>
      <c r="N229" s="13"/>
      <c r="O229" s="13"/>
    </row>
    <row r="230">
      <c r="A230" s="8" t="s">
        <v>236</v>
      </c>
      <c r="B230" s="9">
        <v>25.0</v>
      </c>
      <c r="C230" s="14" t="s">
        <v>234</v>
      </c>
      <c r="D230" s="9">
        <v>25.0</v>
      </c>
      <c r="E230" s="10">
        <v>0.6</v>
      </c>
      <c r="F230" s="9">
        <v>3.0</v>
      </c>
      <c r="G230" s="11"/>
      <c r="H230" s="11"/>
      <c r="I230" s="11"/>
      <c r="J230" s="12"/>
      <c r="K230" s="13"/>
      <c r="L230" s="12"/>
      <c r="M230" s="13"/>
      <c r="N230" s="13"/>
      <c r="O230" s="13"/>
    </row>
    <row r="231">
      <c r="A231" s="8" t="s">
        <v>237</v>
      </c>
      <c r="B231" s="9">
        <v>25.0</v>
      </c>
      <c r="C231" s="14" t="s">
        <v>234</v>
      </c>
      <c r="D231" s="9">
        <v>25.0</v>
      </c>
      <c r="E231" s="10">
        <v>0.6</v>
      </c>
      <c r="F231" s="9">
        <v>4.0</v>
      </c>
      <c r="G231" s="11"/>
      <c r="H231" s="11"/>
      <c r="I231" s="11"/>
      <c r="J231" s="12"/>
      <c r="K231" s="13"/>
      <c r="L231" s="12"/>
      <c r="M231" s="13"/>
      <c r="N231" s="13"/>
      <c r="O231" s="13"/>
    </row>
    <row r="232">
      <c r="A232" s="8" t="s">
        <v>238</v>
      </c>
      <c r="B232" s="9">
        <v>25.0</v>
      </c>
      <c r="C232" s="14" t="s">
        <v>234</v>
      </c>
      <c r="D232" s="9">
        <v>25.0</v>
      </c>
      <c r="E232" s="10">
        <v>0.6</v>
      </c>
      <c r="F232" s="9">
        <v>5.0</v>
      </c>
      <c r="G232" s="11"/>
      <c r="H232" s="11"/>
      <c r="I232" s="11"/>
      <c r="J232" s="12"/>
      <c r="K232" s="13"/>
      <c r="L232" s="12"/>
      <c r="M232" s="13"/>
      <c r="N232" s="13"/>
      <c r="O232" s="13"/>
    </row>
    <row r="233">
      <c r="A233" s="8" t="s">
        <v>239</v>
      </c>
      <c r="B233" s="9">
        <v>25.0</v>
      </c>
      <c r="C233" s="14" t="s">
        <v>234</v>
      </c>
      <c r="D233" s="9">
        <v>25.0</v>
      </c>
      <c r="E233" s="10">
        <v>1.0</v>
      </c>
      <c r="F233" s="9">
        <v>1.0</v>
      </c>
      <c r="G233" s="11"/>
      <c r="H233" s="11"/>
      <c r="I233" s="11"/>
      <c r="J233" s="12"/>
      <c r="K233" s="13"/>
      <c r="L233" s="12"/>
      <c r="M233" s="13"/>
      <c r="N233" s="13"/>
      <c r="O233" s="13"/>
    </row>
    <row r="234">
      <c r="A234" s="8" t="s">
        <v>240</v>
      </c>
      <c r="B234" s="9">
        <v>25.0</v>
      </c>
      <c r="C234" s="14" t="s">
        <v>234</v>
      </c>
      <c r="D234" s="9">
        <v>25.0</v>
      </c>
      <c r="E234" s="10">
        <v>1.0</v>
      </c>
      <c r="F234" s="9">
        <v>2.0</v>
      </c>
      <c r="G234" s="11"/>
      <c r="H234" s="11"/>
      <c r="I234" s="11"/>
      <c r="J234" s="12"/>
      <c r="K234" s="13"/>
      <c r="L234" s="12"/>
      <c r="M234" s="13"/>
      <c r="N234" s="13"/>
      <c r="O234" s="13"/>
    </row>
    <row r="235">
      <c r="A235" s="8" t="s">
        <v>241</v>
      </c>
      <c r="B235" s="9">
        <v>25.0</v>
      </c>
      <c r="C235" s="14" t="s">
        <v>234</v>
      </c>
      <c r="D235" s="9">
        <v>25.0</v>
      </c>
      <c r="E235" s="10">
        <v>1.0</v>
      </c>
      <c r="F235" s="9">
        <v>3.0</v>
      </c>
      <c r="G235" s="11"/>
      <c r="H235" s="11"/>
      <c r="I235" s="11"/>
      <c r="J235" s="12"/>
      <c r="K235" s="13"/>
      <c r="L235" s="12"/>
      <c r="M235" s="13"/>
      <c r="N235" s="13"/>
      <c r="O235" s="13"/>
    </row>
    <row r="236">
      <c r="A236" s="8" t="s">
        <v>242</v>
      </c>
      <c r="B236" s="9">
        <v>25.0</v>
      </c>
      <c r="C236" s="14" t="s">
        <v>234</v>
      </c>
      <c r="D236" s="9">
        <v>25.0</v>
      </c>
      <c r="E236" s="10">
        <v>1.0</v>
      </c>
      <c r="F236" s="9">
        <v>4.0</v>
      </c>
      <c r="G236" s="11"/>
      <c r="H236" s="11"/>
      <c r="I236" s="11"/>
      <c r="J236" s="12"/>
      <c r="K236" s="13"/>
      <c r="L236" s="12"/>
      <c r="M236" s="13"/>
      <c r="N236" s="13"/>
      <c r="O236" s="13"/>
    </row>
    <row r="237">
      <c r="A237" s="8" t="s">
        <v>243</v>
      </c>
      <c r="B237" s="9">
        <v>25.0</v>
      </c>
      <c r="C237" s="14" t="s">
        <v>234</v>
      </c>
      <c r="D237" s="9">
        <v>25.0</v>
      </c>
      <c r="E237" s="10">
        <v>1.0</v>
      </c>
      <c r="F237" s="9">
        <v>5.0</v>
      </c>
      <c r="G237" s="11"/>
      <c r="H237" s="11"/>
      <c r="I237" s="11"/>
      <c r="J237" s="12"/>
      <c r="K237" s="13"/>
      <c r="L237" s="12"/>
      <c r="M237" s="13"/>
      <c r="N237" s="13"/>
      <c r="O237" s="13"/>
    </row>
    <row r="238">
      <c r="A238" s="8" t="s">
        <v>244</v>
      </c>
      <c r="B238" s="9">
        <v>25.0</v>
      </c>
      <c r="C238" s="14" t="s">
        <v>234</v>
      </c>
      <c r="D238" s="9">
        <v>25.0</v>
      </c>
      <c r="E238" s="10">
        <v>2.0</v>
      </c>
      <c r="F238" s="9">
        <v>1.0</v>
      </c>
      <c r="G238" s="11"/>
      <c r="H238" s="11"/>
      <c r="I238" s="11"/>
      <c r="J238" s="12"/>
      <c r="K238" s="13"/>
      <c r="L238" s="12"/>
      <c r="M238" s="13"/>
      <c r="N238" s="13"/>
      <c r="O238" s="13"/>
    </row>
    <row r="239">
      <c r="A239" s="8" t="s">
        <v>245</v>
      </c>
      <c r="B239" s="9">
        <v>25.0</v>
      </c>
      <c r="C239" s="14" t="s">
        <v>234</v>
      </c>
      <c r="D239" s="9">
        <v>25.0</v>
      </c>
      <c r="E239" s="10">
        <v>2.0</v>
      </c>
      <c r="F239" s="9">
        <v>2.0</v>
      </c>
      <c r="G239" s="11"/>
      <c r="H239" s="11"/>
      <c r="I239" s="11"/>
      <c r="J239" s="12"/>
      <c r="K239" s="13"/>
      <c r="L239" s="12"/>
      <c r="M239" s="13"/>
      <c r="N239" s="13"/>
      <c r="O239" s="13"/>
    </row>
    <row r="240">
      <c r="A240" s="8" t="s">
        <v>246</v>
      </c>
      <c r="B240" s="9">
        <v>25.0</v>
      </c>
      <c r="C240" s="14" t="s">
        <v>234</v>
      </c>
      <c r="D240" s="9">
        <v>25.0</v>
      </c>
      <c r="E240" s="10">
        <v>2.0</v>
      </c>
      <c r="F240" s="9">
        <v>3.0</v>
      </c>
      <c r="G240" s="11"/>
      <c r="H240" s="11"/>
      <c r="I240" s="11"/>
      <c r="J240" s="12"/>
      <c r="K240" s="13"/>
      <c r="L240" s="12"/>
      <c r="M240" s="13"/>
      <c r="N240" s="13"/>
      <c r="O240" s="13"/>
    </row>
    <row r="241">
      <c r="A241" s="8" t="s">
        <v>247</v>
      </c>
      <c r="B241" s="9">
        <v>25.0</v>
      </c>
      <c r="C241" s="14" t="s">
        <v>234</v>
      </c>
      <c r="D241" s="9">
        <v>25.0</v>
      </c>
      <c r="E241" s="10">
        <v>2.0</v>
      </c>
      <c r="F241" s="9">
        <v>4.0</v>
      </c>
      <c r="G241" s="11"/>
      <c r="H241" s="11"/>
      <c r="I241" s="11"/>
      <c r="J241" s="12"/>
      <c r="K241" s="13"/>
      <c r="L241" s="12"/>
      <c r="M241" s="13"/>
      <c r="N241" s="13"/>
      <c r="O241" s="13"/>
    </row>
    <row r="242">
      <c r="A242" s="8" t="s">
        <v>248</v>
      </c>
      <c r="B242" s="9">
        <v>25.0</v>
      </c>
      <c r="C242" s="14" t="s">
        <v>234</v>
      </c>
      <c r="D242" s="9">
        <v>25.0</v>
      </c>
      <c r="E242" s="10">
        <v>2.0</v>
      </c>
      <c r="F242" s="9">
        <v>5.0</v>
      </c>
      <c r="G242" s="11"/>
      <c r="H242" s="11"/>
      <c r="I242" s="11"/>
      <c r="J242" s="12"/>
      <c r="K242" s="13"/>
      <c r="L242" s="12"/>
      <c r="M242" s="13"/>
      <c r="N242" s="13"/>
      <c r="O242" s="13"/>
    </row>
    <row r="243">
      <c r="A243" s="8" t="s">
        <v>249</v>
      </c>
      <c r="B243" s="9">
        <v>25.0</v>
      </c>
      <c r="C243" s="14" t="s">
        <v>234</v>
      </c>
      <c r="D243" s="9">
        <v>50.0</v>
      </c>
      <c r="E243" s="10">
        <v>0.6</v>
      </c>
      <c r="F243" s="9">
        <v>1.0</v>
      </c>
      <c r="G243" s="11"/>
      <c r="H243" s="11"/>
      <c r="I243" s="11"/>
      <c r="J243" s="12"/>
      <c r="K243" s="13"/>
      <c r="L243" s="12"/>
      <c r="M243" s="13"/>
      <c r="N243" s="13"/>
      <c r="O243" s="13"/>
    </row>
    <row r="244">
      <c r="A244" s="8" t="s">
        <v>250</v>
      </c>
      <c r="B244" s="9">
        <v>25.0</v>
      </c>
      <c r="C244" s="14" t="s">
        <v>234</v>
      </c>
      <c r="D244" s="9">
        <v>50.0</v>
      </c>
      <c r="E244" s="10">
        <v>0.6</v>
      </c>
      <c r="F244" s="9">
        <v>2.0</v>
      </c>
      <c r="G244" s="11"/>
      <c r="H244" s="11"/>
      <c r="I244" s="11"/>
      <c r="J244" s="12"/>
      <c r="K244" s="13"/>
      <c r="L244" s="12"/>
      <c r="M244" s="13"/>
      <c r="N244" s="13"/>
      <c r="O244" s="13"/>
    </row>
    <row r="245">
      <c r="A245" s="8" t="s">
        <v>251</v>
      </c>
      <c r="B245" s="9">
        <v>25.0</v>
      </c>
      <c r="C245" s="14" t="s">
        <v>234</v>
      </c>
      <c r="D245" s="9">
        <v>50.0</v>
      </c>
      <c r="E245" s="10">
        <v>0.6</v>
      </c>
      <c r="F245" s="9">
        <v>3.0</v>
      </c>
      <c r="G245" s="11"/>
      <c r="H245" s="11"/>
      <c r="I245" s="11"/>
      <c r="J245" s="12"/>
      <c r="K245" s="13"/>
      <c r="L245" s="12"/>
      <c r="M245" s="13"/>
      <c r="N245" s="13"/>
      <c r="O245" s="13"/>
    </row>
    <row r="246">
      <c r="A246" s="8" t="s">
        <v>252</v>
      </c>
      <c r="B246" s="9">
        <v>25.0</v>
      </c>
      <c r="C246" s="14" t="s">
        <v>234</v>
      </c>
      <c r="D246" s="9">
        <v>50.0</v>
      </c>
      <c r="E246" s="10">
        <v>0.6</v>
      </c>
      <c r="F246" s="9">
        <v>4.0</v>
      </c>
      <c r="G246" s="11"/>
      <c r="H246" s="11"/>
      <c r="I246" s="11"/>
      <c r="J246" s="12"/>
      <c r="K246" s="13"/>
      <c r="L246" s="12"/>
      <c r="M246" s="13"/>
      <c r="N246" s="13"/>
      <c r="O246" s="13"/>
    </row>
    <row r="247">
      <c r="A247" s="8" t="s">
        <v>253</v>
      </c>
      <c r="B247" s="9">
        <v>25.0</v>
      </c>
      <c r="C247" s="14" t="s">
        <v>234</v>
      </c>
      <c r="D247" s="9">
        <v>50.0</v>
      </c>
      <c r="E247" s="10">
        <v>0.6</v>
      </c>
      <c r="F247" s="9">
        <v>5.0</v>
      </c>
      <c r="G247" s="11"/>
      <c r="H247" s="11"/>
      <c r="I247" s="11"/>
      <c r="J247" s="12"/>
      <c r="K247" s="13"/>
      <c r="L247" s="12"/>
      <c r="M247" s="13"/>
      <c r="N247" s="13"/>
      <c r="O247" s="13"/>
    </row>
    <row r="248">
      <c r="A248" s="8" t="s">
        <v>254</v>
      </c>
      <c r="B248" s="9">
        <v>25.0</v>
      </c>
      <c r="C248" s="14" t="s">
        <v>234</v>
      </c>
      <c r="D248" s="9">
        <v>50.0</v>
      </c>
      <c r="E248" s="10">
        <v>1.0</v>
      </c>
      <c r="F248" s="9">
        <v>1.0</v>
      </c>
      <c r="G248" s="11"/>
      <c r="H248" s="11"/>
      <c r="I248" s="11"/>
      <c r="J248" s="12"/>
      <c r="K248" s="13"/>
      <c r="L248" s="12"/>
      <c r="M248" s="13"/>
      <c r="N248" s="13"/>
      <c r="O248" s="13"/>
    </row>
    <row r="249">
      <c r="A249" s="8" t="s">
        <v>255</v>
      </c>
      <c r="B249" s="9">
        <v>25.0</v>
      </c>
      <c r="C249" s="14" t="s">
        <v>234</v>
      </c>
      <c r="D249" s="9">
        <v>50.0</v>
      </c>
      <c r="E249" s="10">
        <v>1.0</v>
      </c>
      <c r="F249" s="9">
        <v>2.0</v>
      </c>
      <c r="G249" s="11"/>
      <c r="H249" s="11"/>
      <c r="I249" s="11"/>
      <c r="J249" s="12"/>
      <c r="K249" s="13"/>
      <c r="L249" s="12"/>
      <c r="M249" s="13"/>
      <c r="N249" s="13"/>
      <c r="O249" s="13"/>
    </row>
    <row r="250">
      <c r="A250" s="8" t="s">
        <v>256</v>
      </c>
      <c r="B250" s="9">
        <v>25.0</v>
      </c>
      <c r="C250" s="14" t="s">
        <v>234</v>
      </c>
      <c r="D250" s="9">
        <v>50.0</v>
      </c>
      <c r="E250" s="10">
        <v>1.0</v>
      </c>
      <c r="F250" s="9">
        <v>3.0</v>
      </c>
      <c r="G250" s="11"/>
      <c r="H250" s="11"/>
      <c r="I250" s="11"/>
      <c r="J250" s="12"/>
      <c r="K250" s="13"/>
      <c r="L250" s="12"/>
      <c r="M250" s="13"/>
      <c r="N250" s="13"/>
      <c r="O250" s="13"/>
    </row>
    <row r="251">
      <c r="A251" s="8" t="s">
        <v>257</v>
      </c>
      <c r="B251" s="9">
        <v>25.0</v>
      </c>
      <c r="C251" s="14" t="s">
        <v>234</v>
      </c>
      <c r="D251" s="9">
        <v>50.0</v>
      </c>
      <c r="E251" s="10">
        <v>1.0</v>
      </c>
      <c r="F251" s="9">
        <v>4.0</v>
      </c>
      <c r="G251" s="11"/>
      <c r="H251" s="11"/>
      <c r="I251" s="11"/>
      <c r="J251" s="12"/>
      <c r="K251" s="13"/>
      <c r="L251" s="12"/>
      <c r="M251" s="13"/>
      <c r="N251" s="13"/>
      <c r="O251" s="13"/>
    </row>
    <row r="252">
      <c r="A252" s="8" t="s">
        <v>258</v>
      </c>
      <c r="B252" s="9">
        <v>25.0</v>
      </c>
      <c r="C252" s="14" t="s">
        <v>234</v>
      </c>
      <c r="D252" s="9">
        <v>50.0</v>
      </c>
      <c r="E252" s="10">
        <v>1.0</v>
      </c>
      <c r="F252" s="9">
        <v>5.0</v>
      </c>
      <c r="G252" s="11"/>
      <c r="H252" s="11"/>
      <c r="I252" s="11"/>
      <c r="J252" s="12"/>
      <c r="K252" s="13"/>
      <c r="L252" s="12"/>
      <c r="M252" s="13"/>
      <c r="N252" s="13"/>
      <c r="O252" s="13"/>
    </row>
    <row r="253">
      <c r="A253" s="8" t="s">
        <v>259</v>
      </c>
      <c r="B253" s="9">
        <v>25.0</v>
      </c>
      <c r="C253" s="14" t="s">
        <v>234</v>
      </c>
      <c r="D253" s="9">
        <v>50.0</v>
      </c>
      <c r="E253" s="10">
        <v>2.0</v>
      </c>
      <c r="F253" s="9">
        <v>1.0</v>
      </c>
      <c r="G253" s="11"/>
      <c r="H253" s="11"/>
      <c r="I253" s="11"/>
      <c r="J253" s="12"/>
      <c r="K253" s="13"/>
      <c r="L253" s="12"/>
      <c r="M253" s="13"/>
      <c r="N253" s="13"/>
      <c r="O253" s="13"/>
    </row>
    <row r="254">
      <c r="A254" s="8" t="s">
        <v>260</v>
      </c>
      <c r="B254" s="9">
        <v>25.0</v>
      </c>
      <c r="C254" s="14" t="s">
        <v>234</v>
      </c>
      <c r="D254" s="9">
        <v>50.0</v>
      </c>
      <c r="E254" s="10">
        <v>2.0</v>
      </c>
      <c r="F254" s="9">
        <v>2.0</v>
      </c>
      <c r="G254" s="11"/>
      <c r="H254" s="11"/>
      <c r="I254" s="11"/>
      <c r="J254" s="12"/>
      <c r="K254" s="13"/>
      <c r="L254" s="12"/>
      <c r="M254" s="13"/>
      <c r="N254" s="13"/>
      <c r="O254" s="13"/>
    </row>
    <row r="255">
      <c r="A255" s="8" t="s">
        <v>261</v>
      </c>
      <c r="B255" s="9">
        <v>25.0</v>
      </c>
      <c r="C255" s="14" t="s">
        <v>234</v>
      </c>
      <c r="D255" s="9">
        <v>50.0</v>
      </c>
      <c r="E255" s="10">
        <v>2.0</v>
      </c>
      <c r="F255" s="9">
        <v>3.0</v>
      </c>
      <c r="G255" s="11"/>
      <c r="H255" s="11"/>
      <c r="I255" s="11"/>
      <c r="J255" s="12"/>
      <c r="K255" s="13"/>
      <c r="L255" s="12"/>
      <c r="M255" s="13"/>
      <c r="N255" s="13"/>
      <c r="O255" s="13"/>
    </row>
    <row r="256">
      <c r="A256" s="8" t="s">
        <v>262</v>
      </c>
      <c r="B256" s="9">
        <v>25.0</v>
      </c>
      <c r="C256" s="14" t="s">
        <v>234</v>
      </c>
      <c r="D256" s="9">
        <v>50.0</v>
      </c>
      <c r="E256" s="10">
        <v>2.0</v>
      </c>
      <c r="F256" s="9">
        <v>4.0</v>
      </c>
      <c r="G256" s="11"/>
      <c r="H256" s="11"/>
      <c r="I256" s="11"/>
      <c r="J256" s="12"/>
      <c r="K256" s="13"/>
      <c r="L256" s="12"/>
      <c r="M256" s="13"/>
      <c r="N256" s="13"/>
      <c r="O256" s="13"/>
    </row>
    <row r="257">
      <c r="A257" s="8" t="s">
        <v>263</v>
      </c>
      <c r="B257" s="9">
        <v>25.0</v>
      </c>
      <c r="C257" s="14" t="s">
        <v>234</v>
      </c>
      <c r="D257" s="9">
        <v>50.0</v>
      </c>
      <c r="E257" s="10">
        <v>2.0</v>
      </c>
      <c r="F257" s="9">
        <v>5.0</v>
      </c>
      <c r="G257" s="11"/>
      <c r="H257" s="11"/>
      <c r="I257" s="11"/>
      <c r="J257" s="12"/>
      <c r="K257" s="13"/>
      <c r="L257" s="12"/>
      <c r="M257" s="13"/>
      <c r="N257" s="13"/>
      <c r="O257" s="13"/>
    </row>
    <row r="258">
      <c r="A258" s="8" t="s">
        <v>264</v>
      </c>
      <c r="B258" s="9">
        <v>25.0</v>
      </c>
      <c r="C258" s="14" t="s">
        <v>234</v>
      </c>
      <c r="D258" s="9">
        <v>75.0</v>
      </c>
      <c r="E258" s="10">
        <v>0.6</v>
      </c>
      <c r="F258" s="9">
        <v>1.0</v>
      </c>
      <c r="G258" s="11"/>
      <c r="H258" s="11"/>
      <c r="I258" s="11"/>
      <c r="J258" s="12"/>
      <c r="K258" s="13"/>
      <c r="L258" s="12"/>
      <c r="M258" s="13"/>
      <c r="N258" s="13"/>
      <c r="O258" s="13"/>
    </row>
    <row r="259">
      <c r="A259" s="8" t="s">
        <v>265</v>
      </c>
      <c r="B259" s="9">
        <v>25.0</v>
      </c>
      <c r="C259" s="14" t="s">
        <v>234</v>
      </c>
      <c r="D259" s="9">
        <v>75.0</v>
      </c>
      <c r="E259" s="10">
        <v>0.6</v>
      </c>
      <c r="F259" s="9">
        <v>2.0</v>
      </c>
      <c r="G259" s="11"/>
      <c r="H259" s="11"/>
      <c r="I259" s="11"/>
      <c r="J259" s="12"/>
      <c r="K259" s="13"/>
      <c r="L259" s="12"/>
      <c r="M259" s="13"/>
      <c r="N259" s="13"/>
      <c r="O259" s="13"/>
    </row>
    <row r="260">
      <c r="A260" s="8" t="s">
        <v>266</v>
      </c>
      <c r="B260" s="9">
        <v>25.0</v>
      </c>
      <c r="C260" s="14" t="s">
        <v>234</v>
      </c>
      <c r="D260" s="9">
        <v>75.0</v>
      </c>
      <c r="E260" s="10">
        <v>0.6</v>
      </c>
      <c r="F260" s="9">
        <v>3.0</v>
      </c>
      <c r="G260" s="11"/>
      <c r="H260" s="11"/>
      <c r="I260" s="11"/>
      <c r="J260" s="12"/>
      <c r="K260" s="13"/>
      <c r="L260" s="12"/>
      <c r="M260" s="13"/>
      <c r="N260" s="13"/>
      <c r="O260" s="13"/>
    </row>
    <row r="261">
      <c r="A261" s="8" t="s">
        <v>267</v>
      </c>
      <c r="B261" s="9">
        <v>25.0</v>
      </c>
      <c r="C261" s="14" t="s">
        <v>234</v>
      </c>
      <c r="D261" s="9">
        <v>75.0</v>
      </c>
      <c r="E261" s="10">
        <v>0.6</v>
      </c>
      <c r="F261" s="9">
        <v>4.0</v>
      </c>
      <c r="G261" s="11"/>
      <c r="H261" s="11"/>
      <c r="I261" s="11"/>
      <c r="J261" s="12"/>
      <c r="K261" s="13"/>
      <c r="L261" s="12"/>
      <c r="M261" s="13"/>
      <c r="N261" s="13"/>
      <c r="O261" s="13"/>
    </row>
    <row r="262">
      <c r="A262" s="8" t="s">
        <v>268</v>
      </c>
      <c r="B262" s="9">
        <v>25.0</v>
      </c>
      <c r="C262" s="14" t="s">
        <v>234</v>
      </c>
      <c r="D262" s="9">
        <v>75.0</v>
      </c>
      <c r="E262" s="10">
        <v>0.6</v>
      </c>
      <c r="F262" s="9">
        <v>5.0</v>
      </c>
      <c r="G262" s="11"/>
      <c r="H262" s="11"/>
      <c r="I262" s="11"/>
      <c r="J262" s="12"/>
      <c r="K262" s="13"/>
      <c r="L262" s="12"/>
      <c r="M262" s="13"/>
      <c r="N262" s="13"/>
      <c r="O262" s="13"/>
    </row>
    <row r="263">
      <c r="A263" s="8" t="s">
        <v>269</v>
      </c>
      <c r="B263" s="9">
        <v>25.0</v>
      </c>
      <c r="C263" s="14" t="s">
        <v>234</v>
      </c>
      <c r="D263" s="9">
        <v>75.0</v>
      </c>
      <c r="E263" s="10">
        <v>1.0</v>
      </c>
      <c r="F263" s="9">
        <v>1.0</v>
      </c>
      <c r="G263" s="11"/>
      <c r="H263" s="11"/>
      <c r="I263" s="11"/>
      <c r="J263" s="12"/>
      <c r="K263" s="13"/>
      <c r="L263" s="12"/>
      <c r="M263" s="13"/>
      <c r="N263" s="13"/>
      <c r="O263" s="13"/>
    </row>
    <row r="264">
      <c r="A264" s="8" t="s">
        <v>270</v>
      </c>
      <c r="B264" s="9">
        <v>25.0</v>
      </c>
      <c r="C264" s="14" t="s">
        <v>234</v>
      </c>
      <c r="D264" s="9">
        <v>75.0</v>
      </c>
      <c r="E264" s="10">
        <v>1.0</v>
      </c>
      <c r="F264" s="9">
        <v>2.0</v>
      </c>
      <c r="G264" s="11"/>
      <c r="H264" s="11"/>
      <c r="I264" s="11"/>
      <c r="J264" s="12"/>
      <c r="K264" s="13"/>
      <c r="L264" s="12"/>
      <c r="M264" s="13"/>
      <c r="N264" s="13"/>
      <c r="O264" s="13"/>
    </row>
    <row r="265">
      <c r="A265" s="8" t="s">
        <v>271</v>
      </c>
      <c r="B265" s="9">
        <v>25.0</v>
      </c>
      <c r="C265" s="14" t="s">
        <v>234</v>
      </c>
      <c r="D265" s="9">
        <v>75.0</v>
      </c>
      <c r="E265" s="10">
        <v>1.0</v>
      </c>
      <c r="F265" s="9">
        <v>3.0</v>
      </c>
      <c r="G265" s="11"/>
      <c r="H265" s="11"/>
      <c r="I265" s="11"/>
      <c r="J265" s="12"/>
      <c r="K265" s="13"/>
      <c r="L265" s="12"/>
      <c r="M265" s="13"/>
      <c r="N265" s="13"/>
      <c r="O265" s="13"/>
    </row>
    <row r="266">
      <c r="A266" s="8" t="s">
        <v>272</v>
      </c>
      <c r="B266" s="9">
        <v>25.0</v>
      </c>
      <c r="C266" s="14" t="s">
        <v>234</v>
      </c>
      <c r="D266" s="9">
        <v>75.0</v>
      </c>
      <c r="E266" s="10">
        <v>1.0</v>
      </c>
      <c r="F266" s="9">
        <v>4.0</v>
      </c>
      <c r="G266" s="11"/>
      <c r="H266" s="11"/>
      <c r="I266" s="11"/>
      <c r="J266" s="12"/>
      <c r="K266" s="13"/>
      <c r="L266" s="12"/>
      <c r="M266" s="13"/>
      <c r="N266" s="13"/>
      <c r="O266" s="13"/>
    </row>
    <row r="267">
      <c r="A267" s="8" t="s">
        <v>273</v>
      </c>
      <c r="B267" s="9">
        <v>25.0</v>
      </c>
      <c r="C267" s="14" t="s">
        <v>234</v>
      </c>
      <c r="D267" s="9">
        <v>75.0</v>
      </c>
      <c r="E267" s="10">
        <v>1.0</v>
      </c>
      <c r="F267" s="9">
        <v>5.0</v>
      </c>
      <c r="G267" s="11"/>
      <c r="H267" s="11"/>
      <c r="I267" s="11"/>
      <c r="J267" s="12"/>
      <c r="K267" s="13"/>
      <c r="L267" s="12"/>
      <c r="M267" s="13"/>
      <c r="N267" s="13"/>
      <c r="O267" s="13"/>
    </row>
    <row r="268">
      <c r="A268" s="8" t="s">
        <v>274</v>
      </c>
      <c r="B268" s="9">
        <v>25.0</v>
      </c>
      <c r="C268" s="14" t="s">
        <v>234</v>
      </c>
      <c r="D268" s="9">
        <v>75.0</v>
      </c>
      <c r="E268" s="10">
        <v>2.0</v>
      </c>
      <c r="F268" s="9">
        <v>1.0</v>
      </c>
      <c r="G268" s="11"/>
      <c r="H268" s="11"/>
      <c r="I268" s="11"/>
      <c r="J268" s="12"/>
      <c r="K268" s="13"/>
      <c r="L268" s="12"/>
      <c r="M268" s="13"/>
      <c r="N268" s="13"/>
      <c r="O268" s="13"/>
    </row>
    <row r="269">
      <c r="A269" s="8" t="s">
        <v>275</v>
      </c>
      <c r="B269" s="9">
        <v>25.0</v>
      </c>
      <c r="C269" s="14" t="s">
        <v>234</v>
      </c>
      <c r="D269" s="9">
        <v>75.0</v>
      </c>
      <c r="E269" s="10">
        <v>2.0</v>
      </c>
      <c r="F269" s="9">
        <v>2.0</v>
      </c>
      <c r="G269" s="11"/>
      <c r="H269" s="11"/>
      <c r="I269" s="11"/>
      <c r="J269" s="12"/>
      <c r="K269" s="13"/>
      <c r="L269" s="12"/>
      <c r="M269" s="13"/>
      <c r="N269" s="13"/>
      <c r="O269" s="13"/>
    </row>
    <row r="270">
      <c r="A270" s="8" t="s">
        <v>276</v>
      </c>
      <c r="B270" s="9">
        <v>25.0</v>
      </c>
      <c r="C270" s="14" t="s">
        <v>234</v>
      </c>
      <c r="D270" s="9">
        <v>75.0</v>
      </c>
      <c r="E270" s="10">
        <v>2.0</v>
      </c>
      <c r="F270" s="9">
        <v>3.0</v>
      </c>
      <c r="G270" s="11"/>
      <c r="H270" s="11"/>
      <c r="I270" s="11"/>
      <c r="J270" s="12"/>
      <c r="K270" s="13"/>
      <c r="L270" s="12"/>
      <c r="M270" s="13"/>
      <c r="N270" s="13"/>
      <c r="O270" s="13"/>
    </row>
    <row r="271">
      <c r="A271" s="8" t="s">
        <v>277</v>
      </c>
      <c r="B271" s="9">
        <v>25.0</v>
      </c>
      <c r="C271" s="14" t="s">
        <v>234</v>
      </c>
      <c r="D271" s="9">
        <v>75.0</v>
      </c>
      <c r="E271" s="10">
        <v>2.0</v>
      </c>
      <c r="F271" s="9">
        <v>4.0</v>
      </c>
      <c r="G271" s="11"/>
      <c r="H271" s="11"/>
      <c r="I271" s="11"/>
      <c r="J271" s="12"/>
      <c r="K271" s="13"/>
      <c r="L271" s="12"/>
      <c r="M271" s="13"/>
      <c r="N271" s="13"/>
      <c r="O271" s="13"/>
    </row>
    <row r="272">
      <c r="A272" s="8" t="s">
        <v>278</v>
      </c>
      <c r="B272" s="9">
        <v>25.0</v>
      </c>
      <c r="C272" s="14" t="s">
        <v>234</v>
      </c>
      <c r="D272" s="9">
        <v>75.0</v>
      </c>
      <c r="E272" s="10">
        <v>2.0</v>
      </c>
      <c r="F272" s="9">
        <v>5.0</v>
      </c>
      <c r="G272" s="11"/>
      <c r="H272" s="11"/>
      <c r="I272" s="11"/>
      <c r="J272" s="12"/>
      <c r="K272" s="13"/>
      <c r="L272" s="12"/>
      <c r="M272" s="13"/>
      <c r="N272" s="13"/>
      <c r="O272" s="13"/>
    </row>
    <row r="273">
      <c r="A273" s="8" t="s">
        <v>279</v>
      </c>
      <c r="B273" s="9">
        <v>30.0</v>
      </c>
      <c r="C273" s="14" t="s">
        <v>234</v>
      </c>
      <c r="D273" s="9">
        <v>25.0</v>
      </c>
      <c r="E273" s="10">
        <v>0.6</v>
      </c>
      <c r="F273" s="9">
        <v>1.0</v>
      </c>
      <c r="G273" s="11"/>
      <c r="H273" s="11"/>
      <c r="I273" s="11"/>
      <c r="J273" s="12"/>
      <c r="K273" s="13"/>
      <c r="L273" s="12"/>
      <c r="M273" s="13"/>
      <c r="N273" s="13"/>
      <c r="O273" s="13"/>
    </row>
    <row r="274">
      <c r="A274" s="8" t="s">
        <v>280</v>
      </c>
      <c r="B274" s="9">
        <v>30.0</v>
      </c>
      <c r="C274" s="14" t="s">
        <v>234</v>
      </c>
      <c r="D274" s="9">
        <v>25.0</v>
      </c>
      <c r="E274" s="10">
        <v>0.6</v>
      </c>
      <c r="F274" s="9">
        <v>2.0</v>
      </c>
      <c r="G274" s="11"/>
      <c r="H274" s="11"/>
      <c r="I274" s="11"/>
      <c r="J274" s="12"/>
      <c r="K274" s="13"/>
      <c r="L274" s="12"/>
      <c r="M274" s="13"/>
      <c r="N274" s="13"/>
      <c r="O274" s="13"/>
    </row>
    <row r="275">
      <c r="A275" s="8" t="s">
        <v>281</v>
      </c>
      <c r="B275" s="9">
        <v>30.0</v>
      </c>
      <c r="C275" s="14" t="s">
        <v>234</v>
      </c>
      <c r="D275" s="9">
        <v>25.0</v>
      </c>
      <c r="E275" s="10">
        <v>0.6</v>
      </c>
      <c r="F275" s="9">
        <v>3.0</v>
      </c>
      <c r="G275" s="11"/>
      <c r="H275" s="11"/>
      <c r="I275" s="11"/>
      <c r="J275" s="12"/>
      <c r="K275" s="13"/>
      <c r="L275" s="12"/>
      <c r="M275" s="13"/>
      <c r="N275" s="13"/>
      <c r="O275" s="13"/>
    </row>
    <row r="276">
      <c r="A276" s="8" t="s">
        <v>282</v>
      </c>
      <c r="B276" s="9">
        <v>30.0</v>
      </c>
      <c r="C276" s="14" t="s">
        <v>234</v>
      </c>
      <c r="D276" s="9">
        <v>25.0</v>
      </c>
      <c r="E276" s="10">
        <v>0.6</v>
      </c>
      <c r="F276" s="9">
        <v>4.0</v>
      </c>
      <c r="G276" s="11"/>
      <c r="H276" s="11"/>
      <c r="I276" s="11"/>
      <c r="J276" s="12"/>
      <c r="K276" s="13"/>
      <c r="L276" s="12"/>
      <c r="M276" s="13"/>
      <c r="N276" s="13"/>
      <c r="O276" s="13"/>
    </row>
    <row r="277">
      <c r="A277" s="8" t="s">
        <v>283</v>
      </c>
      <c r="B277" s="9">
        <v>30.0</v>
      </c>
      <c r="C277" s="14" t="s">
        <v>234</v>
      </c>
      <c r="D277" s="9">
        <v>25.0</v>
      </c>
      <c r="E277" s="10">
        <v>0.6</v>
      </c>
      <c r="F277" s="9">
        <v>5.0</v>
      </c>
      <c r="G277" s="11"/>
      <c r="H277" s="11"/>
      <c r="I277" s="11"/>
      <c r="J277" s="12"/>
      <c r="K277" s="13"/>
      <c r="L277" s="12"/>
      <c r="M277" s="13"/>
      <c r="N277" s="13"/>
      <c r="O277" s="13"/>
    </row>
    <row r="278">
      <c r="A278" s="8" t="s">
        <v>284</v>
      </c>
      <c r="B278" s="9">
        <v>30.0</v>
      </c>
      <c r="C278" s="14" t="s">
        <v>234</v>
      </c>
      <c r="D278" s="9">
        <v>25.0</v>
      </c>
      <c r="E278" s="10">
        <v>1.0</v>
      </c>
      <c r="F278" s="9">
        <v>1.0</v>
      </c>
      <c r="G278" s="11"/>
      <c r="H278" s="11"/>
      <c r="I278" s="11"/>
      <c r="J278" s="12"/>
      <c r="K278" s="13"/>
      <c r="L278" s="12"/>
      <c r="M278" s="13"/>
      <c r="N278" s="13"/>
      <c r="O278" s="13"/>
    </row>
    <row r="279">
      <c r="A279" s="8" t="s">
        <v>285</v>
      </c>
      <c r="B279" s="9">
        <v>30.0</v>
      </c>
      <c r="C279" s="14" t="s">
        <v>234</v>
      </c>
      <c r="D279" s="9">
        <v>25.0</v>
      </c>
      <c r="E279" s="10">
        <v>1.0</v>
      </c>
      <c r="F279" s="9">
        <v>2.0</v>
      </c>
      <c r="G279" s="11"/>
      <c r="H279" s="11"/>
      <c r="I279" s="11"/>
      <c r="J279" s="12"/>
      <c r="K279" s="13"/>
      <c r="L279" s="12"/>
      <c r="M279" s="13"/>
      <c r="N279" s="13"/>
      <c r="O279" s="13"/>
    </row>
    <row r="280">
      <c r="A280" s="8" t="s">
        <v>286</v>
      </c>
      <c r="B280" s="9">
        <v>30.0</v>
      </c>
      <c r="C280" s="14" t="s">
        <v>234</v>
      </c>
      <c r="D280" s="9">
        <v>25.0</v>
      </c>
      <c r="E280" s="10">
        <v>1.0</v>
      </c>
      <c r="F280" s="9">
        <v>3.0</v>
      </c>
      <c r="G280" s="11"/>
      <c r="H280" s="11"/>
      <c r="I280" s="11"/>
      <c r="J280" s="12"/>
      <c r="K280" s="13"/>
      <c r="L280" s="12"/>
      <c r="M280" s="13"/>
      <c r="N280" s="13"/>
      <c r="O280" s="13"/>
    </row>
    <row r="281">
      <c r="A281" s="8" t="s">
        <v>287</v>
      </c>
      <c r="B281" s="9">
        <v>30.0</v>
      </c>
      <c r="C281" s="14" t="s">
        <v>234</v>
      </c>
      <c r="D281" s="9">
        <v>25.0</v>
      </c>
      <c r="E281" s="10">
        <v>1.0</v>
      </c>
      <c r="F281" s="9">
        <v>4.0</v>
      </c>
      <c r="G281" s="11"/>
      <c r="H281" s="11"/>
      <c r="I281" s="11"/>
      <c r="J281" s="12"/>
      <c r="K281" s="13"/>
      <c r="L281" s="12"/>
      <c r="M281" s="13"/>
      <c r="N281" s="13"/>
      <c r="O281" s="13"/>
    </row>
    <row r="282">
      <c r="A282" s="8" t="s">
        <v>288</v>
      </c>
      <c r="B282" s="9">
        <v>30.0</v>
      </c>
      <c r="C282" s="14" t="s">
        <v>234</v>
      </c>
      <c r="D282" s="9">
        <v>25.0</v>
      </c>
      <c r="E282" s="10">
        <v>1.0</v>
      </c>
      <c r="F282" s="9">
        <v>5.0</v>
      </c>
      <c r="G282" s="11"/>
      <c r="H282" s="11"/>
      <c r="I282" s="11"/>
      <c r="J282" s="12"/>
      <c r="K282" s="13"/>
      <c r="L282" s="12"/>
      <c r="M282" s="13"/>
      <c r="N282" s="13"/>
      <c r="O282" s="13"/>
    </row>
    <row r="283">
      <c r="A283" s="8" t="s">
        <v>289</v>
      </c>
      <c r="B283" s="9">
        <v>30.0</v>
      </c>
      <c r="C283" s="14" t="s">
        <v>234</v>
      </c>
      <c r="D283" s="9">
        <v>25.0</v>
      </c>
      <c r="E283" s="10">
        <v>2.0</v>
      </c>
      <c r="F283" s="9">
        <v>1.0</v>
      </c>
      <c r="G283" s="11"/>
      <c r="H283" s="11"/>
      <c r="I283" s="11"/>
      <c r="J283" s="12"/>
      <c r="K283" s="13"/>
      <c r="L283" s="12"/>
      <c r="M283" s="13"/>
      <c r="N283" s="13"/>
      <c r="O283" s="13"/>
    </row>
    <row r="284">
      <c r="A284" s="8" t="s">
        <v>290</v>
      </c>
      <c r="B284" s="9">
        <v>30.0</v>
      </c>
      <c r="C284" s="14" t="s">
        <v>234</v>
      </c>
      <c r="D284" s="9">
        <v>25.0</v>
      </c>
      <c r="E284" s="10">
        <v>2.0</v>
      </c>
      <c r="F284" s="9">
        <v>2.0</v>
      </c>
      <c r="G284" s="11"/>
      <c r="H284" s="11"/>
      <c r="I284" s="11"/>
      <c r="J284" s="12"/>
      <c r="K284" s="13"/>
      <c r="L284" s="12"/>
      <c r="M284" s="13"/>
      <c r="N284" s="13"/>
      <c r="O284" s="13"/>
    </row>
    <row r="285">
      <c r="A285" s="8" t="s">
        <v>291</v>
      </c>
      <c r="B285" s="9">
        <v>30.0</v>
      </c>
      <c r="C285" s="14" t="s">
        <v>234</v>
      </c>
      <c r="D285" s="9">
        <v>25.0</v>
      </c>
      <c r="E285" s="10">
        <v>2.0</v>
      </c>
      <c r="F285" s="9">
        <v>3.0</v>
      </c>
      <c r="G285" s="11"/>
      <c r="H285" s="11"/>
      <c r="I285" s="11"/>
      <c r="J285" s="12"/>
      <c r="K285" s="13"/>
      <c r="L285" s="12"/>
      <c r="M285" s="13"/>
      <c r="N285" s="13"/>
      <c r="O285" s="13"/>
    </row>
    <row r="286">
      <c r="A286" s="8" t="s">
        <v>292</v>
      </c>
      <c r="B286" s="9">
        <v>30.0</v>
      </c>
      <c r="C286" s="14" t="s">
        <v>234</v>
      </c>
      <c r="D286" s="9">
        <v>25.0</v>
      </c>
      <c r="E286" s="10">
        <v>2.0</v>
      </c>
      <c r="F286" s="9">
        <v>4.0</v>
      </c>
      <c r="G286" s="11"/>
      <c r="H286" s="11"/>
      <c r="I286" s="11"/>
      <c r="J286" s="12"/>
      <c r="K286" s="13"/>
      <c r="L286" s="12"/>
      <c r="M286" s="13"/>
      <c r="N286" s="13"/>
      <c r="O286" s="13"/>
    </row>
    <row r="287">
      <c r="A287" s="8" t="s">
        <v>293</v>
      </c>
      <c r="B287" s="9">
        <v>30.0</v>
      </c>
      <c r="C287" s="14" t="s">
        <v>234</v>
      </c>
      <c r="D287" s="9">
        <v>25.0</v>
      </c>
      <c r="E287" s="10">
        <v>2.0</v>
      </c>
      <c r="F287" s="9">
        <v>5.0</v>
      </c>
      <c r="G287" s="11"/>
      <c r="H287" s="11"/>
      <c r="I287" s="11"/>
      <c r="J287" s="12"/>
      <c r="K287" s="13"/>
      <c r="L287" s="12"/>
      <c r="M287" s="13"/>
      <c r="N287" s="13"/>
      <c r="O287" s="13"/>
    </row>
    <row r="288">
      <c r="A288" s="8" t="s">
        <v>294</v>
      </c>
      <c r="B288" s="9">
        <v>30.0</v>
      </c>
      <c r="C288" s="14" t="s">
        <v>234</v>
      </c>
      <c r="D288" s="9">
        <v>50.0</v>
      </c>
      <c r="E288" s="10">
        <v>0.6</v>
      </c>
      <c r="F288" s="9">
        <v>1.0</v>
      </c>
      <c r="G288" s="11"/>
      <c r="H288" s="11"/>
      <c r="I288" s="11"/>
      <c r="J288" s="12"/>
      <c r="K288" s="13"/>
      <c r="L288" s="12"/>
      <c r="M288" s="13"/>
      <c r="N288" s="13"/>
      <c r="O288" s="13"/>
    </row>
    <row r="289">
      <c r="A289" s="8" t="s">
        <v>295</v>
      </c>
      <c r="B289" s="9">
        <v>30.0</v>
      </c>
      <c r="C289" s="14" t="s">
        <v>234</v>
      </c>
      <c r="D289" s="9">
        <v>50.0</v>
      </c>
      <c r="E289" s="10">
        <v>0.6</v>
      </c>
      <c r="F289" s="9">
        <v>2.0</v>
      </c>
      <c r="G289" s="11"/>
      <c r="H289" s="11"/>
      <c r="I289" s="11"/>
      <c r="J289" s="12"/>
      <c r="K289" s="13"/>
      <c r="L289" s="12"/>
      <c r="M289" s="13"/>
      <c r="N289" s="13"/>
      <c r="O289" s="13"/>
    </row>
    <row r="290">
      <c r="A290" s="8" t="s">
        <v>296</v>
      </c>
      <c r="B290" s="9">
        <v>30.0</v>
      </c>
      <c r="C290" s="14" t="s">
        <v>234</v>
      </c>
      <c r="D290" s="9">
        <v>50.0</v>
      </c>
      <c r="E290" s="10">
        <v>0.6</v>
      </c>
      <c r="F290" s="9">
        <v>3.0</v>
      </c>
      <c r="G290" s="11"/>
      <c r="H290" s="11"/>
      <c r="I290" s="11"/>
      <c r="J290" s="12"/>
      <c r="K290" s="13"/>
      <c r="L290" s="12"/>
      <c r="M290" s="13"/>
      <c r="N290" s="13"/>
      <c r="O290" s="13"/>
    </row>
    <row r="291">
      <c r="A291" s="8" t="s">
        <v>297</v>
      </c>
      <c r="B291" s="9">
        <v>30.0</v>
      </c>
      <c r="C291" s="14" t="s">
        <v>234</v>
      </c>
      <c r="D291" s="9">
        <v>50.0</v>
      </c>
      <c r="E291" s="10">
        <v>0.6</v>
      </c>
      <c r="F291" s="9">
        <v>4.0</v>
      </c>
      <c r="G291" s="11"/>
      <c r="H291" s="11"/>
      <c r="I291" s="11"/>
      <c r="J291" s="12"/>
      <c r="K291" s="13"/>
      <c r="L291" s="12"/>
      <c r="M291" s="13"/>
      <c r="N291" s="13"/>
      <c r="O291" s="13"/>
    </row>
    <row r="292">
      <c r="A292" s="8" t="s">
        <v>298</v>
      </c>
      <c r="B292" s="9">
        <v>30.0</v>
      </c>
      <c r="C292" s="14" t="s">
        <v>234</v>
      </c>
      <c r="D292" s="9">
        <v>50.0</v>
      </c>
      <c r="E292" s="10">
        <v>0.6</v>
      </c>
      <c r="F292" s="9">
        <v>5.0</v>
      </c>
      <c r="G292" s="11"/>
      <c r="H292" s="11"/>
      <c r="I292" s="11"/>
      <c r="J292" s="12"/>
      <c r="K292" s="13"/>
      <c r="L292" s="12"/>
      <c r="M292" s="13"/>
      <c r="N292" s="13"/>
      <c r="O292" s="13"/>
    </row>
    <row r="293">
      <c r="A293" s="8" t="s">
        <v>299</v>
      </c>
      <c r="B293" s="9">
        <v>30.0</v>
      </c>
      <c r="C293" s="14" t="s">
        <v>234</v>
      </c>
      <c r="D293" s="9">
        <v>50.0</v>
      </c>
      <c r="E293" s="10">
        <v>1.0</v>
      </c>
      <c r="F293" s="9">
        <v>1.0</v>
      </c>
      <c r="G293" s="11"/>
      <c r="H293" s="11"/>
      <c r="I293" s="11"/>
      <c r="J293" s="12"/>
      <c r="K293" s="13"/>
      <c r="L293" s="12"/>
      <c r="M293" s="13"/>
      <c r="N293" s="13"/>
      <c r="O293" s="13"/>
    </row>
    <row r="294">
      <c r="A294" s="8" t="s">
        <v>300</v>
      </c>
      <c r="B294" s="9">
        <v>30.0</v>
      </c>
      <c r="C294" s="14" t="s">
        <v>234</v>
      </c>
      <c r="D294" s="9">
        <v>50.0</v>
      </c>
      <c r="E294" s="10">
        <v>1.0</v>
      </c>
      <c r="F294" s="9">
        <v>2.0</v>
      </c>
      <c r="G294" s="11"/>
      <c r="H294" s="11"/>
      <c r="I294" s="11"/>
      <c r="J294" s="12"/>
      <c r="K294" s="13"/>
      <c r="L294" s="12"/>
      <c r="M294" s="13"/>
      <c r="N294" s="13"/>
      <c r="O294" s="13"/>
    </row>
    <row r="295">
      <c r="A295" s="8" t="s">
        <v>301</v>
      </c>
      <c r="B295" s="9">
        <v>30.0</v>
      </c>
      <c r="C295" s="14" t="s">
        <v>234</v>
      </c>
      <c r="D295" s="9">
        <v>50.0</v>
      </c>
      <c r="E295" s="10">
        <v>1.0</v>
      </c>
      <c r="F295" s="9">
        <v>3.0</v>
      </c>
      <c r="G295" s="11"/>
      <c r="H295" s="11"/>
      <c r="I295" s="11"/>
      <c r="J295" s="12"/>
      <c r="K295" s="13"/>
      <c r="L295" s="12"/>
      <c r="M295" s="13"/>
      <c r="N295" s="13"/>
      <c r="O295" s="13"/>
    </row>
    <row r="296">
      <c r="A296" s="8" t="s">
        <v>302</v>
      </c>
      <c r="B296" s="9">
        <v>30.0</v>
      </c>
      <c r="C296" s="14" t="s">
        <v>234</v>
      </c>
      <c r="D296" s="9">
        <v>50.0</v>
      </c>
      <c r="E296" s="10">
        <v>1.0</v>
      </c>
      <c r="F296" s="9">
        <v>4.0</v>
      </c>
      <c r="G296" s="11"/>
      <c r="H296" s="11"/>
      <c r="I296" s="11"/>
      <c r="J296" s="12"/>
      <c r="K296" s="13"/>
      <c r="L296" s="12"/>
      <c r="M296" s="13"/>
      <c r="N296" s="13"/>
      <c r="O296" s="13"/>
    </row>
    <row r="297">
      <c r="A297" s="8" t="s">
        <v>303</v>
      </c>
      <c r="B297" s="9">
        <v>30.0</v>
      </c>
      <c r="C297" s="14" t="s">
        <v>234</v>
      </c>
      <c r="D297" s="9">
        <v>50.0</v>
      </c>
      <c r="E297" s="10">
        <v>1.0</v>
      </c>
      <c r="F297" s="9">
        <v>5.0</v>
      </c>
      <c r="G297" s="11"/>
      <c r="H297" s="11"/>
      <c r="I297" s="11"/>
      <c r="J297" s="12"/>
      <c r="K297" s="13"/>
      <c r="L297" s="12"/>
      <c r="M297" s="13"/>
      <c r="N297" s="13"/>
      <c r="O297" s="13"/>
    </row>
    <row r="298">
      <c r="A298" s="8" t="s">
        <v>304</v>
      </c>
      <c r="B298" s="9">
        <v>30.0</v>
      </c>
      <c r="C298" s="14" t="s">
        <v>234</v>
      </c>
      <c r="D298" s="9">
        <v>50.0</v>
      </c>
      <c r="E298" s="10">
        <v>2.0</v>
      </c>
      <c r="F298" s="9">
        <v>1.0</v>
      </c>
      <c r="G298" s="11"/>
      <c r="H298" s="11"/>
      <c r="I298" s="11"/>
      <c r="J298" s="12"/>
      <c r="K298" s="13"/>
      <c r="L298" s="12"/>
      <c r="M298" s="13"/>
      <c r="N298" s="13"/>
      <c r="O298" s="13"/>
    </row>
    <row r="299">
      <c r="A299" s="8" t="s">
        <v>305</v>
      </c>
      <c r="B299" s="9">
        <v>30.0</v>
      </c>
      <c r="C299" s="14" t="s">
        <v>234</v>
      </c>
      <c r="D299" s="9">
        <v>50.0</v>
      </c>
      <c r="E299" s="10">
        <v>2.0</v>
      </c>
      <c r="F299" s="9">
        <v>2.0</v>
      </c>
      <c r="G299" s="11"/>
      <c r="H299" s="11"/>
      <c r="I299" s="11"/>
      <c r="J299" s="12"/>
      <c r="K299" s="13"/>
      <c r="L299" s="12"/>
      <c r="M299" s="13"/>
      <c r="N299" s="13"/>
      <c r="O299" s="13"/>
    </row>
    <row r="300">
      <c r="A300" s="8" t="s">
        <v>306</v>
      </c>
      <c r="B300" s="9">
        <v>30.0</v>
      </c>
      <c r="C300" s="14" t="s">
        <v>234</v>
      </c>
      <c r="D300" s="9">
        <v>50.0</v>
      </c>
      <c r="E300" s="10">
        <v>2.0</v>
      </c>
      <c r="F300" s="9">
        <v>3.0</v>
      </c>
      <c r="G300" s="11"/>
      <c r="H300" s="11"/>
      <c r="I300" s="11"/>
      <c r="J300" s="12"/>
      <c r="K300" s="13"/>
      <c r="L300" s="12"/>
      <c r="M300" s="13"/>
      <c r="N300" s="13"/>
      <c r="O300" s="13"/>
    </row>
    <row r="301">
      <c r="A301" s="8" t="s">
        <v>307</v>
      </c>
      <c r="B301" s="9">
        <v>30.0</v>
      </c>
      <c r="C301" s="14" t="s">
        <v>234</v>
      </c>
      <c r="D301" s="9">
        <v>50.0</v>
      </c>
      <c r="E301" s="10">
        <v>2.0</v>
      </c>
      <c r="F301" s="9">
        <v>4.0</v>
      </c>
      <c r="G301" s="11"/>
      <c r="H301" s="11"/>
      <c r="I301" s="11"/>
      <c r="J301" s="12"/>
      <c r="K301" s="13"/>
      <c r="L301" s="12"/>
      <c r="M301" s="13"/>
      <c r="N301" s="13"/>
      <c r="O301" s="13"/>
    </row>
    <row r="302">
      <c r="A302" s="8" t="s">
        <v>308</v>
      </c>
      <c r="B302" s="9">
        <v>30.0</v>
      </c>
      <c r="C302" s="14" t="s">
        <v>234</v>
      </c>
      <c r="D302" s="9">
        <v>50.0</v>
      </c>
      <c r="E302" s="10">
        <v>2.0</v>
      </c>
      <c r="F302" s="9">
        <v>5.0</v>
      </c>
      <c r="G302" s="11"/>
      <c r="H302" s="11"/>
      <c r="I302" s="11"/>
      <c r="J302" s="12"/>
      <c r="K302" s="13"/>
      <c r="L302" s="12"/>
      <c r="M302" s="13"/>
      <c r="N302" s="13"/>
      <c r="O302" s="13"/>
    </row>
    <row r="303">
      <c r="A303" s="8" t="s">
        <v>309</v>
      </c>
      <c r="B303" s="9">
        <v>30.0</v>
      </c>
      <c r="C303" s="14" t="s">
        <v>234</v>
      </c>
      <c r="D303" s="9">
        <v>75.0</v>
      </c>
      <c r="E303" s="10">
        <v>0.6</v>
      </c>
      <c r="F303" s="9">
        <v>1.0</v>
      </c>
      <c r="G303" s="11"/>
      <c r="H303" s="11"/>
      <c r="I303" s="11"/>
      <c r="J303" s="12"/>
      <c r="K303" s="13"/>
      <c r="L303" s="12"/>
      <c r="M303" s="13"/>
      <c r="N303" s="13"/>
      <c r="O303" s="13"/>
    </row>
    <row r="304">
      <c r="A304" s="8" t="s">
        <v>310</v>
      </c>
      <c r="B304" s="9">
        <v>30.0</v>
      </c>
      <c r="C304" s="14" t="s">
        <v>234</v>
      </c>
      <c r="D304" s="9">
        <v>75.0</v>
      </c>
      <c r="E304" s="10">
        <v>0.6</v>
      </c>
      <c r="F304" s="9">
        <v>2.0</v>
      </c>
      <c r="G304" s="11"/>
      <c r="H304" s="11"/>
      <c r="I304" s="11"/>
      <c r="J304" s="12"/>
      <c r="K304" s="13"/>
      <c r="L304" s="12"/>
      <c r="M304" s="13"/>
      <c r="N304" s="13"/>
      <c r="O304" s="13"/>
    </row>
    <row r="305">
      <c r="A305" s="8" t="s">
        <v>311</v>
      </c>
      <c r="B305" s="9">
        <v>30.0</v>
      </c>
      <c r="C305" s="14" t="s">
        <v>234</v>
      </c>
      <c r="D305" s="9">
        <v>75.0</v>
      </c>
      <c r="E305" s="10">
        <v>0.6</v>
      </c>
      <c r="F305" s="9">
        <v>3.0</v>
      </c>
      <c r="G305" s="11"/>
      <c r="H305" s="11"/>
      <c r="I305" s="11"/>
      <c r="J305" s="12"/>
      <c r="K305" s="13"/>
      <c r="L305" s="12"/>
      <c r="M305" s="13"/>
      <c r="N305" s="13"/>
      <c r="O305" s="13"/>
    </row>
    <row r="306">
      <c r="A306" s="8" t="s">
        <v>312</v>
      </c>
      <c r="B306" s="9">
        <v>30.0</v>
      </c>
      <c r="C306" s="14" t="s">
        <v>234</v>
      </c>
      <c r="D306" s="9">
        <v>75.0</v>
      </c>
      <c r="E306" s="10">
        <v>0.6</v>
      </c>
      <c r="F306" s="9">
        <v>4.0</v>
      </c>
      <c r="G306" s="11"/>
      <c r="H306" s="11"/>
      <c r="I306" s="11"/>
      <c r="J306" s="12"/>
      <c r="K306" s="13"/>
      <c r="L306" s="12"/>
      <c r="M306" s="13"/>
      <c r="N306" s="13"/>
      <c r="O306" s="13"/>
    </row>
    <row r="307">
      <c r="A307" s="8" t="s">
        <v>313</v>
      </c>
      <c r="B307" s="9">
        <v>30.0</v>
      </c>
      <c r="C307" s="14" t="s">
        <v>234</v>
      </c>
      <c r="D307" s="9">
        <v>75.0</v>
      </c>
      <c r="E307" s="10">
        <v>0.6</v>
      </c>
      <c r="F307" s="9">
        <v>5.0</v>
      </c>
      <c r="G307" s="11"/>
      <c r="H307" s="11"/>
      <c r="I307" s="11"/>
      <c r="J307" s="12"/>
      <c r="K307" s="13"/>
      <c r="L307" s="12"/>
      <c r="M307" s="13"/>
      <c r="N307" s="13"/>
      <c r="O307" s="13"/>
    </row>
    <row r="308">
      <c r="A308" s="8" t="s">
        <v>314</v>
      </c>
      <c r="B308" s="9">
        <v>30.0</v>
      </c>
      <c r="C308" s="14" t="s">
        <v>234</v>
      </c>
      <c r="D308" s="9">
        <v>75.0</v>
      </c>
      <c r="E308" s="10">
        <v>1.0</v>
      </c>
      <c r="F308" s="9">
        <v>1.0</v>
      </c>
      <c r="G308" s="11"/>
      <c r="H308" s="11"/>
      <c r="I308" s="11"/>
      <c r="J308" s="12"/>
      <c r="K308" s="13"/>
      <c r="L308" s="12"/>
      <c r="M308" s="13"/>
      <c r="N308" s="13"/>
      <c r="O308" s="13"/>
    </row>
    <row r="309">
      <c r="A309" s="8" t="s">
        <v>315</v>
      </c>
      <c r="B309" s="9">
        <v>30.0</v>
      </c>
      <c r="C309" s="14" t="s">
        <v>234</v>
      </c>
      <c r="D309" s="9">
        <v>75.0</v>
      </c>
      <c r="E309" s="10">
        <v>1.0</v>
      </c>
      <c r="F309" s="9">
        <v>2.0</v>
      </c>
      <c r="G309" s="11"/>
      <c r="H309" s="11"/>
      <c r="I309" s="11"/>
      <c r="J309" s="12"/>
      <c r="K309" s="13"/>
      <c r="L309" s="12"/>
      <c r="M309" s="13"/>
      <c r="N309" s="13"/>
      <c r="O309" s="13"/>
    </row>
    <row r="310">
      <c r="A310" s="8" t="s">
        <v>316</v>
      </c>
      <c r="B310" s="9">
        <v>30.0</v>
      </c>
      <c r="C310" s="14" t="s">
        <v>234</v>
      </c>
      <c r="D310" s="9">
        <v>75.0</v>
      </c>
      <c r="E310" s="10">
        <v>1.0</v>
      </c>
      <c r="F310" s="9">
        <v>3.0</v>
      </c>
      <c r="G310" s="11"/>
      <c r="H310" s="11"/>
      <c r="I310" s="11"/>
      <c r="J310" s="12"/>
      <c r="K310" s="13"/>
      <c r="L310" s="12"/>
      <c r="M310" s="13"/>
      <c r="N310" s="13"/>
      <c r="O310" s="13"/>
    </row>
    <row r="311">
      <c r="A311" s="8" t="s">
        <v>317</v>
      </c>
      <c r="B311" s="9">
        <v>30.0</v>
      </c>
      <c r="C311" s="14" t="s">
        <v>234</v>
      </c>
      <c r="D311" s="9">
        <v>75.0</v>
      </c>
      <c r="E311" s="10">
        <v>1.0</v>
      </c>
      <c r="F311" s="9">
        <v>4.0</v>
      </c>
      <c r="G311" s="11"/>
      <c r="H311" s="11"/>
      <c r="I311" s="11"/>
      <c r="J311" s="12"/>
      <c r="K311" s="13"/>
      <c r="L311" s="12"/>
      <c r="M311" s="13"/>
      <c r="N311" s="13"/>
      <c r="O311" s="13"/>
    </row>
    <row r="312">
      <c r="A312" s="8" t="s">
        <v>318</v>
      </c>
      <c r="B312" s="9">
        <v>30.0</v>
      </c>
      <c r="C312" s="14" t="s">
        <v>234</v>
      </c>
      <c r="D312" s="9">
        <v>75.0</v>
      </c>
      <c r="E312" s="10">
        <v>1.0</v>
      </c>
      <c r="F312" s="9">
        <v>5.0</v>
      </c>
      <c r="G312" s="11"/>
      <c r="H312" s="11"/>
      <c r="I312" s="11"/>
      <c r="J312" s="12"/>
      <c r="K312" s="13"/>
      <c r="L312" s="12"/>
      <c r="M312" s="13"/>
      <c r="N312" s="13"/>
      <c r="O312" s="13"/>
    </row>
    <row r="313">
      <c r="A313" s="8" t="s">
        <v>319</v>
      </c>
      <c r="B313" s="9">
        <v>30.0</v>
      </c>
      <c r="C313" s="14" t="s">
        <v>234</v>
      </c>
      <c r="D313" s="9">
        <v>75.0</v>
      </c>
      <c r="E313" s="10">
        <v>2.0</v>
      </c>
      <c r="F313" s="9">
        <v>1.0</v>
      </c>
      <c r="G313" s="11"/>
      <c r="H313" s="11"/>
      <c r="I313" s="11"/>
      <c r="J313" s="12"/>
      <c r="K313" s="13"/>
      <c r="L313" s="12"/>
      <c r="M313" s="13"/>
      <c r="N313" s="13"/>
      <c r="O313" s="13"/>
    </row>
    <row r="314">
      <c r="A314" s="8" t="s">
        <v>320</v>
      </c>
      <c r="B314" s="9">
        <v>30.0</v>
      </c>
      <c r="C314" s="14" t="s">
        <v>234</v>
      </c>
      <c r="D314" s="9">
        <v>75.0</v>
      </c>
      <c r="E314" s="10">
        <v>2.0</v>
      </c>
      <c r="F314" s="9">
        <v>2.0</v>
      </c>
      <c r="G314" s="11"/>
      <c r="H314" s="11"/>
      <c r="I314" s="11"/>
      <c r="J314" s="12"/>
      <c r="K314" s="13"/>
      <c r="L314" s="12"/>
      <c r="M314" s="13"/>
      <c r="N314" s="13"/>
      <c r="O314" s="13"/>
    </row>
    <row r="315">
      <c r="A315" s="8" t="s">
        <v>321</v>
      </c>
      <c r="B315" s="9">
        <v>30.0</v>
      </c>
      <c r="C315" s="14" t="s">
        <v>234</v>
      </c>
      <c r="D315" s="9">
        <v>75.0</v>
      </c>
      <c r="E315" s="10">
        <v>2.0</v>
      </c>
      <c r="F315" s="9">
        <v>3.0</v>
      </c>
      <c r="G315" s="11"/>
      <c r="H315" s="11"/>
      <c r="I315" s="11"/>
      <c r="J315" s="12"/>
      <c r="K315" s="13"/>
      <c r="L315" s="12"/>
      <c r="M315" s="13"/>
      <c r="N315" s="13"/>
      <c r="O315" s="13"/>
    </row>
    <row r="316">
      <c r="A316" s="8" t="s">
        <v>322</v>
      </c>
      <c r="B316" s="9">
        <v>30.0</v>
      </c>
      <c r="C316" s="14" t="s">
        <v>234</v>
      </c>
      <c r="D316" s="9">
        <v>75.0</v>
      </c>
      <c r="E316" s="10">
        <v>2.0</v>
      </c>
      <c r="F316" s="9">
        <v>4.0</v>
      </c>
      <c r="G316" s="11"/>
      <c r="H316" s="11"/>
      <c r="I316" s="11"/>
      <c r="J316" s="12"/>
      <c r="K316" s="13"/>
      <c r="L316" s="12"/>
      <c r="M316" s="13"/>
      <c r="N316" s="13"/>
      <c r="O316" s="13"/>
    </row>
    <row r="317">
      <c r="A317" s="8" t="s">
        <v>323</v>
      </c>
      <c r="B317" s="9">
        <v>30.0</v>
      </c>
      <c r="C317" s="14" t="s">
        <v>234</v>
      </c>
      <c r="D317" s="9">
        <v>75.0</v>
      </c>
      <c r="E317" s="10">
        <v>2.0</v>
      </c>
      <c r="F317" s="9">
        <v>5.0</v>
      </c>
      <c r="G317" s="11"/>
      <c r="H317" s="11"/>
      <c r="I317" s="11"/>
      <c r="J317" s="12"/>
      <c r="K317" s="13"/>
      <c r="L317" s="12"/>
      <c r="M317" s="13"/>
      <c r="N317" s="13"/>
      <c r="O317" s="13"/>
    </row>
    <row r="318">
      <c r="A318" s="8" t="s">
        <v>324</v>
      </c>
      <c r="B318" s="9">
        <v>35.0</v>
      </c>
      <c r="C318" s="14" t="s">
        <v>234</v>
      </c>
      <c r="D318" s="9">
        <v>25.0</v>
      </c>
      <c r="E318" s="10">
        <v>0.6</v>
      </c>
      <c r="F318" s="9">
        <v>1.0</v>
      </c>
      <c r="G318" s="11"/>
      <c r="H318" s="11"/>
      <c r="I318" s="11"/>
      <c r="J318" s="12"/>
      <c r="K318" s="13"/>
      <c r="L318" s="12"/>
      <c r="M318" s="13"/>
      <c r="N318" s="13"/>
      <c r="O318" s="13"/>
    </row>
    <row r="319">
      <c r="A319" s="8" t="s">
        <v>325</v>
      </c>
      <c r="B319" s="9">
        <v>35.0</v>
      </c>
      <c r="C319" s="14" t="s">
        <v>234</v>
      </c>
      <c r="D319" s="9">
        <v>25.0</v>
      </c>
      <c r="E319" s="10">
        <v>0.6</v>
      </c>
      <c r="F319" s="9">
        <v>2.0</v>
      </c>
      <c r="G319" s="11"/>
      <c r="H319" s="11"/>
      <c r="I319" s="11"/>
      <c r="J319" s="12"/>
      <c r="K319" s="13"/>
      <c r="L319" s="12"/>
      <c r="M319" s="13"/>
      <c r="N319" s="13"/>
      <c r="O319" s="13"/>
    </row>
    <row r="320">
      <c r="A320" s="8" t="s">
        <v>326</v>
      </c>
      <c r="B320" s="9">
        <v>35.0</v>
      </c>
      <c r="C320" s="14" t="s">
        <v>234</v>
      </c>
      <c r="D320" s="9">
        <v>25.0</v>
      </c>
      <c r="E320" s="10">
        <v>0.6</v>
      </c>
      <c r="F320" s="9">
        <v>3.0</v>
      </c>
      <c r="G320" s="11"/>
      <c r="H320" s="11"/>
      <c r="I320" s="11"/>
      <c r="J320" s="12"/>
      <c r="K320" s="13"/>
      <c r="L320" s="12"/>
      <c r="M320" s="13"/>
      <c r="N320" s="13"/>
      <c r="O320" s="13"/>
    </row>
    <row r="321">
      <c r="A321" s="8" t="s">
        <v>327</v>
      </c>
      <c r="B321" s="9">
        <v>35.0</v>
      </c>
      <c r="C321" s="14" t="s">
        <v>234</v>
      </c>
      <c r="D321" s="9">
        <v>25.0</v>
      </c>
      <c r="E321" s="10">
        <v>0.6</v>
      </c>
      <c r="F321" s="9">
        <v>4.0</v>
      </c>
      <c r="G321" s="11"/>
      <c r="H321" s="11"/>
      <c r="I321" s="11"/>
      <c r="J321" s="12"/>
      <c r="K321" s="13"/>
      <c r="L321" s="12"/>
      <c r="M321" s="13"/>
      <c r="N321" s="13"/>
      <c r="O321" s="13"/>
    </row>
    <row r="322">
      <c r="A322" s="8" t="s">
        <v>328</v>
      </c>
      <c r="B322" s="9">
        <v>35.0</v>
      </c>
      <c r="C322" s="14" t="s">
        <v>234</v>
      </c>
      <c r="D322" s="9">
        <v>25.0</v>
      </c>
      <c r="E322" s="10">
        <v>0.6</v>
      </c>
      <c r="F322" s="9">
        <v>5.0</v>
      </c>
      <c r="G322" s="11"/>
      <c r="H322" s="11"/>
      <c r="I322" s="11"/>
      <c r="J322" s="12"/>
      <c r="K322" s="13"/>
      <c r="L322" s="12"/>
      <c r="M322" s="13"/>
      <c r="N322" s="13"/>
      <c r="O322" s="13"/>
    </row>
    <row r="323">
      <c r="A323" s="8" t="s">
        <v>329</v>
      </c>
      <c r="B323" s="9">
        <v>35.0</v>
      </c>
      <c r="C323" s="14" t="s">
        <v>234</v>
      </c>
      <c r="D323" s="9">
        <v>25.0</v>
      </c>
      <c r="E323" s="10">
        <v>1.0</v>
      </c>
      <c r="F323" s="9">
        <v>1.0</v>
      </c>
      <c r="G323" s="11"/>
      <c r="H323" s="11"/>
      <c r="I323" s="11"/>
      <c r="J323" s="12"/>
      <c r="K323" s="13"/>
      <c r="L323" s="12"/>
      <c r="M323" s="13"/>
      <c r="N323" s="13"/>
      <c r="O323" s="13"/>
    </row>
    <row r="324">
      <c r="A324" s="8" t="s">
        <v>330</v>
      </c>
      <c r="B324" s="9">
        <v>35.0</v>
      </c>
      <c r="C324" s="14" t="s">
        <v>234</v>
      </c>
      <c r="D324" s="9">
        <v>25.0</v>
      </c>
      <c r="E324" s="10">
        <v>1.0</v>
      </c>
      <c r="F324" s="9">
        <v>2.0</v>
      </c>
      <c r="G324" s="11"/>
      <c r="H324" s="11"/>
      <c r="I324" s="11"/>
      <c r="J324" s="12"/>
      <c r="K324" s="13"/>
      <c r="L324" s="12"/>
      <c r="M324" s="13"/>
      <c r="N324" s="13"/>
      <c r="O324" s="13"/>
    </row>
    <row r="325">
      <c r="A325" s="8" t="s">
        <v>331</v>
      </c>
      <c r="B325" s="9">
        <v>35.0</v>
      </c>
      <c r="C325" s="14" t="s">
        <v>234</v>
      </c>
      <c r="D325" s="9">
        <v>25.0</v>
      </c>
      <c r="E325" s="10">
        <v>1.0</v>
      </c>
      <c r="F325" s="9">
        <v>3.0</v>
      </c>
      <c r="G325" s="11"/>
      <c r="H325" s="11"/>
      <c r="I325" s="11"/>
      <c r="J325" s="12"/>
      <c r="K325" s="13"/>
      <c r="L325" s="12"/>
      <c r="M325" s="13"/>
      <c r="N325" s="13"/>
      <c r="O325" s="13"/>
    </row>
    <row r="326">
      <c r="A326" s="8" t="s">
        <v>332</v>
      </c>
      <c r="B326" s="9">
        <v>35.0</v>
      </c>
      <c r="C326" s="14" t="s">
        <v>234</v>
      </c>
      <c r="D326" s="9">
        <v>25.0</v>
      </c>
      <c r="E326" s="10">
        <v>1.0</v>
      </c>
      <c r="F326" s="9">
        <v>4.0</v>
      </c>
      <c r="G326" s="11"/>
      <c r="H326" s="11"/>
      <c r="I326" s="11"/>
      <c r="J326" s="12"/>
      <c r="K326" s="13"/>
      <c r="L326" s="12"/>
      <c r="M326" s="13"/>
      <c r="N326" s="13"/>
      <c r="O326" s="13"/>
    </row>
    <row r="327">
      <c r="A327" s="8" t="s">
        <v>333</v>
      </c>
      <c r="B327" s="9">
        <v>35.0</v>
      </c>
      <c r="C327" s="14" t="s">
        <v>234</v>
      </c>
      <c r="D327" s="9">
        <v>25.0</v>
      </c>
      <c r="E327" s="10">
        <v>1.0</v>
      </c>
      <c r="F327" s="9">
        <v>5.0</v>
      </c>
      <c r="G327" s="11"/>
      <c r="H327" s="11"/>
      <c r="I327" s="11"/>
      <c r="J327" s="12"/>
      <c r="K327" s="13"/>
      <c r="L327" s="12"/>
      <c r="M327" s="13"/>
      <c r="N327" s="13"/>
      <c r="O327" s="13"/>
    </row>
    <row r="328">
      <c r="A328" s="8" t="s">
        <v>334</v>
      </c>
      <c r="B328" s="9">
        <v>35.0</v>
      </c>
      <c r="C328" s="14" t="s">
        <v>234</v>
      </c>
      <c r="D328" s="9">
        <v>25.0</v>
      </c>
      <c r="E328" s="10">
        <v>2.0</v>
      </c>
      <c r="F328" s="9">
        <v>1.0</v>
      </c>
      <c r="G328" s="11"/>
      <c r="H328" s="11"/>
      <c r="I328" s="11"/>
      <c r="J328" s="12"/>
      <c r="K328" s="13"/>
      <c r="L328" s="12"/>
      <c r="M328" s="13"/>
      <c r="N328" s="13"/>
      <c r="O328" s="13"/>
    </row>
    <row r="329">
      <c r="A329" s="8" t="s">
        <v>335</v>
      </c>
      <c r="B329" s="9">
        <v>35.0</v>
      </c>
      <c r="C329" s="14" t="s">
        <v>234</v>
      </c>
      <c r="D329" s="9">
        <v>25.0</v>
      </c>
      <c r="E329" s="10">
        <v>2.0</v>
      </c>
      <c r="F329" s="9">
        <v>2.0</v>
      </c>
      <c r="G329" s="11"/>
      <c r="H329" s="11"/>
      <c r="I329" s="11"/>
      <c r="J329" s="12"/>
      <c r="K329" s="13"/>
      <c r="L329" s="12"/>
      <c r="M329" s="13"/>
      <c r="N329" s="13"/>
      <c r="O329" s="13"/>
    </row>
    <row r="330">
      <c r="A330" s="8" t="s">
        <v>336</v>
      </c>
      <c r="B330" s="9">
        <v>35.0</v>
      </c>
      <c r="C330" s="14" t="s">
        <v>234</v>
      </c>
      <c r="D330" s="9">
        <v>25.0</v>
      </c>
      <c r="E330" s="10">
        <v>2.0</v>
      </c>
      <c r="F330" s="9">
        <v>3.0</v>
      </c>
      <c r="G330" s="11"/>
      <c r="H330" s="11"/>
      <c r="I330" s="11"/>
      <c r="J330" s="12"/>
      <c r="K330" s="13"/>
      <c r="L330" s="12"/>
      <c r="M330" s="13"/>
      <c r="N330" s="13"/>
      <c r="O330" s="13"/>
    </row>
    <row r="331">
      <c r="A331" s="8" t="s">
        <v>337</v>
      </c>
      <c r="B331" s="9">
        <v>35.0</v>
      </c>
      <c r="C331" s="14" t="s">
        <v>234</v>
      </c>
      <c r="D331" s="9">
        <v>25.0</v>
      </c>
      <c r="E331" s="10">
        <v>2.0</v>
      </c>
      <c r="F331" s="9">
        <v>4.0</v>
      </c>
      <c r="G331" s="11"/>
      <c r="H331" s="11"/>
      <c r="I331" s="11"/>
      <c r="J331" s="12"/>
      <c r="K331" s="13"/>
      <c r="L331" s="12"/>
      <c r="M331" s="13"/>
      <c r="N331" s="13"/>
      <c r="O331" s="13"/>
    </row>
    <row r="332">
      <c r="A332" s="8" t="s">
        <v>338</v>
      </c>
      <c r="B332" s="9">
        <v>35.0</v>
      </c>
      <c r="C332" s="14" t="s">
        <v>234</v>
      </c>
      <c r="D332" s="9">
        <v>25.0</v>
      </c>
      <c r="E332" s="10">
        <v>2.0</v>
      </c>
      <c r="F332" s="9">
        <v>5.0</v>
      </c>
      <c r="G332" s="11"/>
      <c r="H332" s="11"/>
      <c r="I332" s="11"/>
      <c r="J332" s="12"/>
      <c r="K332" s="13"/>
      <c r="L332" s="12"/>
      <c r="M332" s="13"/>
      <c r="N332" s="13"/>
      <c r="O332" s="13"/>
    </row>
    <row r="333">
      <c r="A333" s="8" t="s">
        <v>339</v>
      </c>
      <c r="B333" s="9">
        <v>35.0</v>
      </c>
      <c r="C333" s="14" t="s">
        <v>234</v>
      </c>
      <c r="D333" s="9">
        <v>50.0</v>
      </c>
      <c r="E333" s="10">
        <v>0.6</v>
      </c>
      <c r="F333" s="9">
        <v>1.0</v>
      </c>
      <c r="G333" s="11"/>
      <c r="H333" s="11"/>
      <c r="I333" s="11"/>
      <c r="J333" s="12"/>
      <c r="K333" s="13"/>
      <c r="L333" s="12"/>
      <c r="M333" s="13"/>
      <c r="N333" s="13"/>
      <c r="O333" s="13"/>
    </row>
    <row r="334">
      <c r="A334" s="8" t="s">
        <v>340</v>
      </c>
      <c r="B334" s="9">
        <v>35.0</v>
      </c>
      <c r="C334" s="14" t="s">
        <v>234</v>
      </c>
      <c r="D334" s="9">
        <v>50.0</v>
      </c>
      <c r="E334" s="10">
        <v>0.6</v>
      </c>
      <c r="F334" s="9">
        <v>2.0</v>
      </c>
      <c r="G334" s="11"/>
      <c r="H334" s="11"/>
      <c r="I334" s="11"/>
      <c r="J334" s="12"/>
      <c r="K334" s="13"/>
      <c r="L334" s="12"/>
      <c r="M334" s="13"/>
      <c r="N334" s="13"/>
      <c r="O334" s="13"/>
    </row>
    <row r="335">
      <c r="A335" s="8" t="s">
        <v>341</v>
      </c>
      <c r="B335" s="9">
        <v>35.0</v>
      </c>
      <c r="C335" s="14" t="s">
        <v>234</v>
      </c>
      <c r="D335" s="9">
        <v>50.0</v>
      </c>
      <c r="E335" s="10">
        <v>0.6</v>
      </c>
      <c r="F335" s="9">
        <v>3.0</v>
      </c>
      <c r="G335" s="11"/>
      <c r="H335" s="11"/>
      <c r="I335" s="11"/>
      <c r="J335" s="12"/>
      <c r="K335" s="13"/>
      <c r="L335" s="12"/>
      <c r="M335" s="13"/>
      <c r="N335" s="13"/>
      <c r="O335" s="13"/>
    </row>
    <row r="336">
      <c r="A336" s="8" t="s">
        <v>342</v>
      </c>
      <c r="B336" s="9">
        <v>35.0</v>
      </c>
      <c r="C336" s="14" t="s">
        <v>234</v>
      </c>
      <c r="D336" s="9">
        <v>50.0</v>
      </c>
      <c r="E336" s="10">
        <v>0.6</v>
      </c>
      <c r="F336" s="9">
        <v>4.0</v>
      </c>
      <c r="G336" s="11"/>
      <c r="H336" s="11"/>
      <c r="I336" s="11"/>
      <c r="J336" s="12"/>
      <c r="K336" s="13"/>
      <c r="L336" s="12"/>
      <c r="M336" s="13"/>
      <c r="N336" s="13"/>
      <c r="O336" s="13"/>
    </row>
    <row r="337">
      <c r="A337" s="8" t="s">
        <v>343</v>
      </c>
      <c r="B337" s="9">
        <v>35.0</v>
      </c>
      <c r="C337" s="14" t="s">
        <v>234</v>
      </c>
      <c r="D337" s="9">
        <v>50.0</v>
      </c>
      <c r="E337" s="10">
        <v>0.6</v>
      </c>
      <c r="F337" s="9">
        <v>5.0</v>
      </c>
      <c r="G337" s="11"/>
      <c r="H337" s="11"/>
      <c r="I337" s="11"/>
      <c r="J337" s="12"/>
      <c r="K337" s="13"/>
      <c r="L337" s="12"/>
      <c r="M337" s="13"/>
      <c r="N337" s="13"/>
      <c r="O337" s="13"/>
    </row>
    <row r="338">
      <c r="A338" s="8" t="s">
        <v>344</v>
      </c>
      <c r="B338" s="9">
        <v>35.0</v>
      </c>
      <c r="C338" s="14" t="s">
        <v>234</v>
      </c>
      <c r="D338" s="9">
        <v>50.0</v>
      </c>
      <c r="E338" s="10">
        <v>1.0</v>
      </c>
      <c r="F338" s="9">
        <v>1.0</v>
      </c>
      <c r="G338" s="11"/>
      <c r="H338" s="11"/>
      <c r="I338" s="11"/>
      <c r="J338" s="12"/>
      <c r="K338" s="13"/>
      <c r="L338" s="12"/>
      <c r="M338" s="13"/>
      <c r="N338" s="13"/>
      <c r="O338" s="13"/>
    </row>
    <row r="339">
      <c r="A339" s="8" t="s">
        <v>345</v>
      </c>
      <c r="B339" s="9">
        <v>35.0</v>
      </c>
      <c r="C339" s="14" t="s">
        <v>234</v>
      </c>
      <c r="D339" s="9">
        <v>50.0</v>
      </c>
      <c r="E339" s="10">
        <v>1.0</v>
      </c>
      <c r="F339" s="9">
        <v>2.0</v>
      </c>
      <c r="G339" s="11"/>
      <c r="H339" s="11"/>
      <c r="I339" s="11"/>
      <c r="J339" s="12"/>
      <c r="K339" s="13"/>
      <c r="L339" s="12"/>
      <c r="M339" s="13"/>
      <c r="N339" s="13"/>
      <c r="O339" s="13"/>
    </row>
    <row r="340">
      <c r="A340" s="8" t="s">
        <v>346</v>
      </c>
      <c r="B340" s="9">
        <v>35.0</v>
      </c>
      <c r="C340" s="14" t="s">
        <v>234</v>
      </c>
      <c r="D340" s="9">
        <v>50.0</v>
      </c>
      <c r="E340" s="10">
        <v>1.0</v>
      </c>
      <c r="F340" s="9">
        <v>3.0</v>
      </c>
      <c r="G340" s="11"/>
      <c r="H340" s="11"/>
      <c r="I340" s="11"/>
      <c r="J340" s="12"/>
      <c r="K340" s="13"/>
      <c r="L340" s="12"/>
      <c r="M340" s="13"/>
      <c r="N340" s="13"/>
      <c r="O340" s="13"/>
    </row>
    <row r="341">
      <c r="A341" s="8" t="s">
        <v>347</v>
      </c>
      <c r="B341" s="9">
        <v>35.0</v>
      </c>
      <c r="C341" s="14" t="s">
        <v>234</v>
      </c>
      <c r="D341" s="9">
        <v>50.0</v>
      </c>
      <c r="E341" s="10">
        <v>1.0</v>
      </c>
      <c r="F341" s="9">
        <v>4.0</v>
      </c>
      <c r="G341" s="11"/>
      <c r="H341" s="11"/>
      <c r="I341" s="11"/>
      <c r="J341" s="12"/>
      <c r="K341" s="13"/>
      <c r="L341" s="12"/>
      <c r="M341" s="13"/>
      <c r="N341" s="13"/>
      <c r="O341" s="13"/>
    </row>
    <row r="342">
      <c r="A342" s="8" t="s">
        <v>348</v>
      </c>
      <c r="B342" s="9">
        <v>35.0</v>
      </c>
      <c r="C342" s="14" t="s">
        <v>234</v>
      </c>
      <c r="D342" s="9">
        <v>50.0</v>
      </c>
      <c r="E342" s="10">
        <v>1.0</v>
      </c>
      <c r="F342" s="9">
        <v>5.0</v>
      </c>
      <c r="G342" s="11"/>
      <c r="H342" s="11"/>
      <c r="I342" s="11"/>
      <c r="J342" s="12"/>
      <c r="K342" s="13"/>
      <c r="L342" s="12"/>
      <c r="M342" s="13"/>
      <c r="N342" s="13"/>
      <c r="O342" s="13"/>
    </row>
    <row r="343">
      <c r="A343" s="8" t="s">
        <v>349</v>
      </c>
      <c r="B343" s="9">
        <v>35.0</v>
      </c>
      <c r="C343" s="14" t="s">
        <v>234</v>
      </c>
      <c r="D343" s="9">
        <v>50.0</v>
      </c>
      <c r="E343" s="10">
        <v>2.0</v>
      </c>
      <c r="F343" s="9">
        <v>1.0</v>
      </c>
      <c r="G343" s="11"/>
      <c r="H343" s="11"/>
      <c r="I343" s="11"/>
      <c r="J343" s="12"/>
      <c r="K343" s="13"/>
      <c r="L343" s="12"/>
      <c r="M343" s="13"/>
      <c r="N343" s="13"/>
      <c r="O343" s="13"/>
    </row>
    <row r="344">
      <c r="A344" s="8" t="s">
        <v>350</v>
      </c>
      <c r="B344" s="9">
        <v>35.0</v>
      </c>
      <c r="C344" s="14" t="s">
        <v>234</v>
      </c>
      <c r="D344" s="9">
        <v>50.0</v>
      </c>
      <c r="E344" s="10">
        <v>2.0</v>
      </c>
      <c r="F344" s="9">
        <v>2.0</v>
      </c>
      <c r="G344" s="11"/>
      <c r="H344" s="11"/>
      <c r="I344" s="11"/>
      <c r="J344" s="12"/>
      <c r="K344" s="13"/>
      <c r="L344" s="12"/>
      <c r="M344" s="13"/>
      <c r="N344" s="13"/>
      <c r="O344" s="13"/>
    </row>
    <row r="345">
      <c r="A345" s="8" t="s">
        <v>351</v>
      </c>
      <c r="B345" s="9">
        <v>35.0</v>
      </c>
      <c r="C345" s="14" t="s">
        <v>234</v>
      </c>
      <c r="D345" s="9">
        <v>50.0</v>
      </c>
      <c r="E345" s="10">
        <v>2.0</v>
      </c>
      <c r="F345" s="9">
        <v>3.0</v>
      </c>
      <c r="G345" s="11"/>
      <c r="H345" s="11"/>
      <c r="I345" s="11"/>
      <c r="J345" s="12"/>
      <c r="K345" s="13"/>
      <c r="L345" s="12"/>
      <c r="M345" s="13"/>
      <c r="N345" s="13"/>
      <c r="O345" s="13"/>
    </row>
    <row r="346">
      <c r="A346" s="8" t="s">
        <v>352</v>
      </c>
      <c r="B346" s="9">
        <v>35.0</v>
      </c>
      <c r="C346" s="14" t="s">
        <v>234</v>
      </c>
      <c r="D346" s="9">
        <v>50.0</v>
      </c>
      <c r="E346" s="10">
        <v>2.0</v>
      </c>
      <c r="F346" s="9">
        <v>4.0</v>
      </c>
      <c r="G346" s="11"/>
      <c r="H346" s="11"/>
      <c r="I346" s="11"/>
      <c r="J346" s="12"/>
      <c r="K346" s="13"/>
      <c r="L346" s="12"/>
      <c r="M346" s="13"/>
      <c r="N346" s="13"/>
      <c r="O346" s="13"/>
    </row>
    <row r="347">
      <c r="A347" s="8" t="s">
        <v>353</v>
      </c>
      <c r="B347" s="9">
        <v>35.0</v>
      </c>
      <c r="C347" s="14" t="s">
        <v>234</v>
      </c>
      <c r="D347" s="9">
        <v>50.0</v>
      </c>
      <c r="E347" s="10">
        <v>2.0</v>
      </c>
      <c r="F347" s="9">
        <v>5.0</v>
      </c>
      <c r="G347" s="11"/>
      <c r="H347" s="11"/>
      <c r="I347" s="11"/>
      <c r="J347" s="12"/>
      <c r="K347" s="13"/>
      <c r="L347" s="12"/>
      <c r="M347" s="13"/>
      <c r="N347" s="13"/>
      <c r="O347" s="13"/>
    </row>
    <row r="348">
      <c r="A348" s="8" t="s">
        <v>354</v>
      </c>
      <c r="B348" s="9">
        <v>35.0</v>
      </c>
      <c r="C348" s="14" t="s">
        <v>234</v>
      </c>
      <c r="D348" s="9">
        <v>75.0</v>
      </c>
      <c r="E348" s="10">
        <v>0.6</v>
      </c>
      <c r="F348" s="9">
        <v>1.0</v>
      </c>
      <c r="G348" s="11"/>
      <c r="H348" s="11"/>
      <c r="I348" s="11"/>
      <c r="J348" s="12"/>
      <c r="K348" s="13"/>
      <c r="L348" s="12"/>
      <c r="M348" s="13"/>
      <c r="N348" s="13"/>
      <c r="O348" s="13"/>
    </row>
    <row r="349">
      <c r="A349" s="8" t="s">
        <v>355</v>
      </c>
      <c r="B349" s="9">
        <v>35.0</v>
      </c>
      <c r="C349" s="14" t="s">
        <v>234</v>
      </c>
      <c r="D349" s="9">
        <v>75.0</v>
      </c>
      <c r="E349" s="10">
        <v>0.6</v>
      </c>
      <c r="F349" s="9">
        <v>2.0</v>
      </c>
      <c r="G349" s="11"/>
      <c r="H349" s="11"/>
      <c r="I349" s="11"/>
      <c r="J349" s="12"/>
      <c r="K349" s="13"/>
      <c r="L349" s="12"/>
      <c r="M349" s="13"/>
      <c r="N349" s="13"/>
      <c r="O349" s="13"/>
    </row>
    <row r="350">
      <c r="A350" s="8" t="s">
        <v>356</v>
      </c>
      <c r="B350" s="9">
        <v>35.0</v>
      </c>
      <c r="C350" s="14" t="s">
        <v>234</v>
      </c>
      <c r="D350" s="9">
        <v>75.0</v>
      </c>
      <c r="E350" s="10">
        <v>0.6</v>
      </c>
      <c r="F350" s="9">
        <v>3.0</v>
      </c>
      <c r="G350" s="11"/>
      <c r="H350" s="11"/>
      <c r="I350" s="11"/>
      <c r="J350" s="12"/>
      <c r="K350" s="13"/>
      <c r="L350" s="12"/>
      <c r="M350" s="13"/>
      <c r="N350" s="13"/>
      <c r="O350" s="13"/>
    </row>
    <row r="351">
      <c r="A351" s="8" t="s">
        <v>357</v>
      </c>
      <c r="B351" s="9">
        <v>35.0</v>
      </c>
      <c r="C351" s="14" t="s">
        <v>234</v>
      </c>
      <c r="D351" s="9">
        <v>75.0</v>
      </c>
      <c r="E351" s="10">
        <v>0.6</v>
      </c>
      <c r="F351" s="9">
        <v>4.0</v>
      </c>
      <c r="G351" s="11"/>
      <c r="H351" s="11"/>
      <c r="I351" s="11"/>
      <c r="J351" s="12"/>
      <c r="K351" s="13"/>
      <c r="L351" s="12"/>
      <c r="M351" s="13"/>
      <c r="N351" s="13"/>
      <c r="O351" s="13"/>
    </row>
    <row r="352">
      <c r="A352" s="8" t="s">
        <v>358</v>
      </c>
      <c r="B352" s="9">
        <v>35.0</v>
      </c>
      <c r="C352" s="14" t="s">
        <v>234</v>
      </c>
      <c r="D352" s="9">
        <v>75.0</v>
      </c>
      <c r="E352" s="10">
        <v>0.6</v>
      </c>
      <c r="F352" s="9">
        <v>5.0</v>
      </c>
      <c r="G352" s="11"/>
      <c r="H352" s="11"/>
      <c r="I352" s="11"/>
      <c r="J352" s="12"/>
      <c r="K352" s="13"/>
      <c r="L352" s="12"/>
      <c r="M352" s="13"/>
      <c r="N352" s="13"/>
      <c r="O352" s="13"/>
    </row>
    <row r="353">
      <c r="A353" s="8" t="s">
        <v>359</v>
      </c>
      <c r="B353" s="9">
        <v>35.0</v>
      </c>
      <c r="C353" s="14" t="s">
        <v>234</v>
      </c>
      <c r="D353" s="9">
        <v>75.0</v>
      </c>
      <c r="E353" s="10">
        <v>1.0</v>
      </c>
      <c r="F353" s="9">
        <v>1.0</v>
      </c>
      <c r="G353" s="11"/>
      <c r="H353" s="11"/>
      <c r="I353" s="11"/>
      <c r="J353" s="12"/>
      <c r="K353" s="13"/>
      <c r="L353" s="12"/>
      <c r="M353" s="13"/>
      <c r="N353" s="13"/>
      <c r="O353" s="13"/>
    </row>
    <row r="354">
      <c r="A354" s="8" t="s">
        <v>360</v>
      </c>
      <c r="B354" s="9">
        <v>35.0</v>
      </c>
      <c r="C354" s="14" t="s">
        <v>234</v>
      </c>
      <c r="D354" s="9">
        <v>75.0</v>
      </c>
      <c r="E354" s="10">
        <v>1.0</v>
      </c>
      <c r="F354" s="9">
        <v>2.0</v>
      </c>
      <c r="G354" s="11"/>
      <c r="H354" s="11"/>
      <c r="I354" s="11"/>
      <c r="J354" s="12"/>
      <c r="K354" s="13"/>
      <c r="L354" s="12"/>
      <c r="M354" s="13"/>
      <c r="N354" s="13"/>
      <c r="O354" s="13"/>
    </row>
    <row r="355">
      <c r="A355" s="8" t="s">
        <v>361</v>
      </c>
      <c r="B355" s="9">
        <v>35.0</v>
      </c>
      <c r="C355" s="14" t="s">
        <v>234</v>
      </c>
      <c r="D355" s="9">
        <v>75.0</v>
      </c>
      <c r="E355" s="10">
        <v>1.0</v>
      </c>
      <c r="F355" s="9">
        <v>3.0</v>
      </c>
      <c r="G355" s="11"/>
      <c r="H355" s="11"/>
      <c r="I355" s="11"/>
      <c r="J355" s="12"/>
      <c r="K355" s="13"/>
      <c r="L355" s="12"/>
      <c r="M355" s="13"/>
      <c r="N355" s="13"/>
      <c r="O355" s="13"/>
    </row>
    <row r="356">
      <c r="A356" s="8" t="s">
        <v>362</v>
      </c>
      <c r="B356" s="9">
        <v>35.0</v>
      </c>
      <c r="C356" s="14" t="s">
        <v>234</v>
      </c>
      <c r="D356" s="9">
        <v>75.0</v>
      </c>
      <c r="E356" s="10">
        <v>1.0</v>
      </c>
      <c r="F356" s="9">
        <v>4.0</v>
      </c>
      <c r="G356" s="11"/>
      <c r="H356" s="11"/>
      <c r="I356" s="11"/>
      <c r="J356" s="12"/>
      <c r="K356" s="13"/>
      <c r="L356" s="12"/>
      <c r="M356" s="13"/>
      <c r="N356" s="13"/>
      <c r="O356" s="13"/>
    </row>
    <row r="357">
      <c r="A357" s="8" t="s">
        <v>363</v>
      </c>
      <c r="B357" s="9">
        <v>35.0</v>
      </c>
      <c r="C357" s="14" t="s">
        <v>234</v>
      </c>
      <c r="D357" s="9">
        <v>75.0</v>
      </c>
      <c r="E357" s="10">
        <v>1.0</v>
      </c>
      <c r="F357" s="9">
        <v>5.0</v>
      </c>
      <c r="G357" s="11"/>
      <c r="H357" s="11"/>
      <c r="I357" s="11"/>
      <c r="J357" s="12"/>
      <c r="K357" s="13"/>
      <c r="L357" s="12"/>
      <c r="M357" s="13"/>
      <c r="N357" s="13"/>
      <c r="O357" s="13"/>
    </row>
    <row r="358">
      <c r="A358" s="8" t="s">
        <v>364</v>
      </c>
      <c r="B358" s="9">
        <v>35.0</v>
      </c>
      <c r="C358" s="14" t="s">
        <v>234</v>
      </c>
      <c r="D358" s="9">
        <v>75.0</v>
      </c>
      <c r="E358" s="10">
        <v>2.0</v>
      </c>
      <c r="F358" s="9">
        <v>1.0</v>
      </c>
      <c r="G358" s="11"/>
      <c r="H358" s="11"/>
      <c r="I358" s="11"/>
      <c r="J358" s="12"/>
      <c r="K358" s="13"/>
      <c r="L358" s="12"/>
      <c r="M358" s="13"/>
      <c r="N358" s="13"/>
      <c r="O358" s="13"/>
    </row>
    <row r="359">
      <c r="A359" s="8" t="s">
        <v>365</v>
      </c>
      <c r="B359" s="9">
        <v>35.0</v>
      </c>
      <c r="C359" s="14" t="s">
        <v>234</v>
      </c>
      <c r="D359" s="9">
        <v>75.0</v>
      </c>
      <c r="E359" s="10">
        <v>2.0</v>
      </c>
      <c r="F359" s="9">
        <v>2.0</v>
      </c>
      <c r="G359" s="11"/>
      <c r="H359" s="11"/>
      <c r="I359" s="11"/>
      <c r="J359" s="12"/>
      <c r="K359" s="13"/>
      <c r="L359" s="12"/>
      <c r="M359" s="13"/>
      <c r="N359" s="13"/>
      <c r="O359" s="13"/>
    </row>
    <row r="360">
      <c r="A360" s="8" t="s">
        <v>366</v>
      </c>
      <c r="B360" s="9">
        <v>35.0</v>
      </c>
      <c r="C360" s="14" t="s">
        <v>234</v>
      </c>
      <c r="D360" s="9">
        <v>75.0</v>
      </c>
      <c r="E360" s="10">
        <v>2.0</v>
      </c>
      <c r="F360" s="9">
        <v>3.0</v>
      </c>
      <c r="G360" s="11"/>
      <c r="H360" s="11"/>
      <c r="I360" s="11"/>
      <c r="J360" s="12"/>
      <c r="K360" s="13"/>
      <c r="L360" s="12"/>
      <c r="M360" s="13"/>
      <c r="N360" s="13"/>
      <c r="O360" s="13"/>
    </row>
    <row r="361">
      <c r="A361" s="8" t="s">
        <v>367</v>
      </c>
      <c r="B361" s="9">
        <v>35.0</v>
      </c>
      <c r="C361" s="14" t="s">
        <v>234</v>
      </c>
      <c r="D361" s="9">
        <v>75.0</v>
      </c>
      <c r="E361" s="10">
        <v>2.0</v>
      </c>
      <c r="F361" s="9">
        <v>4.0</v>
      </c>
      <c r="G361" s="11"/>
      <c r="H361" s="11"/>
      <c r="I361" s="11"/>
      <c r="J361" s="12"/>
      <c r="K361" s="13"/>
      <c r="L361" s="12"/>
      <c r="M361" s="13"/>
      <c r="N361" s="13"/>
      <c r="O361" s="13"/>
    </row>
    <row r="362">
      <c r="A362" s="8" t="s">
        <v>368</v>
      </c>
      <c r="B362" s="9">
        <v>35.0</v>
      </c>
      <c r="C362" s="14" t="s">
        <v>234</v>
      </c>
      <c r="D362" s="9">
        <v>75.0</v>
      </c>
      <c r="E362" s="10">
        <v>2.0</v>
      </c>
      <c r="F362" s="9">
        <v>5.0</v>
      </c>
      <c r="G362" s="11"/>
      <c r="H362" s="11"/>
      <c r="I362" s="11"/>
      <c r="J362" s="12"/>
      <c r="K362" s="13"/>
      <c r="L362" s="12"/>
      <c r="M362" s="13"/>
      <c r="N362" s="13"/>
      <c r="O362" s="13"/>
    </row>
    <row r="363">
      <c r="A363" s="8" t="s">
        <v>369</v>
      </c>
      <c r="B363" s="9">
        <v>40.0</v>
      </c>
      <c r="C363" s="14" t="s">
        <v>234</v>
      </c>
      <c r="D363" s="9">
        <v>25.0</v>
      </c>
      <c r="E363" s="10">
        <v>0.6</v>
      </c>
      <c r="F363" s="9">
        <v>1.0</v>
      </c>
      <c r="G363" s="11"/>
      <c r="H363" s="11"/>
      <c r="I363" s="11"/>
      <c r="J363" s="12"/>
      <c r="K363" s="13"/>
      <c r="L363" s="12"/>
      <c r="M363" s="13"/>
      <c r="N363" s="13"/>
      <c r="O363" s="13"/>
    </row>
    <row r="364">
      <c r="A364" s="8" t="s">
        <v>370</v>
      </c>
      <c r="B364" s="9">
        <v>40.0</v>
      </c>
      <c r="C364" s="14" t="s">
        <v>234</v>
      </c>
      <c r="D364" s="9">
        <v>25.0</v>
      </c>
      <c r="E364" s="10">
        <v>0.6</v>
      </c>
      <c r="F364" s="9">
        <v>2.0</v>
      </c>
      <c r="G364" s="11"/>
      <c r="H364" s="11"/>
      <c r="I364" s="11"/>
      <c r="J364" s="12"/>
      <c r="K364" s="13"/>
      <c r="L364" s="12"/>
      <c r="M364" s="13"/>
      <c r="N364" s="13"/>
      <c r="O364" s="13"/>
    </row>
    <row r="365">
      <c r="A365" s="8" t="s">
        <v>371</v>
      </c>
      <c r="B365" s="9">
        <v>40.0</v>
      </c>
      <c r="C365" s="14" t="s">
        <v>234</v>
      </c>
      <c r="D365" s="9">
        <v>25.0</v>
      </c>
      <c r="E365" s="10">
        <v>0.6</v>
      </c>
      <c r="F365" s="9">
        <v>3.0</v>
      </c>
      <c r="G365" s="11"/>
      <c r="H365" s="11"/>
      <c r="I365" s="11"/>
      <c r="J365" s="12"/>
      <c r="K365" s="13"/>
      <c r="L365" s="12"/>
      <c r="M365" s="13"/>
      <c r="N365" s="13"/>
      <c r="O365" s="13"/>
    </row>
    <row r="366">
      <c r="A366" s="8" t="s">
        <v>372</v>
      </c>
      <c r="B366" s="9">
        <v>40.0</v>
      </c>
      <c r="C366" s="14" t="s">
        <v>234</v>
      </c>
      <c r="D366" s="9">
        <v>25.0</v>
      </c>
      <c r="E366" s="10">
        <v>0.6</v>
      </c>
      <c r="F366" s="9">
        <v>4.0</v>
      </c>
      <c r="G366" s="11"/>
      <c r="H366" s="11"/>
      <c r="I366" s="11"/>
      <c r="J366" s="12"/>
      <c r="K366" s="13"/>
      <c r="L366" s="12"/>
      <c r="M366" s="13"/>
      <c r="N366" s="13"/>
      <c r="O366" s="13"/>
    </row>
    <row r="367">
      <c r="A367" s="8" t="s">
        <v>373</v>
      </c>
      <c r="B367" s="9">
        <v>40.0</v>
      </c>
      <c r="C367" s="14" t="s">
        <v>234</v>
      </c>
      <c r="D367" s="9">
        <v>25.0</v>
      </c>
      <c r="E367" s="10">
        <v>0.6</v>
      </c>
      <c r="F367" s="9">
        <v>5.0</v>
      </c>
      <c r="G367" s="11"/>
      <c r="H367" s="11"/>
      <c r="I367" s="11"/>
      <c r="J367" s="12"/>
      <c r="K367" s="13"/>
      <c r="L367" s="12"/>
      <c r="M367" s="13"/>
      <c r="N367" s="13"/>
      <c r="O367" s="13"/>
    </row>
    <row r="368">
      <c r="A368" s="8" t="s">
        <v>374</v>
      </c>
      <c r="B368" s="9">
        <v>40.0</v>
      </c>
      <c r="C368" s="14" t="s">
        <v>234</v>
      </c>
      <c r="D368" s="9">
        <v>25.0</v>
      </c>
      <c r="E368" s="10">
        <v>1.0</v>
      </c>
      <c r="F368" s="9">
        <v>1.0</v>
      </c>
      <c r="G368" s="11"/>
      <c r="H368" s="11"/>
      <c r="I368" s="11"/>
      <c r="J368" s="12"/>
      <c r="K368" s="13"/>
      <c r="L368" s="12"/>
      <c r="M368" s="13"/>
      <c r="N368" s="13"/>
      <c r="O368" s="13"/>
    </row>
    <row r="369">
      <c r="A369" s="8" t="s">
        <v>375</v>
      </c>
      <c r="B369" s="9">
        <v>40.0</v>
      </c>
      <c r="C369" s="14" t="s">
        <v>234</v>
      </c>
      <c r="D369" s="9">
        <v>25.0</v>
      </c>
      <c r="E369" s="10">
        <v>1.0</v>
      </c>
      <c r="F369" s="9">
        <v>2.0</v>
      </c>
      <c r="G369" s="11"/>
      <c r="H369" s="11"/>
      <c r="I369" s="11"/>
      <c r="J369" s="12"/>
      <c r="K369" s="13"/>
      <c r="L369" s="12"/>
      <c r="M369" s="13"/>
      <c r="N369" s="13"/>
      <c r="O369" s="13"/>
    </row>
    <row r="370">
      <c r="A370" s="8" t="s">
        <v>376</v>
      </c>
      <c r="B370" s="9">
        <v>40.0</v>
      </c>
      <c r="C370" s="14" t="s">
        <v>234</v>
      </c>
      <c r="D370" s="9">
        <v>25.0</v>
      </c>
      <c r="E370" s="10">
        <v>1.0</v>
      </c>
      <c r="F370" s="9">
        <v>3.0</v>
      </c>
      <c r="G370" s="11"/>
      <c r="H370" s="11"/>
      <c r="I370" s="11"/>
      <c r="J370" s="12"/>
      <c r="K370" s="13"/>
      <c r="L370" s="12"/>
      <c r="M370" s="13"/>
      <c r="N370" s="13"/>
      <c r="O370" s="13"/>
    </row>
    <row r="371">
      <c r="A371" s="8" t="s">
        <v>377</v>
      </c>
      <c r="B371" s="9">
        <v>40.0</v>
      </c>
      <c r="C371" s="14" t="s">
        <v>234</v>
      </c>
      <c r="D371" s="9">
        <v>25.0</v>
      </c>
      <c r="E371" s="10">
        <v>1.0</v>
      </c>
      <c r="F371" s="9">
        <v>4.0</v>
      </c>
      <c r="G371" s="11"/>
      <c r="H371" s="11"/>
      <c r="I371" s="11"/>
      <c r="J371" s="12"/>
      <c r="K371" s="13"/>
      <c r="L371" s="12"/>
      <c r="M371" s="13"/>
      <c r="N371" s="13"/>
      <c r="O371" s="13"/>
    </row>
    <row r="372">
      <c r="A372" s="8" t="s">
        <v>378</v>
      </c>
      <c r="B372" s="9">
        <v>40.0</v>
      </c>
      <c r="C372" s="14" t="s">
        <v>234</v>
      </c>
      <c r="D372" s="9">
        <v>25.0</v>
      </c>
      <c r="E372" s="10">
        <v>1.0</v>
      </c>
      <c r="F372" s="9">
        <v>5.0</v>
      </c>
      <c r="G372" s="11"/>
      <c r="H372" s="11"/>
      <c r="I372" s="11"/>
      <c r="J372" s="12"/>
      <c r="K372" s="13"/>
      <c r="L372" s="12"/>
      <c r="M372" s="13"/>
      <c r="N372" s="13"/>
      <c r="O372" s="13"/>
    </row>
    <row r="373">
      <c r="A373" s="8" t="s">
        <v>379</v>
      </c>
      <c r="B373" s="9">
        <v>40.0</v>
      </c>
      <c r="C373" s="14" t="s">
        <v>234</v>
      </c>
      <c r="D373" s="9">
        <v>25.0</v>
      </c>
      <c r="E373" s="10">
        <v>2.0</v>
      </c>
      <c r="F373" s="9">
        <v>1.0</v>
      </c>
      <c r="G373" s="11"/>
      <c r="H373" s="11"/>
      <c r="I373" s="11"/>
      <c r="J373" s="12"/>
      <c r="K373" s="13"/>
      <c r="L373" s="12"/>
      <c r="M373" s="13"/>
      <c r="N373" s="13"/>
      <c r="O373" s="13"/>
    </row>
    <row r="374">
      <c r="A374" s="8" t="s">
        <v>380</v>
      </c>
      <c r="B374" s="9">
        <v>40.0</v>
      </c>
      <c r="C374" s="14" t="s">
        <v>234</v>
      </c>
      <c r="D374" s="9">
        <v>25.0</v>
      </c>
      <c r="E374" s="10">
        <v>2.0</v>
      </c>
      <c r="F374" s="9">
        <v>2.0</v>
      </c>
      <c r="G374" s="11"/>
      <c r="H374" s="11"/>
      <c r="I374" s="11"/>
      <c r="J374" s="12"/>
      <c r="K374" s="13"/>
      <c r="L374" s="12"/>
      <c r="M374" s="13"/>
      <c r="N374" s="13"/>
      <c r="O374" s="13"/>
    </row>
    <row r="375">
      <c r="A375" s="8" t="s">
        <v>381</v>
      </c>
      <c r="B375" s="9">
        <v>40.0</v>
      </c>
      <c r="C375" s="14" t="s">
        <v>234</v>
      </c>
      <c r="D375" s="9">
        <v>25.0</v>
      </c>
      <c r="E375" s="10">
        <v>2.0</v>
      </c>
      <c r="F375" s="9">
        <v>3.0</v>
      </c>
      <c r="G375" s="11"/>
      <c r="H375" s="11"/>
      <c r="I375" s="11"/>
      <c r="J375" s="12"/>
      <c r="K375" s="13"/>
      <c r="L375" s="12"/>
      <c r="M375" s="13"/>
      <c r="N375" s="13"/>
      <c r="O375" s="13"/>
    </row>
    <row r="376">
      <c r="A376" s="8" t="s">
        <v>382</v>
      </c>
      <c r="B376" s="9">
        <v>40.0</v>
      </c>
      <c r="C376" s="14" t="s">
        <v>234</v>
      </c>
      <c r="D376" s="9">
        <v>25.0</v>
      </c>
      <c r="E376" s="10">
        <v>2.0</v>
      </c>
      <c r="F376" s="9">
        <v>4.0</v>
      </c>
      <c r="G376" s="11"/>
      <c r="H376" s="11"/>
      <c r="I376" s="11"/>
      <c r="J376" s="12"/>
      <c r="K376" s="13"/>
      <c r="L376" s="12"/>
      <c r="M376" s="13"/>
      <c r="N376" s="13"/>
      <c r="O376" s="13"/>
    </row>
    <row r="377">
      <c r="A377" s="8" t="s">
        <v>383</v>
      </c>
      <c r="B377" s="9">
        <v>40.0</v>
      </c>
      <c r="C377" s="14" t="s">
        <v>234</v>
      </c>
      <c r="D377" s="9">
        <v>25.0</v>
      </c>
      <c r="E377" s="10">
        <v>2.0</v>
      </c>
      <c r="F377" s="9">
        <v>5.0</v>
      </c>
      <c r="G377" s="11"/>
      <c r="H377" s="11"/>
      <c r="I377" s="11"/>
      <c r="J377" s="12"/>
      <c r="K377" s="13"/>
      <c r="L377" s="12"/>
      <c r="M377" s="13"/>
      <c r="N377" s="13"/>
      <c r="O377" s="13"/>
    </row>
    <row r="378">
      <c r="A378" s="8" t="s">
        <v>384</v>
      </c>
      <c r="B378" s="9">
        <v>40.0</v>
      </c>
      <c r="C378" s="14" t="s">
        <v>234</v>
      </c>
      <c r="D378" s="9">
        <v>50.0</v>
      </c>
      <c r="E378" s="10">
        <v>0.6</v>
      </c>
      <c r="F378" s="9">
        <v>1.0</v>
      </c>
      <c r="G378" s="11"/>
      <c r="H378" s="11"/>
      <c r="I378" s="11"/>
      <c r="J378" s="12"/>
      <c r="K378" s="13"/>
      <c r="L378" s="12"/>
      <c r="M378" s="13"/>
      <c r="N378" s="13"/>
      <c r="O378" s="13"/>
    </row>
    <row r="379">
      <c r="A379" s="8" t="s">
        <v>385</v>
      </c>
      <c r="B379" s="9">
        <v>40.0</v>
      </c>
      <c r="C379" s="14" t="s">
        <v>234</v>
      </c>
      <c r="D379" s="9">
        <v>50.0</v>
      </c>
      <c r="E379" s="10">
        <v>0.6</v>
      </c>
      <c r="F379" s="9">
        <v>2.0</v>
      </c>
      <c r="G379" s="11"/>
      <c r="H379" s="11"/>
      <c r="I379" s="11"/>
      <c r="J379" s="12"/>
      <c r="K379" s="13"/>
      <c r="L379" s="12"/>
      <c r="M379" s="13"/>
      <c r="N379" s="13"/>
      <c r="O379" s="13"/>
    </row>
    <row r="380">
      <c r="A380" s="8" t="s">
        <v>386</v>
      </c>
      <c r="B380" s="9">
        <v>40.0</v>
      </c>
      <c r="C380" s="14" t="s">
        <v>234</v>
      </c>
      <c r="D380" s="9">
        <v>50.0</v>
      </c>
      <c r="E380" s="10">
        <v>0.6</v>
      </c>
      <c r="F380" s="9">
        <v>3.0</v>
      </c>
      <c r="G380" s="11"/>
      <c r="H380" s="11"/>
      <c r="I380" s="11"/>
      <c r="J380" s="12"/>
      <c r="K380" s="13"/>
      <c r="L380" s="12"/>
      <c r="M380" s="13"/>
      <c r="N380" s="13"/>
      <c r="O380" s="13"/>
    </row>
    <row r="381">
      <c r="A381" s="8" t="s">
        <v>387</v>
      </c>
      <c r="B381" s="9">
        <v>40.0</v>
      </c>
      <c r="C381" s="14" t="s">
        <v>234</v>
      </c>
      <c r="D381" s="9">
        <v>50.0</v>
      </c>
      <c r="E381" s="10">
        <v>0.6</v>
      </c>
      <c r="F381" s="9">
        <v>4.0</v>
      </c>
      <c r="G381" s="11"/>
      <c r="H381" s="11"/>
      <c r="I381" s="11"/>
      <c r="J381" s="12"/>
      <c r="K381" s="13"/>
      <c r="L381" s="12"/>
      <c r="M381" s="13"/>
      <c r="N381" s="13"/>
      <c r="O381" s="13"/>
    </row>
    <row r="382">
      <c r="A382" s="8" t="s">
        <v>388</v>
      </c>
      <c r="B382" s="9">
        <v>40.0</v>
      </c>
      <c r="C382" s="14" t="s">
        <v>234</v>
      </c>
      <c r="D382" s="9">
        <v>50.0</v>
      </c>
      <c r="E382" s="10">
        <v>0.6</v>
      </c>
      <c r="F382" s="9">
        <v>5.0</v>
      </c>
      <c r="G382" s="11"/>
      <c r="H382" s="11"/>
      <c r="I382" s="11"/>
      <c r="J382" s="12"/>
      <c r="K382" s="13"/>
      <c r="L382" s="12"/>
      <c r="M382" s="13"/>
      <c r="N382" s="13"/>
      <c r="O382" s="13"/>
    </row>
    <row r="383">
      <c r="A383" s="8" t="s">
        <v>389</v>
      </c>
      <c r="B383" s="9">
        <v>40.0</v>
      </c>
      <c r="C383" s="14" t="s">
        <v>234</v>
      </c>
      <c r="D383" s="9">
        <v>50.0</v>
      </c>
      <c r="E383" s="10">
        <v>1.0</v>
      </c>
      <c r="F383" s="9">
        <v>1.0</v>
      </c>
      <c r="G383" s="11"/>
      <c r="H383" s="11"/>
      <c r="I383" s="11"/>
      <c r="J383" s="12"/>
      <c r="K383" s="13"/>
      <c r="L383" s="12"/>
      <c r="M383" s="13"/>
      <c r="N383" s="13"/>
      <c r="O383" s="13"/>
    </row>
    <row r="384">
      <c r="A384" s="8" t="s">
        <v>390</v>
      </c>
      <c r="B384" s="9">
        <v>40.0</v>
      </c>
      <c r="C384" s="14" t="s">
        <v>234</v>
      </c>
      <c r="D384" s="9">
        <v>50.0</v>
      </c>
      <c r="E384" s="10">
        <v>1.0</v>
      </c>
      <c r="F384" s="9">
        <v>2.0</v>
      </c>
      <c r="G384" s="11"/>
      <c r="H384" s="11"/>
      <c r="I384" s="11"/>
      <c r="J384" s="12"/>
      <c r="K384" s="13"/>
      <c r="L384" s="12"/>
      <c r="M384" s="13"/>
      <c r="N384" s="13"/>
      <c r="O384" s="13"/>
    </row>
    <row r="385">
      <c r="A385" s="8" t="s">
        <v>391</v>
      </c>
      <c r="B385" s="9">
        <v>40.0</v>
      </c>
      <c r="C385" s="14" t="s">
        <v>234</v>
      </c>
      <c r="D385" s="9">
        <v>50.0</v>
      </c>
      <c r="E385" s="10">
        <v>1.0</v>
      </c>
      <c r="F385" s="9">
        <v>3.0</v>
      </c>
      <c r="G385" s="11"/>
      <c r="H385" s="11"/>
      <c r="I385" s="11"/>
      <c r="J385" s="12"/>
      <c r="K385" s="13"/>
      <c r="L385" s="12"/>
      <c r="M385" s="13"/>
      <c r="N385" s="13"/>
      <c r="O385" s="13"/>
    </row>
    <row r="386">
      <c r="A386" s="8" t="s">
        <v>392</v>
      </c>
      <c r="B386" s="9">
        <v>40.0</v>
      </c>
      <c r="C386" s="14" t="s">
        <v>234</v>
      </c>
      <c r="D386" s="9">
        <v>50.0</v>
      </c>
      <c r="E386" s="10">
        <v>1.0</v>
      </c>
      <c r="F386" s="9">
        <v>4.0</v>
      </c>
      <c r="G386" s="11"/>
      <c r="H386" s="11"/>
      <c r="I386" s="11"/>
      <c r="J386" s="12"/>
      <c r="K386" s="13"/>
      <c r="L386" s="12"/>
      <c r="M386" s="13"/>
      <c r="N386" s="13"/>
      <c r="O386" s="13"/>
    </row>
    <row r="387">
      <c r="A387" s="8" t="s">
        <v>393</v>
      </c>
      <c r="B387" s="9">
        <v>40.0</v>
      </c>
      <c r="C387" s="14" t="s">
        <v>234</v>
      </c>
      <c r="D387" s="9">
        <v>50.0</v>
      </c>
      <c r="E387" s="10">
        <v>1.0</v>
      </c>
      <c r="F387" s="9">
        <v>5.0</v>
      </c>
      <c r="G387" s="11"/>
      <c r="H387" s="11"/>
      <c r="I387" s="11"/>
      <c r="J387" s="12"/>
      <c r="K387" s="13"/>
      <c r="L387" s="12"/>
      <c r="M387" s="13"/>
      <c r="N387" s="13"/>
      <c r="O387" s="13"/>
    </row>
    <row r="388">
      <c r="A388" s="8" t="s">
        <v>394</v>
      </c>
      <c r="B388" s="9">
        <v>40.0</v>
      </c>
      <c r="C388" s="14" t="s">
        <v>234</v>
      </c>
      <c r="D388" s="9">
        <v>50.0</v>
      </c>
      <c r="E388" s="10">
        <v>2.0</v>
      </c>
      <c r="F388" s="9">
        <v>1.0</v>
      </c>
      <c r="G388" s="11"/>
      <c r="H388" s="11"/>
      <c r="I388" s="11"/>
      <c r="J388" s="12"/>
      <c r="K388" s="13"/>
      <c r="L388" s="12"/>
      <c r="M388" s="13"/>
      <c r="N388" s="13"/>
      <c r="O388" s="13"/>
    </row>
    <row r="389">
      <c r="A389" s="8" t="s">
        <v>395</v>
      </c>
      <c r="B389" s="9">
        <v>40.0</v>
      </c>
      <c r="C389" s="14" t="s">
        <v>234</v>
      </c>
      <c r="D389" s="9">
        <v>50.0</v>
      </c>
      <c r="E389" s="10">
        <v>2.0</v>
      </c>
      <c r="F389" s="9">
        <v>2.0</v>
      </c>
      <c r="G389" s="11"/>
      <c r="H389" s="11"/>
      <c r="I389" s="11"/>
      <c r="J389" s="12"/>
      <c r="K389" s="13"/>
      <c r="L389" s="12"/>
      <c r="M389" s="13"/>
      <c r="N389" s="13"/>
      <c r="O389" s="13"/>
    </row>
    <row r="390">
      <c r="A390" s="8" t="s">
        <v>396</v>
      </c>
      <c r="B390" s="9">
        <v>40.0</v>
      </c>
      <c r="C390" s="14" t="s">
        <v>234</v>
      </c>
      <c r="D390" s="9">
        <v>50.0</v>
      </c>
      <c r="E390" s="10">
        <v>2.0</v>
      </c>
      <c r="F390" s="9">
        <v>3.0</v>
      </c>
      <c r="G390" s="11"/>
      <c r="H390" s="11"/>
      <c r="I390" s="11"/>
      <c r="J390" s="12"/>
      <c r="K390" s="13"/>
      <c r="L390" s="12"/>
      <c r="M390" s="13"/>
      <c r="N390" s="13"/>
      <c r="O390" s="13"/>
    </row>
    <row r="391">
      <c r="A391" s="8" t="s">
        <v>397</v>
      </c>
      <c r="B391" s="9">
        <v>40.0</v>
      </c>
      <c r="C391" s="14" t="s">
        <v>234</v>
      </c>
      <c r="D391" s="9">
        <v>50.0</v>
      </c>
      <c r="E391" s="10">
        <v>2.0</v>
      </c>
      <c r="F391" s="9">
        <v>4.0</v>
      </c>
      <c r="G391" s="11"/>
      <c r="H391" s="11"/>
      <c r="I391" s="11"/>
      <c r="J391" s="12"/>
      <c r="K391" s="13"/>
      <c r="L391" s="12"/>
      <c r="M391" s="13"/>
      <c r="N391" s="13"/>
      <c r="O391" s="13"/>
    </row>
    <row r="392">
      <c r="A392" s="8" t="s">
        <v>398</v>
      </c>
      <c r="B392" s="9">
        <v>40.0</v>
      </c>
      <c r="C392" s="14" t="s">
        <v>234</v>
      </c>
      <c r="D392" s="9">
        <v>50.0</v>
      </c>
      <c r="E392" s="10">
        <v>2.0</v>
      </c>
      <c r="F392" s="9">
        <v>5.0</v>
      </c>
      <c r="G392" s="11"/>
      <c r="H392" s="11"/>
      <c r="I392" s="11"/>
      <c r="J392" s="12"/>
      <c r="K392" s="13"/>
      <c r="L392" s="12"/>
      <c r="M392" s="13"/>
      <c r="N392" s="13"/>
      <c r="O392" s="13"/>
    </row>
    <row r="393">
      <c r="A393" s="8" t="s">
        <v>399</v>
      </c>
      <c r="B393" s="9">
        <v>40.0</v>
      </c>
      <c r="C393" s="14" t="s">
        <v>234</v>
      </c>
      <c r="D393" s="9">
        <v>75.0</v>
      </c>
      <c r="E393" s="10">
        <v>0.6</v>
      </c>
      <c r="F393" s="9">
        <v>1.0</v>
      </c>
      <c r="G393" s="11"/>
      <c r="H393" s="11"/>
      <c r="I393" s="11"/>
      <c r="J393" s="12"/>
      <c r="K393" s="13"/>
      <c r="L393" s="12"/>
      <c r="M393" s="13"/>
      <c r="N393" s="13"/>
      <c r="O393" s="13"/>
    </row>
    <row r="394">
      <c r="A394" s="8" t="s">
        <v>400</v>
      </c>
      <c r="B394" s="9">
        <v>40.0</v>
      </c>
      <c r="C394" s="14" t="s">
        <v>234</v>
      </c>
      <c r="D394" s="9">
        <v>75.0</v>
      </c>
      <c r="E394" s="10">
        <v>0.6</v>
      </c>
      <c r="F394" s="9">
        <v>2.0</v>
      </c>
      <c r="G394" s="11"/>
      <c r="H394" s="11"/>
      <c r="I394" s="11"/>
      <c r="J394" s="12"/>
      <c r="K394" s="13"/>
      <c r="L394" s="12"/>
      <c r="M394" s="13"/>
      <c r="N394" s="13"/>
      <c r="O394" s="13"/>
    </row>
    <row r="395">
      <c r="A395" s="8" t="s">
        <v>401</v>
      </c>
      <c r="B395" s="9">
        <v>40.0</v>
      </c>
      <c r="C395" s="14" t="s">
        <v>234</v>
      </c>
      <c r="D395" s="9">
        <v>75.0</v>
      </c>
      <c r="E395" s="10">
        <v>0.6</v>
      </c>
      <c r="F395" s="9">
        <v>3.0</v>
      </c>
      <c r="G395" s="11"/>
      <c r="H395" s="11"/>
      <c r="I395" s="11"/>
      <c r="J395" s="12"/>
      <c r="K395" s="13"/>
      <c r="L395" s="12"/>
      <c r="M395" s="13"/>
      <c r="N395" s="13"/>
      <c r="O395" s="13"/>
    </row>
    <row r="396">
      <c r="A396" s="8" t="s">
        <v>402</v>
      </c>
      <c r="B396" s="9">
        <v>40.0</v>
      </c>
      <c r="C396" s="14" t="s">
        <v>234</v>
      </c>
      <c r="D396" s="9">
        <v>75.0</v>
      </c>
      <c r="E396" s="10">
        <v>0.6</v>
      </c>
      <c r="F396" s="9">
        <v>4.0</v>
      </c>
      <c r="G396" s="11"/>
      <c r="H396" s="11"/>
      <c r="I396" s="11"/>
      <c r="J396" s="12"/>
      <c r="K396" s="13"/>
      <c r="L396" s="12"/>
      <c r="M396" s="13"/>
      <c r="N396" s="13"/>
      <c r="O396" s="13"/>
    </row>
    <row r="397">
      <c r="A397" s="8" t="s">
        <v>403</v>
      </c>
      <c r="B397" s="9">
        <v>40.0</v>
      </c>
      <c r="C397" s="14" t="s">
        <v>234</v>
      </c>
      <c r="D397" s="9">
        <v>75.0</v>
      </c>
      <c r="E397" s="10">
        <v>0.6</v>
      </c>
      <c r="F397" s="9">
        <v>5.0</v>
      </c>
      <c r="G397" s="11"/>
      <c r="H397" s="11"/>
      <c r="I397" s="11"/>
      <c r="J397" s="12"/>
      <c r="K397" s="13"/>
      <c r="L397" s="12"/>
      <c r="M397" s="13"/>
      <c r="N397" s="13"/>
      <c r="O397" s="13"/>
    </row>
    <row r="398">
      <c r="A398" s="8" t="s">
        <v>404</v>
      </c>
      <c r="B398" s="9">
        <v>40.0</v>
      </c>
      <c r="C398" s="14" t="s">
        <v>234</v>
      </c>
      <c r="D398" s="9">
        <v>75.0</v>
      </c>
      <c r="E398" s="10">
        <v>1.0</v>
      </c>
      <c r="F398" s="9">
        <v>1.0</v>
      </c>
      <c r="G398" s="11"/>
      <c r="H398" s="11"/>
      <c r="I398" s="11"/>
      <c r="J398" s="12"/>
      <c r="K398" s="13"/>
      <c r="L398" s="12"/>
      <c r="M398" s="13"/>
      <c r="N398" s="13"/>
      <c r="O398" s="13"/>
    </row>
    <row r="399">
      <c r="A399" s="8" t="s">
        <v>405</v>
      </c>
      <c r="B399" s="9">
        <v>40.0</v>
      </c>
      <c r="C399" s="14" t="s">
        <v>234</v>
      </c>
      <c r="D399" s="9">
        <v>75.0</v>
      </c>
      <c r="E399" s="10">
        <v>1.0</v>
      </c>
      <c r="F399" s="9">
        <v>2.0</v>
      </c>
      <c r="G399" s="11"/>
      <c r="H399" s="11"/>
      <c r="I399" s="11"/>
      <c r="J399" s="12"/>
      <c r="K399" s="13"/>
      <c r="L399" s="12"/>
      <c r="M399" s="13"/>
      <c r="N399" s="13"/>
      <c r="O399" s="13"/>
    </row>
    <row r="400">
      <c r="A400" s="8" t="s">
        <v>406</v>
      </c>
      <c r="B400" s="9">
        <v>40.0</v>
      </c>
      <c r="C400" s="14" t="s">
        <v>234</v>
      </c>
      <c r="D400" s="9">
        <v>75.0</v>
      </c>
      <c r="E400" s="10">
        <v>1.0</v>
      </c>
      <c r="F400" s="9">
        <v>3.0</v>
      </c>
      <c r="G400" s="11"/>
      <c r="H400" s="11"/>
      <c r="I400" s="11"/>
      <c r="J400" s="12"/>
      <c r="K400" s="13"/>
      <c r="L400" s="12"/>
      <c r="M400" s="13"/>
      <c r="N400" s="13"/>
      <c r="O400" s="13"/>
    </row>
    <row r="401">
      <c r="A401" s="8" t="s">
        <v>407</v>
      </c>
      <c r="B401" s="9">
        <v>40.0</v>
      </c>
      <c r="C401" s="14" t="s">
        <v>234</v>
      </c>
      <c r="D401" s="9">
        <v>75.0</v>
      </c>
      <c r="E401" s="10">
        <v>1.0</v>
      </c>
      <c r="F401" s="9">
        <v>4.0</v>
      </c>
      <c r="G401" s="11"/>
      <c r="H401" s="11"/>
      <c r="I401" s="11"/>
      <c r="J401" s="12"/>
      <c r="K401" s="13"/>
      <c r="L401" s="12"/>
      <c r="M401" s="13"/>
      <c r="N401" s="13"/>
      <c r="O401" s="13"/>
    </row>
    <row r="402">
      <c r="A402" s="8" t="s">
        <v>408</v>
      </c>
      <c r="B402" s="9">
        <v>40.0</v>
      </c>
      <c r="C402" s="14" t="s">
        <v>234</v>
      </c>
      <c r="D402" s="9">
        <v>75.0</v>
      </c>
      <c r="E402" s="10">
        <v>1.0</v>
      </c>
      <c r="F402" s="9">
        <v>5.0</v>
      </c>
      <c r="G402" s="11"/>
      <c r="H402" s="11"/>
      <c r="I402" s="11"/>
      <c r="J402" s="12"/>
      <c r="K402" s="13"/>
      <c r="L402" s="12"/>
      <c r="M402" s="13"/>
      <c r="N402" s="13"/>
      <c r="O402" s="13"/>
    </row>
    <row r="403">
      <c r="A403" s="8" t="s">
        <v>409</v>
      </c>
      <c r="B403" s="9">
        <v>40.0</v>
      </c>
      <c r="C403" s="14" t="s">
        <v>234</v>
      </c>
      <c r="D403" s="9">
        <v>75.0</v>
      </c>
      <c r="E403" s="10">
        <v>2.0</v>
      </c>
      <c r="F403" s="9">
        <v>1.0</v>
      </c>
      <c r="G403" s="11"/>
      <c r="H403" s="11"/>
      <c r="I403" s="11"/>
      <c r="J403" s="12"/>
      <c r="K403" s="13"/>
      <c r="L403" s="12"/>
      <c r="M403" s="13"/>
      <c r="N403" s="13"/>
      <c r="O403" s="13"/>
    </row>
    <row r="404">
      <c r="A404" s="8" t="s">
        <v>410</v>
      </c>
      <c r="B404" s="9">
        <v>40.0</v>
      </c>
      <c r="C404" s="14" t="s">
        <v>234</v>
      </c>
      <c r="D404" s="9">
        <v>75.0</v>
      </c>
      <c r="E404" s="10">
        <v>2.0</v>
      </c>
      <c r="F404" s="9">
        <v>2.0</v>
      </c>
      <c r="G404" s="11"/>
      <c r="H404" s="11"/>
      <c r="I404" s="11"/>
      <c r="J404" s="12"/>
      <c r="K404" s="13"/>
      <c r="L404" s="12"/>
      <c r="M404" s="13"/>
      <c r="N404" s="13"/>
      <c r="O404" s="13"/>
    </row>
    <row r="405">
      <c r="A405" s="8" t="s">
        <v>411</v>
      </c>
      <c r="B405" s="9">
        <v>40.0</v>
      </c>
      <c r="C405" s="14" t="s">
        <v>234</v>
      </c>
      <c r="D405" s="9">
        <v>75.0</v>
      </c>
      <c r="E405" s="10">
        <v>2.0</v>
      </c>
      <c r="F405" s="9">
        <v>3.0</v>
      </c>
      <c r="G405" s="11"/>
      <c r="H405" s="11"/>
      <c r="I405" s="11"/>
      <c r="J405" s="12"/>
      <c r="K405" s="13"/>
      <c r="L405" s="12"/>
      <c r="M405" s="13"/>
      <c r="N405" s="13"/>
      <c r="O405" s="13"/>
    </row>
    <row r="406">
      <c r="A406" s="8" t="s">
        <v>412</v>
      </c>
      <c r="B406" s="9">
        <v>40.0</v>
      </c>
      <c r="C406" s="14" t="s">
        <v>234</v>
      </c>
      <c r="D406" s="9">
        <v>75.0</v>
      </c>
      <c r="E406" s="10">
        <v>2.0</v>
      </c>
      <c r="F406" s="9">
        <v>4.0</v>
      </c>
      <c r="G406" s="11"/>
      <c r="H406" s="11"/>
      <c r="I406" s="11"/>
      <c r="J406" s="12"/>
      <c r="K406" s="13"/>
      <c r="L406" s="12"/>
      <c r="M406" s="13"/>
      <c r="N406" s="13"/>
      <c r="O406" s="13"/>
    </row>
    <row r="407">
      <c r="A407" s="8" t="s">
        <v>413</v>
      </c>
      <c r="B407" s="9">
        <v>40.0</v>
      </c>
      <c r="C407" s="14" t="s">
        <v>234</v>
      </c>
      <c r="D407" s="9">
        <v>75.0</v>
      </c>
      <c r="E407" s="10">
        <v>2.0</v>
      </c>
      <c r="F407" s="9">
        <v>5.0</v>
      </c>
      <c r="G407" s="11"/>
      <c r="H407" s="11"/>
      <c r="I407" s="11"/>
      <c r="J407" s="12"/>
      <c r="K407" s="13"/>
      <c r="L407" s="12"/>
      <c r="M407" s="13"/>
      <c r="N407" s="13"/>
      <c r="O407" s="13"/>
    </row>
    <row r="408">
      <c r="A408" s="8" t="s">
        <v>414</v>
      </c>
      <c r="B408" s="9">
        <v>45.0</v>
      </c>
      <c r="C408" s="14" t="s">
        <v>234</v>
      </c>
      <c r="D408" s="9">
        <v>25.0</v>
      </c>
      <c r="E408" s="10">
        <v>0.6</v>
      </c>
      <c r="F408" s="9">
        <v>1.0</v>
      </c>
      <c r="G408" s="11"/>
      <c r="H408" s="11"/>
      <c r="I408" s="11"/>
      <c r="J408" s="12"/>
      <c r="K408" s="13"/>
      <c r="L408" s="12"/>
      <c r="M408" s="13"/>
      <c r="N408" s="13"/>
      <c r="O408" s="13"/>
    </row>
    <row r="409">
      <c r="A409" s="8" t="s">
        <v>415</v>
      </c>
      <c r="B409" s="9">
        <v>45.0</v>
      </c>
      <c r="C409" s="14" t="s">
        <v>234</v>
      </c>
      <c r="D409" s="9">
        <v>25.0</v>
      </c>
      <c r="E409" s="10">
        <v>0.6</v>
      </c>
      <c r="F409" s="9">
        <v>2.0</v>
      </c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A410" s="8" t="s">
        <v>416</v>
      </c>
      <c r="B410" s="9">
        <v>45.0</v>
      </c>
      <c r="C410" s="14" t="s">
        <v>234</v>
      </c>
      <c r="D410" s="9">
        <v>25.0</v>
      </c>
      <c r="E410" s="10">
        <v>0.6</v>
      </c>
      <c r="F410" s="9">
        <v>3.0</v>
      </c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A411" s="8" t="s">
        <v>417</v>
      </c>
      <c r="B411" s="9">
        <v>45.0</v>
      </c>
      <c r="C411" s="14" t="s">
        <v>234</v>
      </c>
      <c r="D411" s="9">
        <v>25.0</v>
      </c>
      <c r="E411" s="10">
        <v>0.6</v>
      </c>
      <c r="F411" s="9">
        <v>4.0</v>
      </c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A412" s="8" t="s">
        <v>418</v>
      </c>
      <c r="B412" s="9">
        <v>45.0</v>
      </c>
      <c r="C412" s="14" t="s">
        <v>234</v>
      </c>
      <c r="D412" s="9">
        <v>25.0</v>
      </c>
      <c r="E412" s="10">
        <v>0.6</v>
      </c>
      <c r="F412" s="9">
        <v>5.0</v>
      </c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A413" s="8" t="s">
        <v>419</v>
      </c>
      <c r="B413" s="9">
        <v>45.0</v>
      </c>
      <c r="C413" s="14" t="s">
        <v>234</v>
      </c>
      <c r="D413" s="9">
        <v>25.0</v>
      </c>
      <c r="E413" s="10">
        <v>1.0</v>
      </c>
      <c r="F413" s="9">
        <v>1.0</v>
      </c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A414" s="8" t="s">
        <v>420</v>
      </c>
      <c r="B414" s="9">
        <v>45.0</v>
      </c>
      <c r="C414" s="14" t="s">
        <v>234</v>
      </c>
      <c r="D414" s="9">
        <v>25.0</v>
      </c>
      <c r="E414" s="10">
        <v>1.0</v>
      </c>
      <c r="F414" s="9">
        <v>2.0</v>
      </c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A415" s="8" t="s">
        <v>421</v>
      </c>
      <c r="B415" s="9">
        <v>45.0</v>
      </c>
      <c r="C415" s="14" t="s">
        <v>234</v>
      </c>
      <c r="D415" s="9">
        <v>25.0</v>
      </c>
      <c r="E415" s="10">
        <v>1.0</v>
      </c>
      <c r="F415" s="9">
        <v>3.0</v>
      </c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A416" s="8" t="s">
        <v>422</v>
      </c>
      <c r="B416" s="9">
        <v>45.0</v>
      </c>
      <c r="C416" s="14" t="s">
        <v>234</v>
      </c>
      <c r="D416" s="9">
        <v>25.0</v>
      </c>
      <c r="E416" s="10">
        <v>1.0</v>
      </c>
      <c r="F416" s="9">
        <v>4.0</v>
      </c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A417" s="8" t="s">
        <v>423</v>
      </c>
      <c r="B417" s="9">
        <v>45.0</v>
      </c>
      <c r="C417" s="14" t="s">
        <v>234</v>
      </c>
      <c r="D417" s="9">
        <v>25.0</v>
      </c>
      <c r="E417" s="10">
        <v>1.0</v>
      </c>
      <c r="F417" s="9">
        <v>5.0</v>
      </c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A418" s="8" t="s">
        <v>424</v>
      </c>
      <c r="B418" s="9">
        <v>45.0</v>
      </c>
      <c r="C418" s="14" t="s">
        <v>234</v>
      </c>
      <c r="D418" s="9">
        <v>25.0</v>
      </c>
      <c r="E418" s="10">
        <v>2.0</v>
      </c>
      <c r="F418" s="9">
        <v>1.0</v>
      </c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A419" s="8" t="s">
        <v>425</v>
      </c>
      <c r="B419" s="9">
        <v>45.0</v>
      </c>
      <c r="C419" s="14" t="s">
        <v>234</v>
      </c>
      <c r="D419" s="9">
        <v>25.0</v>
      </c>
      <c r="E419" s="10">
        <v>2.0</v>
      </c>
      <c r="F419" s="9">
        <v>2.0</v>
      </c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A420" s="8" t="s">
        <v>426</v>
      </c>
      <c r="B420" s="9">
        <v>45.0</v>
      </c>
      <c r="C420" s="14" t="s">
        <v>234</v>
      </c>
      <c r="D420" s="9">
        <v>25.0</v>
      </c>
      <c r="E420" s="10">
        <v>2.0</v>
      </c>
      <c r="F420" s="9">
        <v>3.0</v>
      </c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A421" s="8" t="s">
        <v>427</v>
      </c>
      <c r="B421" s="9">
        <v>45.0</v>
      </c>
      <c r="C421" s="14" t="s">
        <v>234</v>
      </c>
      <c r="D421" s="9">
        <v>25.0</v>
      </c>
      <c r="E421" s="10">
        <v>2.0</v>
      </c>
      <c r="F421" s="9">
        <v>4.0</v>
      </c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A422" s="8" t="s">
        <v>428</v>
      </c>
      <c r="B422" s="9">
        <v>45.0</v>
      </c>
      <c r="C422" s="14" t="s">
        <v>234</v>
      </c>
      <c r="D422" s="9">
        <v>25.0</v>
      </c>
      <c r="E422" s="10">
        <v>2.0</v>
      </c>
      <c r="F422" s="9">
        <v>5.0</v>
      </c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A423" s="8" t="s">
        <v>429</v>
      </c>
      <c r="B423" s="9">
        <v>45.0</v>
      </c>
      <c r="C423" s="14" t="s">
        <v>234</v>
      </c>
      <c r="D423" s="9">
        <v>50.0</v>
      </c>
      <c r="E423" s="10">
        <v>0.6</v>
      </c>
      <c r="F423" s="9">
        <v>1.0</v>
      </c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A424" s="8" t="s">
        <v>430</v>
      </c>
      <c r="B424" s="9">
        <v>45.0</v>
      </c>
      <c r="C424" s="14" t="s">
        <v>234</v>
      </c>
      <c r="D424" s="9">
        <v>50.0</v>
      </c>
      <c r="E424" s="10">
        <v>0.6</v>
      </c>
      <c r="F424" s="9">
        <v>2.0</v>
      </c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A425" s="8" t="s">
        <v>431</v>
      </c>
      <c r="B425" s="9">
        <v>45.0</v>
      </c>
      <c r="C425" s="14" t="s">
        <v>234</v>
      </c>
      <c r="D425" s="9">
        <v>50.0</v>
      </c>
      <c r="E425" s="10">
        <v>0.6</v>
      </c>
      <c r="F425" s="9">
        <v>3.0</v>
      </c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A426" s="8" t="s">
        <v>432</v>
      </c>
      <c r="B426" s="9">
        <v>45.0</v>
      </c>
      <c r="C426" s="14" t="s">
        <v>234</v>
      </c>
      <c r="D426" s="9">
        <v>50.0</v>
      </c>
      <c r="E426" s="10">
        <v>0.6</v>
      </c>
      <c r="F426" s="9">
        <v>4.0</v>
      </c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A427" s="8" t="s">
        <v>433</v>
      </c>
      <c r="B427" s="9">
        <v>45.0</v>
      </c>
      <c r="C427" s="14" t="s">
        <v>234</v>
      </c>
      <c r="D427" s="9">
        <v>50.0</v>
      </c>
      <c r="E427" s="10">
        <v>0.6</v>
      </c>
      <c r="F427" s="9">
        <v>5.0</v>
      </c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A428" s="8" t="s">
        <v>434</v>
      </c>
      <c r="B428" s="9">
        <v>45.0</v>
      </c>
      <c r="C428" s="14" t="s">
        <v>234</v>
      </c>
      <c r="D428" s="9">
        <v>50.0</v>
      </c>
      <c r="E428" s="10">
        <v>1.0</v>
      </c>
      <c r="F428" s="9">
        <v>1.0</v>
      </c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A429" s="8" t="s">
        <v>435</v>
      </c>
      <c r="B429" s="9">
        <v>45.0</v>
      </c>
      <c r="C429" s="14" t="s">
        <v>234</v>
      </c>
      <c r="D429" s="9">
        <v>50.0</v>
      </c>
      <c r="E429" s="10">
        <v>1.0</v>
      </c>
      <c r="F429" s="9">
        <v>2.0</v>
      </c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A430" s="8" t="s">
        <v>436</v>
      </c>
      <c r="B430" s="9">
        <v>45.0</v>
      </c>
      <c r="C430" s="14" t="s">
        <v>234</v>
      </c>
      <c r="D430" s="9">
        <v>50.0</v>
      </c>
      <c r="E430" s="10">
        <v>1.0</v>
      </c>
      <c r="F430" s="9">
        <v>3.0</v>
      </c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A431" s="8" t="s">
        <v>437</v>
      </c>
      <c r="B431" s="9">
        <v>45.0</v>
      </c>
      <c r="C431" s="14" t="s">
        <v>234</v>
      </c>
      <c r="D431" s="9">
        <v>50.0</v>
      </c>
      <c r="E431" s="10">
        <v>1.0</v>
      </c>
      <c r="F431" s="9">
        <v>4.0</v>
      </c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A432" s="8" t="s">
        <v>438</v>
      </c>
      <c r="B432" s="9">
        <v>45.0</v>
      </c>
      <c r="C432" s="14" t="s">
        <v>234</v>
      </c>
      <c r="D432" s="9">
        <v>50.0</v>
      </c>
      <c r="E432" s="10">
        <v>1.0</v>
      </c>
      <c r="F432" s="9">
        <v>5.0</v>
      </c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A433" s="8" t="s">
        <v>439</v>
      </c>
      <c r="B433" s="9">
        <v>45.0</v>
      </c>
      <c r="C433" s="14" t="s">
        <v>234</v>
      </c>
      <c r="D433" s="9">
        <v>50.0</v>
      </c>
      <c r="E433" s="10">
        <v>2.0</v>
      </c>
      <c r="F433" s="9">
        <v>1.0</v>
      </c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A434" s="8" t="s">
        <v>440</v>
      </c>
      <c r="B434" s="9">
        <v>45.0</v>
      </c>
      <c r="C434" s="14" t="s">
        <v>234</v>
      </c>
      <c r="D434" s="9">
        <v>50.0</v>
      </c>
      <c r="E434" s="10">
        <v>2.0</v>
      </c>
      <c r="F434" s="9">
        <v>2.0</v>
      </c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A435" s="8" t="s">
        <v>441</v>
      </c>
      <c r="B435" s="9">
        <v>45.0</v>
      </c>
      <c r="C435" s="14" t="s">
        <v>234</v>
      </c>
      <c r="D435" s="9">
        <v>50.0</v>
      </c>
      <c r="E435" s="10">
        <v>2.0</v>
      </c>
      <c r="F435" s="9">
        <v>3.0</v>
      </c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A436" s="8" t="s">
        <v>442</v>
      </c>
      <c r="B436" s="9">
        <v>45.0</v>
      </c>
      <c r="C436" s="14" t="s">
        <v>234</v>
      </c>
      <c r="D436" s="9">
        <v>50.0</v>
      </c>
      <c r="E436" s="10">
        <v>2.0</v>
      </c>
      <c r="F436" s="9">
        <v>4.0</v>
      </c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A437" s="8" t="s">
        <v>443</v>
      </c>
      <c r="B437" s="9">
        <v>45.0</v>
      </c>
      <c r="C437" s="14" t="s">
        <v>234</v>
      </c>
      <c r="D437" s="9">
        <v>50.0</v>
      </c>
      <c r="E437" s="10">
        <v>2.0</v>
      </c>
      <c r="F437" s="9">
        <v>5.0</v>
      </c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A438" s="8" t="s">
        <v>444</v>
      </c>
      <c r="B438" s="9">
        <v>45.0</v>
      </c>
      <c r="C438" s="14" t="s">
        <v>234</v>
      </c>
      <c r="D438" s="9">
        <v>75.0</v>
      </c>
      <c r="E438" s="10">
        <v>0.6</v>
      </c>
      <c r="F438" s="9">
        <v>1.0</v>
      </c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A439" s="8" t="s">
        <v>445</v>
      </c>
      <c r="B439" s="9">
        <v>45.0</v>
      </c>
      <c r="C439" s="14" t="s">
        <v>234</v>
      </c>
      <c r="D439" s="9">
        <v>75.0</v>
      </c>
      <c r="E439" s="10">
        <v>0.6</v>
      </c>
      <c r="F439" s="9">
        <v>2.0</v>
      </c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A440" s="8" t="s">
        <v>446</v>
      </c>
      <c r="B440" s="9">
        <v>45.0</v>
      </c>
      <c r="C440" s="14" t="s">
        <v>234</v>
      </c>
      <c r="D440" s="9">
        <v>75.0</v>
      </c>
      <c r="E440" s="10">
        <v>0.6</v>
      </c>
      <c r="F440" s="9">
        <v>3.0</v>
      </c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A441" s="8" t="s">
        <v>447</v>
      </c>
      <c r="B441" s="9">
        <v>45.0</v>
      </c>
      <c r="C441" s="14" t="s">
        <v>234</v>
      </c>
      <c r="D441" s="9">
        <v>75.0</v>
      </c>
      <c r="E441" s="10">
        <v>0.6</v>
      </c>
      <c r="F441" s="9">
        <v>4.0</v>
      </c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A442" s="8" t="s">
        <v>448</v>
      </c>
      <c r="B442" s="9">
        <v>45.0</v>
      </c>
      <c r="C442" s="14" t="s">
        <v>234</v>
      </c>
      <c r="D442" s="9">
        <v>75.0</v>
      </c>
      <c r="E442" s="10">
        <v>0.6</v>
      </c>
      <c r="F442" s="9">
        <v>5.0</v>
      </c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A443" s="8" t="s">
        <v>449</v>
      </c>
      <c r="B443" s="9">
        <v>45.0</v>
      </c>
      <c r="C443" s="14" t="s">
        <v>234</v>
      </c>
      <c r="D443" s="9">
        <v>75.0</v>
      </c>
      <c r="E443" s="10">
        <v>1.0</v>
      </c>
      <c r="F443" s="9">
        <v>1.0</v>
      </c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A444" s="8" t="s">
        <v>450</v>
      </c>
      <c r="B444" s="9">
        <v>45.0</v>
      </c>
      <c r="C444" s="14" t="s">
        <v>234</v>
      </c>
      <c r="D444" s="9">
        <v>75.0</v>
      </c>
      <c r="E444" s="10">
        <v>1.0</v>
      </c>
      <c r="F444" s="9">
        <v>2.0</v>
      </c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A445" s="8" t="s">
        <v>451</v>
      </c>
      <c r="B445" s="9">
        <v>45.0</v>
      </c>
      <c r="C445" s="14" t="s">
        <v>234</v>
      </c>
      <c r="D445" s="9">
        <v>75.0</v>
      </c>
      <c r="E445" s="10">
        <v>1.0</v>
      </c>
      <c r="F445" s="9">
        <v>3.0</v>
      </c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A446" s="8" t="s">
        <v>452</v>
      </c>
      <c r="B446" s="9">
        <v>45.0</v>
      </c>
      <c r="C446" s="14" t="s">
        <v>234</v>
      </c>
      <c r="D446" s="9">
        <v>75.0</v>
      </c>
      <c r="E446" s="10">
        <v>1.0</v>
      </c>
      <c r="F446" s="9">
        <v>4.0</v>
      </c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A447" s="8" t="s">
        <v>453</v>
      </c>
      <c r="B447" s="9">
        <v>45.0</v>
      </c>
      <c r="C447" s="14" t="s">
        <v>234</v>
      </c>
      <c r="D447" s="9">
        <v>75.0</v>
      </c>
      <c r="E447" s="10">
        <v>1.0</v>
      </c>
      <c r="F447" s="9">
        <v>5.0</v>
      </c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A448" s="8" t="s">
        <v>454</v>
      </c>
      <c r="B448" s="9">
        <v>45.0</v>
      </c>
      <c r="C448" s="14" t="s">
        <v>234</v>
      </c>
      <c r="D448" s="9">
        <v>75.0</v>
      </c>
      <c r="E448" s="10">
        <v>2.0</v>
      </c>
      <c r="F448" s="9">
        <v>1.0</v>
      </c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A449" s="8" t="s">
        <v>455</v>
      </c>
      <c r="B449" s="9">
        <v>45.0</v>
      </c>
      <c r="C449" s="14" t="s">
        <v>234</v>
      </c>
      <c r="D449" s="9">
        <v>75.0</v>
      </c>
      <c r="E449" s="10">
        <v>2.0</v>
      </c>
      <c r="F449" s="9">
        <v>2.0</v>
      </c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A450" s="8" t="s">
        <v>456</v>
      </c>
      <c r="B450" s="9">
        <v>45.0</v>
      </c>
      <c r="C450" s="14" t="s">
        <v>234</v>
      </c>
      <c r="D450" s="9">
        <v>75.0</v>
      </c>
      <c r="E450" s="10">
        <v>2.0</v>
      </c>
      <c r="F450" s="9">
        <v>3.0</v>
      </c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A451" s="8" t="s">
        <v>457</v>
      </c>
      <c r="B451" s="9">
        <v>45.0</v>
      </c>
      <c r="C451" s="14" t="s">
        <v>234</v>
      </c>
      <c r="D451" s="9">
        <v>75.0</v>
      </c>
      <c r="E451" s="10">
        <v>2.0</v>
      </c>
      <c r="F451" s="9">
        <v>4.0</v>
      </c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A452" s="8" t="s">
        <v>458</v>
      </c>
      <c r="B452" s="9">
        <v>45.0</v>
      </c>
      <c r="C452" s="14" t="s">
        <v>234</v>
      </c>
      <c r="D452" s="9">
        <v>75.0</v>
      </c>
      <c r="E452" s="10">
        <v>2.0</v>
      </c>
      <c r="F452" s="9">
        <v>5.0</v>
      </c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A453" s="8" t="s">
        <v>459</v>
      </c>
      <c r="B453" s="9">
        <v>25.0</v>
      </c>
      <c r="C453" s="9" t="s">
        <v>460</v>
      </c>
      <c r="D453" s="9">
        <v>25.0</v>
      </c>
      <c r="E453" s="10">
        <v>0.6</v>
      </c>
      <c r="F453" s="9">
        <v>1.0</v>
      </c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A454" s="8" t="s">
        <v>461</v>
      </c>
      <c r="B454" s="9">
        <v>25.0</v>
      </c>
      <c r="C454" s="9" t="s">
        <v>460</v>
      </c>
      <c r="D454" s="9">
        <v>25.0</v>
      </c>
      <c r="E454" s="10">
        <v>0.6</v>
      </c>
      <c r="F454" s="9">
        <v>2.0</v>
      </c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A455" s="8" t="s">
        <v>462</v>
      </c>
      <c r="B455" s="9">
        <v>25.0</v>
      </c>
      <c r="C455" s="9" t="s">
        <v>460</v>
      </c>
      <c r="D455" s="9">
        <v>25.0</v>
      </c>
      <c r="E455" s="10">
        <v>0.6</v>
      </c>
      <c r="F455" s="9">
        <v>3.0</v>
      </c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A456" s="8" t="s">
        <v>463</v>
      </c>
      <c r="B456" s="9">
        <v>25.0</v>
      </c>
      <c r="C456" s="9" t="s">
        <v>460</v>
      </c>
      <c r="D456" s="9">
        <v>25.0</v>
      </c>
      <c r="E456" s="10">
        <v>0.6</v>
      </c>
      <c r="F456" s="9">
        <v>4.0</v>
      </c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A457" s="8" t="s">
        <v>464</v>
      </c>
      <c r="B457" s="9">
        <v>25.0</v>
      </c>
      <c r="C457" s="9" t="s">
        <v>460</v>
      </c>
      <c r="D457" s="9">
        <v>25.0</v>
      </c>
      <c r="E457" s="10">
        <v>0.6</v>
      </c>
      <c r="F457" s="9">
        <v>5.0</v>
      </c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A458" s="8" t="s">
        <v>465</v>
      </c>
      <c r="B458" s="9">
        <v>25.0</v>
      </c>
      <c r="C458" s="9" t="s">
        <v>460</v>
      </c>
      <c r="D458" s="9">
        <v>25.0</v>
      </c>
      <c r="E458" s="10">
        <v>1.0</v>
      </c>
      <c r="F458" s="9">
        <v>1.0</v>
      </c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A459" s="8" t="s">
        <v>466</v>
      </c>
      <c r="B459" s="9">
        <v>25.0</v>
      </c>
      <c r="C459" s="9" t="s">
        <v>460</v>
      </c>
      <c r="D459" s="9">
        <v>25.0</v>
      </c>
      <c r="E459" s="10">
        <v>1.0</v>
      </c>
      <c r="F459" s="9">
        <v>2.0</v>
      </c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A460" s="8" t="s">
        <v>467</v>
      </c>
      <c r="B460" s="9">
        <v>25.0</v>
      </c>
      <c r="C460" s="9" t="s">
        <v>460</v>
      </c>
      <c r="D460" s="9">
        <v>25.0</v>
      </c>
      <c r="E460" s="10">
        <v>1.0</v>
      </c>
      <c r="F460" s="9">
        <v>3.0</v>
      </c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A461" s="8" t="s">
        <v>468</v>
      </c>
      <c r="B461" s="9">
        <v>25.0</v>
      </c>
      <c r="C461" s="9" t="s">
        <v>460</v>
      </c>
      <c r="D461" s="9">
        <v>25.0</v>
      </c>
      <c r="E461" s="10">
        <v>1.0</v>
      </c>
      <c r="F461" s="9">
        <v>4.0</v>
      </c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A462" s="8" t="s">
        <v>469</v>
      </c>
      <c r="B462" s="9">
        <v>25.0</v>
      </c>
      <c r="C462" s="9" t="s">
        <v>460</v>
      </c>
      <c r="D462" s="9">
        <v>25.0</v>
      </c>
      <c r="E462" s="10">
        <v>1.0</v>
      </c>
      <c r="F462" s="9">
        <v>5.0</v>
      </c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A463" s="8" t="s">
        <v>470</v>
      </c>
      <c r="B463" s="9">
        <v>25.0</v>
      </c>
      <c r="C463" s="9" t="s">
        <v>460</v>
      </c>
      <c r="D463" s="9">
        <v>25.0</v>
      </c>
      <c r="E463" s="10">
        <v>2.0</v>
      </c>
      <c r="F463" s="9">
        <v>1.0</v>
      </c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A464" s="8" t="s">
        <v>471</v>
      </c>
      <c r="B464" s="9">
        <v>25.0</v>
      </c>
      <c r="C464" s="9" t="s">
        <v>460</v>
      </c>
      <c r="D464" s="9">
        <v>25.0</v>
      </c>
      <c r="E464" s="10">
        <v>2.0</v>
      </c>
      <c r="F464" s="9">
        <v>2.0</v>
      </c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A465" s="8" t="s">
        <v>472</v>
      </c>
      <c r="B465" s="9">
        <v>25.0</v>
      </c>
      <c r="C465" s="9" t="s">
        <v>460</v>
      </c>
      <c r="D465" s="9">
        <v>25.0</v>
      </c>
      <c r="E465" s="10">
        <v>2.0</v>
      </c>
      <c r="F465" s="9">
        <v>3.0</v>
      </c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A466" s="8" t="s">
        <v>473</v>
      </c>
      <c r="B466" s="9">
        <v>25.0</v>
      </c>
      <c r="C466" s="9" t="s">
        <v>460</v>
      </c>
      <c r="D466" s="9">
        <v>25.0</v>
      </c>
      <c r="E466" s="10">
        <v>2.0</v>
      </c>
      <c r="F466" s="9">
        <v>4.0</v>
      </c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A467" s="8" t="s">
        <v>474</v>
      </c>
      <c r="B467" s="9">
        <v>25.0</v>
      </c>
      <c r="C467" s="9" t="s">
        <v>460</v>
      </c>
      <c r="D467" s="9">
        <v>25.0</v>
      </c>
      <c r="E467" s="10">
        <v>2.0</v>
      </c>
      <c r="F467" s="9">
        <v>5.0</v>
      </c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A468" s="8" t="s">
        <v>475</v>
      </c>
      <c r="B468" s="9">
        <v>25.0</v>
      </c>
      <c r="C468" s="9" t="s">
        <v>460</v>
      </c>
      <c r="D468" s="9">
        <v>50.0</v>
      </c>
      <c r="E468" s="10">
        <v>0.6</v>
      </c>
      <c r="F468" s="9">
        <v>1.0</v>
      </c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A469" s="8" t="s">
        <v>476</v>
      </c>
      <c r="B469" s="9">
        <v>25.0</v>
      </c>
      <c r="C469" s="9" t="s">
        <v>460</v>
      </c>
      <c r="D469" s="9">
        <v>50.0</v>
      </c>
      <c r="E469" s="10">
        <v>0.6</v>
      </c>
      <c r="F469" s="9">
        <v>2.0</v>
      </c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A470" s="8" t="s">
        <v>477</v>
      </c>
      <c r="B470" s="9">
        <v>25.0</v>
      </c>
      <c r="C470" s="9" t="s">
        <v>460</v>
      </c>
      <c r="D470" s="9">
        <v>50.0</v>
      </c>
      <c r="E470" s="10">
        <v>0.6</v>
      </c>
      <c r="F470" s="9">
        <v>3.0</v>
      </c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A471" s="8" t="s">
        <v>478</v>
      </c>
      <c r="B471" s="9">
        <v>25.0</v>
      </c>
      <c r="C471" s="9" t="s">
        <v>460</v>
      </c>
      <c r="D471" s="9">
        <v>50.0</v>
      </c>
      <c r="E471" s="10">
        <v>0.6</v>
      </c>
      <c r="F471" s="9">
        <v>4.0</v>
      </c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A472" s="8" t="s">
        <v>479</v>
      </c>
      <c r="B472" s="9">
        <v>25.0</v>
      </c>
      <c r="C472" s="9" t="s">
        <v>460</v>
      </c>
      <c r="D472" s="9">
        <v>50.0</v>
      </c>
      <c r="E472" s="10">
        <v>0.6</v>
      </c>
      <c r="F472" s="9">
        <v>5.0</v>
      </c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A473" s="8" t="s">
        <v>480</v>
      </c>
      <c r="B473" s="9">
        <v>25.0</v>
      </c>
      <c r="C473" s="9" t="s">
        <v>460</v>
      </c>
      <c r="D473" s="9">
        <v>50.0</v>
      </c>
      <c r="E473" s="10">
        <v>1.0</v>
      </c>
      <c r="F473" s="9">
        <v>1.0</v>
      </c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A474" s="8" t="s">
        <v>481</v>
      </c>
      <c r="B474" s="9">
        <v>25.0</v>
      </c>
      <c r="C474" s="9" t="s">
        <v>460</v>
      </c>
      <c r="D474" s="9">
        <v>50.0</v>
      </c>
      <c r="E474" s="10">
        <v>1.0</v>
      </c>
      <c r="F474" s="9">
        <v>2.0</v>
      </c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A475" s="8" t="s">
        <v>482</v>
      </c>
      <c r="B475" s="9">
        <v>25.0</v>
      </c>
      <c r="C475" s="9" t="s">
        <v>460</v>
      </c>
      <c r="D475" s="9">
        <v>50.0</v>
      </c>
      <c r="E475" s="10">
        <v>1.0</v>
      </c>
      <c r="F475" s="9">
        <v>3.0</v>
      </c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A476" s="8" t="s">
        <v>483</v>
      </c>
      <c r="B476" s="9">
        <v>25.0</v>
      </c>
      <c r="C476" s="9" t="s">
        <v>460</v>
      </c>
      <c r="D476" s="9">
        <v>50.0</v>
      </c>
      <c r="E476" s="10">
        <v>1.0</v>
      </c>
      <c r="F476" s="9">
        <v>4.0</v>
      </c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A477" s="8" t="s">
        <v>484</v>
      </c>
      <c r="B477" s="9">
        <v>25.0</v>
      </c>
      <c r="C477" s="9" t="s">
        <v>460</v>
      </c>
      <c r="D477" s="9">
        <v>50.0</v>
      </c>
      <c r="E477" s="10">
        <v>1.0</v>
      </c>
      <c r="F477" s="9">
        <v>5.0</v>
      </c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A478" s="8" t="s">
        <v>485</v>
      </c>
      <c r="B478" s="9">
        <v>25.0</v>
      </c>
      <c r="C478" s="9" t="s">
        <v>460</v>
      </c>
      <c r="D478" s="9">
        <v>50.0</v>
      </c>
      <c r="E478" s="10">
        <v>2.0</v>
      </c>
      <c r="F478" s="9">
        <v>1.0</v>
      </c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A479" s="8" t="s">
        <v>486</v>
      </c>
      <c r="B479" s="9">
        <v>25.0</v>
      </c>
      <c r="C479" s="9" t="s">
        <v>460</v>
      </c>
      <c r="D479" s="9">
        <v>50.0</v>
      </c>
      <c r="E479" s="10">
        <v>2.0</v>
      </c>
      <c r="F479" s="9">
        <v>2.0</v>
      </c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A480" s="8" t="s">
        <v>487</v>
      </c>
      <c r="B480" s="9">
        <v>25.0</v>
      </c>
      <c r="C480" s="9" t="s">
        <v>460</v>
      </c>
      <c r="D480" s="9">
        <v>50.0</v>
      </c>
      <c r="E480" s="10">
        <v>2.0</v>
      </c>
      <c r="F480" s="9">
        <v>3.0</v>
      </c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A481" s="8" t="s">
        <v>488</v>
      </c>
      <c r="B481" s="9">
        <v>25.0</v>
      </c>
      <c r="C481" s="9" t="s">
        <v>460</v>
      </c>
      <c r="D481" s="9">
        <v>50.0</v>
      </c>
      <c r="E481" s="10">
        <v>2.0</v>
      </c>
      <c r="F481" s="9">
        <v>4.0</v>
      </c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A482" s="8" t="s">
        <v>489</v>
      </c>
      <c r="B482" s="9">
        <v>25.0</v>
      </c>
      <c r="C482" s="9" t="s">
        <v>460</v>
      </c>
      <c r="D482" s="9">
        <v>50.0</v>
      </c>
      <c r="E482" s="10">
        <v>2.0</v>
      </c>
      <c r="F482" s="9">
        <v>5.0</v>
      </c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A483" s="8" t="s">
        <v>490</v>
      </c>
      <c r="B483" s="9">
        <v>25.0</v>
      </c>
      <c r="C483" s="9" t="s">
        <v>460</v>
      </c>
      <c r="D483" s="9">
        <v>75.0</v>
      </c>
      <c r="E483" s="10">
        <v>0.6</v>
      </c>
      <c r="F483" s="9">
        <v>1.0</v>
      </c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A484" s="8" t="s">
        <v>491</v>
      </c>
      <c r="B484" s="9">
        <v>25.0</v>
      </c>
      <c r="C484" s="9" t="s">
        <v>460</v>
      </c>
      <c r="D484" s="9">
        <v>75.0</v>
      </c>
      <c r="E484" s="10">
        <v>0.6</v>
      </c>
      <c r="F484" s="9">
        <v>2.0</v>
      </c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A485" s="8" t="s">
        <v>492</v>
      </c>
      <c r="B485" s="9">
        <v>25.0</v>
      </c>
      <c r="C485" s="9" t="s">
        <v>460</v>
      </c>
      <c r="D485" s="9">
        <v>75.0</v>
      </c>
      <c r="E485" s="10">
        <v>0.6</v>
      </c>
      <c r="F485" s="9">
        <v>3.0</v>
      </c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A486" s="8" t="s">
        <v>493</v>
      </c>
      <c r="B486" s="9">
        <v>25.0</v>
      </c>
      <c r="C486" s="9" t="s">
        <v>460</v>
      </c>
      <c r="D486" s="9">
        <v>75.0</v>
      </c>
      <c r="E486" s="10">
        <v>0.6</v>
      </c>
      <c r="F486" s="9">
        <v>4.0</v>
      </c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A487" s="8" t="s">
        <v>494</v>
      </c>
      <c r="B487" s="9">
        <v>25.0</v>
      </c>
      <c r="C487" s="9" t="s">
        <v>460</v>
      </c>
      <c r="D487" s="9">
        <v>75.0</v>
      </c>
      <c r="E487" s="10">
        <v>0.6</v>
      </c>
      <c r="F487" s="9">
        <v>5.0</v>
      </c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A488" s="8" t="s">
        <v>495</v>
      </c>
      <c r="B488" s="9">
        <v>25.0</v>
      </c>
      <c r="C488" s="9" t="s">
        <v>460</v>
      </c>
      <c r="D488" s="9">
        <v>75.0</v>
      </c>
      <c r="E488" s="10">
        <v>1.0</v>
      </c>
      <c r="F488" s="9">
        <v>1.0</v>
      </c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A489" s="8" t="s">
        <v>496</v>
      </c>
      <c r="B489" s="9">
        <v>25.0</v>
      </c>
      <c r="C489" s="9" t="s">
        <v>460</v>
      </c>
      <c r="D489" s="9">
        <v>75.0</v>
      </c>
      <c r="E489" s="10">
        <v>1.0</v>
      </c>
      <c r="F489" s="9">
        <v>2.0</v>
      </c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A490" s="8" t="s">
        <v>497</v>
      </c>
      <c r="B490" s="9">
        <v>25.0</v>
      </c>
      <c r="C490" s="9" t="s">
        <v>460</v>
      </c>
      <c r="D490" s="9">
        <v>75.0</v>
      </c>
      <c r="E490" s="10">
        <v>1.0</v>
      </c>
      <c r="F490" s="9">
        <v>3.0</v>
      </c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A491" s="8" t="s">
        <v>498</v>
      </c>
      <c r="B491" s="9">
        <v>25.0</v>
      </c>
      <c r="C491" s="9" t="s">
        <v>460</v>
      </c>
      <c r="D491" s="9">
        <v>75.0</v>
      </c>
      <c r="E491" s="10">
        <v>1.0</v>
      </c>
      <c r="F491" s="9">
        <v>4.0</v>
      </c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A492" s="8" t="s">
        <v>499</v>
      </c>
      <c r="B492" s="9">
        <v>25.0</v>
      </c>
      <c r="C492" s="9" t="s">
        <v>460</v>
      </c>
      <c r="D492" s="9">
        <v>75.0</v>
      </c>
      <c r="E492" s="10">
        <v>1.0</v>
      </c>
      <c r="F492" s="9">
        <v>5.0</v>
      </c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A493" s="8" t="s">
        <v>500</v>
      </c>
      <c r="B493" s="9">
        <v>25.0</v>
      </c>
      <c r="C493" s="9" t="s">
        <v>460</v>
      </c>
      <c r="D493" s="9">
        <v>75.0</v>
      </c>
      <c r="E493" s="10">
        <v>2.0</v>
      </c>
      <c r="F493" s="9">
        <v>1.0</v>
      </c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A494" s="8" t="s">
        <v>501</v>
      </c>
      <c r="B494" s="9">
        <v>25.0</v>
      </c>
      <c r="C494" s="9" t="s">
        <v>460</v>
      </c>
      <c r="D494" s="9">
        <v>75.0</v>
      </c>
      <c r="E494" s="10">
        <v>2.0</v>
      </c>
      <c r="F494" s="9">
        <v>2.0</v>
      </c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A495" s="8" t="s">
        <v>502</v>
      </c>
      <c r="B495" s="9">
        <v>25.0</v>
      </c>
      <c r="C495" s="9" t="s">
        <v>460</v>
      </c>
      <c r="D495" s="9">
        <v>75.0</v>
      </c>
      <c r="E495" s="10">
        <v>2.0</v>
      </c>
      <c r="F495" s="9">
        <v>3.0</v>
      </c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A496" s="8" t="s">
        <v>503</v>
      </c>
      <c r="B496" s="9">
        <v>25.0</v>
      </c>
      <c r="C496" s="9" t="s">
        <v>460</v>
      </c>
      <c r="D496" s="9">
        <v>75.0</v>
      </c>
      <c r="E496" s="10">
        <v>2.0</v>
      </c>
      <c r="F496" s="9">
        <v>4.0</v>
      </c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A497" s="8" t="s">
        <v>504</v>
      </c>
      <c r="B497" s="9">
        <v>25.0</v>
      </c>
      <c r="C497" s="9" t="s">
        <v>460</v>
      </c>
      <c r="D497" s="9">
        <v>75.0</v>
      </c>
      <c r="E497" s="10">
        <v>2.0</v>
      </c>
      <c r="F497" s="9">
        <v>5.0</v>
      </c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A498" s="8" t="s">
        <v>505</v>
      </c>
      <c r="B498" s="9">
        <v>30.0</v>
      </c>
      <c r="C498" s="9" t="s">
        <v>460</v>
      </c>
      <c r="D498" s="9">
        <v>25.0</v>
      </c>
      <c r="E498" s="10">
        <v>0.6</v>
      </c>
      <c r="F498" s="9">
        <v>1.0</v>
      </c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A499" s="8" t="s">
        <v>506</v>
      </c>
      <c r="B499" s="9">
        <v>30.0</v>
      </c>
      <c r="C499" s="9" t="s">
        <v>460</v>
      </c>
      <c r="D499" s="9">
        <v>25.0</v>
      </c>
      <c r="E499" s="10">
        <v>0.6</v>
      </c>
      <c r="F499" s="9">
        <v>2.0</v>
      </c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A500" s="8" t="s">
        <v>507</v>
      </c>
      <c r="B500" s="9">
        <v>30.0</v>
      </c>
      <c r="C500" s="9" t="s">
        <v>460</v>
      </c>
      <c r="D500" s="9">
        <v>25.0</v>
      </c>
      <c r="E500" s="10">
        <v>0.6</v>
      </c>
      <c r="F500" s="9">
        <v>3.0</v>
      </c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A501" s="8" t="s">
        <v>508</v>
      </c>
      <c r="B501" s="9">
        <v>30.0</v>
      </c>
      <c r="C501" s="9" t="s">
        <v>460</v>
      </c>
      <c r="D501" s="9">
        <v>25.0</v>
      </c>
      <c r="E501" s="10">
        <v>0.6</v>
      </c>
      <c r="F501" s="9">
        <v>4.0</v>
      </c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A502" s="8" t="s">
        <v>509</v>
      </c>
      <c r="B502" s="9">
        <v>30.0</v>
      </c>
      <c r="C502" s="9" t="s">
        <v>460</v>
      </c>
      <c r="D502" s="9">
        <v>25.0</v>
      </c>
      <c r="E502" s="10">
        <v>0.6</v>
      </c>
      <c r="F502" s="9">
        <v>5.0</v>
      </c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A503" s="8" t="s">
        <v>510</v>
      </c>
      <c r="B503" s="9">
        <v>30.0</v>
      </c>
      <c r="C503" s="9" t="s">
        <v>460</v>
      </c>
      <c r="D503" s="9">
        <v>25.0</v>
      </c>
      <c r="E503" s="10">
        <v>1.0</v>
      </c>
      <c r="F503" s="9">
        <v>1.0</v>
      </c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A504" s="8" t="s">
        <v>511</v>
      </c>
      <c r="B504" s="9">
        <v>30.0</v>
      </c>
      <c r="C504" s="9" t="s">
        <v>460</v>
      </c>
      <c r="D504" s="9">
        <v>25.0</v>
      </c>
      <c r="E504" s="10">
        <v>1.0</v>
      </c>
      <c r="F504" s="9">
        <v>2.0</v>
      </c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A505" s="8" t="s">
        <v>512</v>
      </c>
      <c r="B505" s="9">
        <v>30.0</v>
      </c>
      <c r="C505" s="9" t="s">
        <v>460</v>
      </c>
      <c r="D505" s="9">
        <v>25.0</v>
      </c>
      <c r="E505" s="10">
        <v>1.0</v>
      </c>
      <c r="F505" s="9">
        <v>3.0</v>
      </c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A506" s="8" t="s">
        <v>513</v>
      </c>
      <c r="B506" s="9">
        <v>30.0</v>
      </c>
      <c r="C506" s="9" t="s">
        <v>460</v>
      </c>
      <c r="D506" s="9">
        <v>25.0</v>
      </c>
      <c r="E506" s="10">
        <v>1.0</v>
      </c>
      <c r="F506" s="9">
        <v>4.0</v>
      </c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A507" s="8" t="s">
        <v>514</v>
      </c>
      <c r="B507" s="9">
        <v>30.0</v>
      </c>
      <c r="C507" s="9" t="s">
        <v>460</v>
      </c>
      <c r="D507" s="9">
        <v>25.0</v>
      </c>
      <c r="E507" s="10">
        <v>1.0</v>
      </c>
      <c r="F507" s="9">
        <v>5.0</v>
      </c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A508" s="8" t="s">
        <v>515</v>
      </c>
      <c r="B508" s="9">
        <v>30.0</v>
      </c>
      <c r="C508" s="9" t="s">
        <v>460</v>
      </c>
      <c r="D508" s="9">
        <v>25.0</v>
      </c>
      <c r="E508" s="10">
        <v>2.0</v>
      </c>
      <c r="F508" s="9">
        <v>1.0</v>
      </c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A509" s="8" t="s">
        <v>516</v>
      </c>
      <c r="B509" s="9">
        <v>30.0</v>
      </c>
      <c r="C509" s="9" t="s">
        <v>460</v>
      </c>
      <c r="D509" s="9">
        <v>25.0</v>
      </c>
      <c r="E509" s="10">
        <v>2.0</v>
      </c>
      <c r="F509" s="9">
        <v>2.0</v>
      </c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A510" s="8" t="s">
        <v>517</v>
      </c>
      <c r="B510" s="9">
        <v>30.0</v>
      </c>
      <c r="C510" s="9" t="s">
        <v>460</v>
      </c>
      <c r="D510" s="9">
        <v>25.0</v>
      </c>
      <c r="E510" s="10">
        <v>2.0</v>
      </c>
      <c r="F510" s="9">
        <v>3.0</v>
      </c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A511" s="8" t="s">
        <v>518</v>
      </c>
      <c r="B511" s="9">
        <v>30.0</v>
      </c>
      <c r="C511" s="9" t="s">
        <v>460</v>
      </c>
      <c r="D511" s="9">
        <v>25.0</v>
      </c>
      <c r="E511" s="10">
        <v>2.0</v>
      </c>
      <c r="F511" s="9">
        <v>4.0</v>
      </c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A512" s="8" t="s">
        <v>519</v>
      </c>
      <c r="B512" s="9">
        <v>30.0</v>
      </c>
      <c r="C512" s="9" t="s">
        <v>460</v>
      </c>
      <c r="D512" s="9">
        <v>25.0</v>
      </c>
      <c r="E512" s="10">
        <v>2.0</v>
      </c>
      <c r="F512" s="9">
        <v>5.0</v>
      </c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A513" s="8" t="s">
        <v>520</v>
      </c>
      <c r="B513" s="9">
        <v>30.0</v>
      </c>
      <c r="C513" s="9" t="s">
        <v>460</v>
      </c>
      <c r="D513" s="9">
        <v>50.0</v>
      </c>
      <c r="E513" s="10">
        <v>0.6</v>
      </c>
      <c r="F513" s="9">
        <v>1.0</v>
      </c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A514" s="8" t="s">
        <v>521</v>
      </c>
      <c r="B514" s="9">
        <v>30.0</v>
      </c>
      <c r="C514" s="9" t="s">
        <v>460</v>
      </c>
      <c r="D514" s="9">
        <v>50.0</v>
      </c>
      <c r="E514" s="10">
        <v>0.6</v>
      </c>
      <c r="F514" s="9">
        <v>2.0</v>
      </c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A515" s="8" t="s">
        <v>522</v>
      </c>
      <c r="B515" s="9">
        <v>30.0</v>
      </c>
      <c r="C515" s="9" t="s">
        <v>460</v>
      </c>
      <c r="D515" s="9">
        <v>50.0</v>
      </c>
      <c r="E515" s="10">
        <v>0.6</v>
      </c>
      <c r="F515" s="9">
        <v>3.0</v>
      </c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A516" s="8" t="s">
        <v>523</v>
      </c>
      <c r="B516" s="9">
        <v>30.0</v>
      </c>
      <c r="C516" s="9" t="s">
        <v>460</v>
      </c>
      <c r="D516" s="9">
        <v>50.0</v>
      </c>
      <c r="E516" s="10">
        <v>0.6</v>
      </c>
      <c r="F516" s="9">
        <v>4.0</v>
      </c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A517" s="8" t="s">
        <v>524</v>
      </c>
      <c r="B517" s="9">
        <v>30.0</v>
      </c>
      <c r="C517" s="9" t="s">
        <v>460</v>
      </c>
      <c r="D517" s="9">
        <v>50.0</v>
      </c>
      <c r="E517" s="10">
        <v>0.6</v>
      </c>
      <c r="F517" s="9">
        <v>5.0</v>
      </c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A518" s="8" t="s">
        <v>525</v>
      </c>
      <c r="B518" s="9">
        <v>30.0</v>
      </c>
      <c r="C518" s="9" t="s">
        <v>460</v>
      </c>
      <c r="D518" s="9">
        <v>50.0</v>
      </c>
      <c r="E518" s="10">
        <v>1.0</v>
      </c>
      <c r="F518" s="9">
        <v>1.0</v>
      </c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A519" s="8" t="s">
        <v>526</v>
      </c>
      <c r="B519" s="9">
        <v>30.0</v>
      </c>
      <c r="C519" s="9" t="s">
        <v>460</v>
      </c>
      <c r="D519" s="9">
        <v>50.0</v>
      </c>
      <c r="E519" s="10">
        <v>1.0</v>
      </c>
      <c r="F519" s="9">
        <v>2.0</v>
      </c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A520" s="8" t="s">
        <v>527</v>
      </c>
      <c r="B520" s="9">
        <v>30.0</v>
      </c>
      <c r="C520" s="9" t="s">
        <v>460</v>
      </c>
      <c r="D520" s="9">
        <v>50.0</v>
      </c>
      <c r="E520" s="10">
        <v>1.0</v>
      </c>
      <c r="F520" s="9">
        <v>3.0</v>
      </c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A521" s="8" t="s">
        <v>528</v>
      </c>
      <c r="B521" s="9">
        <v>30.0</v>
      </c>
      <c r="C521" s="9" t="s">
        <v>460</v>
      </c>
      <c r="D521" s="9">
        <v>50.0</v>
      </c>
      <c r="E521" s="10">
        <v>1.0</v>
      </c>
      <c r="F521" s="9">
        <v>4.0</v>
      </c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A522" s="8" t="s">
        <v>529</v>
      </c>
      <c r="B522" s="9">
        <v>30.0</v>
      </c>
      <c r="C522" s="9" t="s">
        <v>460</v>
      </c>
      <c r="D522" s="9">
        <v>50.0</v>
      </c>
      <c r="E522" s="10">
        <v>1.0</v>
      </c>
      <c r="F522" s="9">
        <v>5.0</v>
      </c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A523" s="8" t="s">
        <v>530</v>
      </c>
      <c r="B523" s="9">
        <v>30.0</v>
      </c>
      <c r="C523" s="9" t="s">
        <v>460</v>
      </c>
      <c r="D523" s="9">
        <v>50.0</v>
      </c>
      <c r="E523" s="10">
        <v>2.0</v>
      </c>
      <c r="F523" s="9">
        <v>1.0</v>
      </c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A524" s="8" t="s">
        <v>531</v>
      </c>
      <c r="B524" s="9">
        <v>30.0</v>
      </c>
      <c r="C524" s="9" t="s">
        <v>460</v>
      </c>
      <c r="D524" s="9">
        <v>50.0</v>
      </c>
      <c r="E524" s="10">
        <v>2.0</v>
      </c>
      <c r="F524" s="9">
        <v>2.0</v>
      </c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A525" s="8" t="s">
        <v>532</v>
      </c>
      <c r="B525" s="9">
        <v>30.0</v>
      </c>
      <c r="C525" s="9" t="s">
        <v>460</v>
      </c>
      <c r="D525" s="9">
        <v>50.0</v>
      </c>
      <c r="E525" s="10">
        <v>2.0</v>
      </c>
      <c r="F525" s="9">
        <v>3.0</v>
      </c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A526" s="8" t="s">
        <v>533</v>
      </c>
      <c r="B526" s="9">
        <v>30.0</v>
      </c>
      <c r="C526" s="9" t="s">
        <v>460</v>
      </c>
      <c r="D526" s="9">
        <v>50.0</v>
      </c>
      <c r="E526" s="10">
        <v>2.0</v>
      </c>
      <c r="F526" s="9">
        <v>4.0</v>
      </c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A527" s="8" t="s">
        <v>534</v>
      </c>
      <c r="B527" s="9">
        <v>30.0</v>
      </c>
      <c r="C527" s="9" t="s">
        <v>460</v>
      </c>
      <c r="D527" s="9">
        <v>50.0</v>
      </c>
      <c r="E527" s="10">
        <v>2.0</v>
      </c>
      <c r="F527" s="9">
        <v>5.0</v>
      </c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A528" s="8" t="s">
        <v>535</v>
      </c>
      <c r="B528" s="9">
        <v>30.0</v>
      </c>
      <c r="C528" s="9" t="s">
        <v>460</v>
      </c>
      <c r="D528" s="9">
        <v>75.0</v>
      </c>
      <c r="E528" s="10">
        <v>0.6</v>
      </c>
      <c r="F528" s="9">
        <v>1.0</v>
      </c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A529" s="8" t="s">
        <v>536</v>
      </c>
      <c r="B529" s="9">
        <v>30.0</v>
      </c>
      <c r="C529" s="9" t="s">
        <v>460</v>
      </c>
      <c r="D529" s="9">
        <v>75.0</v>
      </c>
      <c r="E529" s="10">
        <v>0.6</v>
      </c>
      <c r="F529" s="9">
        <v>2.0</v>
      </c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A530" s="8" t="s">
        <v>537</v>
      </c>
      <c r="B530" s="9">
        <v>30.0</v>
      </c>
      <c r="C530" s="9" t="s">
        <v>460</v>
      </c>
      <c r="D530" s="9">
        <v>75.0</v>
      </c>
      <c r="E530" s="10">
        <v>0.6</v>
      </c>
      <c r="F530" s="9">
        <v>3.0</v>
      </c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A531" s="8" t="s">
        <v>538</v>
      </c>
      <c r="B531" s="9">
        <v>30.0</v>
      </c>
      <c r="C531" s="9" t="s">
        <v>460</v>
      </c>
      <c r="D531" s="9">
        <v>75.0</v>
      </c>
      <c r="E531" s="10">
        <v>0.6</v>
      </c>
      <c r="F531" s="9">
        <v>4.0</v>
      </c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A532" s="8" t="s">
        <v>539</v>
      </c>
      <c r="B532" s="9">
        <v>30.0</v>
      </c>
      <c r="C532" s="9" t="s">
        <v>460</v>
      </c>
      <c r="D532" s="9">
        <v>75.0</v>
      </c>
      <c r="E532" s="10">
        <v>0.6</v>
      </c>
      <c r="F532" s="9">
        <v>5.0</v>
      </c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A533" s="8" t="s">
        <v>540</v>
      </c>
      <c r="B533" s="9">
        <v>30.0</v>
      </c>
      <c r="C533" s="9" t="s">
        <v>460</v>
      </c>
      <c r="D533" s="9">
        <v>75.0</v>
      </c>
      <c r="E533" s="10">
        <v>1.0</v>
      </c>
      <c r="F533" s="9">
        <v>1.0</v>
      </c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A534" s="8" t="s">
        <v>541</v>
      </c>
      <c r="B534" s="9">
        <v>30.0</v>
      </c>
      <c r="C534" s="9" t="s">
        <v>460</v>
      </c>
      <c r="D534" s="9">
        <v>75.0</v>
      </c>
      <c r="E534" s="10">
        <v>1.0</v>
      </c>
      <c r="F534" s="9">
        <v>2.0</v>
      </c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A535" s="8" t="s">
        <v>542</v>
      </c>
      <c r="B535" s="9">
        <v>30.0</v>
      </c>
      <c r="C535" s="9" t="s">
        <v>460</v>
      </c>
      <c r="D535" s="9">
        <v>75.0</v>
      </c>
      <c r="E535" s="10">
        <v>1.0</v>
      </c>
      <c r="F535" s="9">
        <v>3.0</v>
      </c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A536" s="8" t="s">
        <v>543</v>
      </c>
      <c r="B536" s="9">
        <v>30.0</v>
      </c>
      <c r="C536" s="9" t="s">
        <v>460</v>
      </c>
      <c r="D536" s="9">
        <v>75.0</v>
      </c>
      <c r="E536" s="10">
        <v>1.0</v>
      </c>
      <c r="F536" s="9">
        <v>4.0</v>
      </c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A537" s="8" t="s">
        <v>544</v>
      </c>
      <c r="B537" s="9">
        <v>30.0</v>
      </c>
      <c r="C537" s="9" t="s">
        <v>460</v>
      </c>
      <c r="D537" s="9">
        <v>75.0</v>
      </c>
      <c r="E537" s="10">
        <v>1.0</v>
      </c>
      <c r="F537" s="9">
        <v>5.0</v>
      </c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A538" s="8" t="s">
        <v>545</v>
      </c>
      <c r="B538" s="9">
        <v>30.0</v>
      </c>
      <c r="C538" s="9" t="s">
        <v>460</v>
      </c>
      <c r="D538" s="9">
        <v>75.0</v>
      </c>
      <c r="E538" s="10">
        <v>2.0</v>
      </c>
      <c r="F538" s="9">
        <v>1.0</v>
      </c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A539" s="8" t="s">
        <v>546</v>
      </c>
      <c r="B539" s="9">
        <v>30.0</v>
      </c>
      <c r="C539" s="9" t="s">
        <v>460</v>
      </c>
      <c r="D539" s="9">
        <v>75.0</v>
      </c>
      <c r="E539" s="10">
        <v>2.0</v>
      </c>
      <c r="F539" s="9">
        <v>2.0</v>
      </c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A540" s="8" t="s">
        <v>547</v>
      </c>
      <c r="B540" s="9">
        <v>30.0</v>
      </c>
      <c r="C540" s="9" t="s">
        <v>460</v>
      </c>
      <c r="D540" s="9">
        <v>75.0</v>
      </c>
      <c r="E540" s="10">
        <v>2.0</v>
      </c>
      <c r="F540" s="9">
        <v>3.0</v>
      </c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A541" s="8" t="s">
        <v>548</v>
      </c>
      <c r="B541" s="9">
        <v>30.0</v>
      </c>
      <c r="C541" s="9" t="s">
        <v>460</v>
      </c>
      <c r="D541" s="9">
        <v>75.0</v>
      </c>
      <c r="E541" s="10">
        <v>2.0</v>
      </c>
      <c r="F541" s="9">
        <v>4.0</v>
      </c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A542" s="8" t="s">
        <v>549</v>
      </c>
      <c r="B542" s="9">
        <v>30.0</v>
      </c>
      <c r="C542" s="9" t="s">
        <v>460</v>
      </c>
      <c r="D542" s="9">
        <v>75.0</v>
      </c>
      <c r="E542" s="10">
        <v>2.0</v>
      </c>
      <c r="F542" s="9">
        <v>5.0</v>
      </c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A543" s="8" t="s">
        <v>550</v>
      </c>
      <c r="B543" s="9">
        <v>35.0</v>
      </c>
      <c r="C543" s="9" t="s">
        <v>460</v>
      </c>
      <c r="D543" s="9">
        <v>25.0</v>
      </c>
      <c r="E543" s="10">
        <v>0.6</v>
      </c>
      <c r="F543" s="9">
        <v>1.0</v>
      </c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A544" s="8" t="s">
        <v>551</v>
      </c>
      <c r="B544" s="9">
        <v>35.0</v>
      </c>
      <c r="C544" s="9" t="s">
        <v>460</v>
      </c>
      <c r="D544" s="9">
        <v>25.0</v>
      </c>
      <c r="E544" s="10">
        <v>0.6</v>
      </c>
      <c r="F544" s="9">
        <v>2.0</v>
      </c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A545" s="8" t="s">
        <v>552</v>
      </c>
      <c r="B545" s="9">
        <v>35.0</v>
      </c>
      <c r="C545" s="9" t="s">
        <v>460</v>
      </c>
      <c r="D545" s="9">
        <v>25.0</v>
      </c>
      <c r="E545" s="10">
        <v>0.6</v>
      </c>
      <c r="F545" s="9">
        <v>3.0</v>
      </c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A546" s="8" t="s">
        <v>553</v>
      </c>
      <c r="B546" s="9">
        <v>35.0</v>
      </c>
      <c r="C546" s="9" t="s">
        <v>460</v>
      </c>
      <c r="D546" s="9">
        <v>25.0</v>
      </c>
      <c r="E546" s="10">
        <v>0.6</v>
      </c>
      <c r="F546" s="9">
        <v>4.0</v>
      </c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A547" s="8" t="s">
        <v>554</v>
      </c>
      <c r="B547" s="9">
        <v>35.0</v>
      </c>
      <c r="C547" s="9" t="s">
        <v>460</v>
      </c>
      <c r="D547" s="9">
        <v>25.0</v>
      </c>
      <c r="E547" s="10">
        <v>0.6</v>
      </c>
      <c r="F547" s="9">
        <v>5.0</v>
      </c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A548" s="8" t="s">
        <v>555</v>
      </c>
      <c r="B548" s="9">
        <v>35.0</v>
      </c>
      <c r="C548" s="9" t="s">
        <v>460</v>
      </c>
      <c r="D548" s="9">
        <v>25.0</v>
      </c>
      <c r="E548" s="10">
        <v>1.0</v>
      </c>
      <c r="F548" s="9">
        <v>1.0</v>
      </c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A549" s="8" t="s">
        <v>556</v>
      </c>
      <c r="B549" s="9">
        <v>35.0</v>
      </c>
      <c r="C549" s="9" t="s">
        <v>460</v>
      </c>
      <c r="D549" s="9">
        <v>25.0</v>
      </c>
      <c r="E549" s="10">
        <v>1.0</v>
      </c>
      <c r="F549" s="9">
        <v>2.0</v>
      </c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A550" s="8" t="s">
        <v>557</v>
      </c>
      <c r="B550" s="9">
        <v>35.0</v>
      </c>
      <c r="C550" s="9" t="s">
        <v>460</v>
      </c>
      <c r="D550" s="9">
        <v>25.0</v>
      </c>
      <c r="E550" s="10">
        <v>1.0</v>
      </c>
      <c r="F550" s="9">
        <v>3.0</v>
      </c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A551" s="8" t="s">
        <v>558</v>
      </c>
      <c r="B551" s="9">
        <v>35.0</v>
      </c>
      <c r="C551" s="9" t="s">
        <v>460</v>
      </c>
      <c r="D551" s="9">
        <v>25.0</v>
      </c>
      <c r="E551" s="10">
        <v>1.0</v>
      </c>
      <c r="F551" s="9">
        <v>4.0</v>
      </c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A552" s="8" t="s">
        <v>559</v>
      </c>
      <c r="B552" s="9">
        <v>35.0</v>
      </c>
      <c r="C552" s="9" t="s">
        <v>460</v>
      </c>
      <c r="D552" s="9">
        <v>25.0</v>
      </c>
      <c r="E552" s="10">
        <v>1.0</v>
      </c>
      <c r="F552" s="9">
        <v>5.0</v>
      </c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A553" s="8" t="s">
        <v>560</v>
      </c>
      <c r="B553" s="9">
        <v>35.0</v>
      </c>
      <c r="C553" s="9" t="s">
        <v>460</v>
      </c>
      <c r="D553" s="9">
        <v>25.0</v>
      </c>
      <c r="E553" s="10">
        <v>2.0</v>
      </c>
      <c r="F553" s="9">
        <v>1.0</v>
      </c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A554" s="8" t="s">
        <v>561</v>
      </c>
      <c r="B554" s="9">
        <v>35.0</v>
      </c>
      <c r="C554" s="9" t="s">
        <v>460</v>
      </c>
      <c r="D554" s="9">
        <v>25.0</v>
      </c>
      <c r="E554" s="10">
        <v>2.0</v>
      </c>
      <c r="F554" s="9">
        <v>2.0</v>
      </c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A555" s="8" t="s">
        <v>562</v>
      </c>
      <c r="B555" s="9">
        <v>35.0</v>
      </c>
      <c r="C555" s="9" t="s">
        <v>460</v>
      </c>
      <c r="D555" s="9">
        <v>25.0</v>
      </c>
      <c r="E555" s="10">
        <v>2.0</v>
      </c>
      <c r="F555" s="9">
        <v>3.0</v>
      </c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A556" s="8" t="s">
        <v>563</v>
      </c>
      <c r="B556" s="9">
        <v>35.0</v>
      </c>
      <c r="C556" s="9" t="s">
        <v>460</v>
      </c>
      <c r="D556" s="9">
        <v>25.0</v>
      </c>
      <c r="E556" s="10">
        <v>2.0</v>
      </c>
      <c r="F556" s="9">
        <v>4.0</v>
      </c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A557" s="8" t="s">
        <v>564</v>
      </c>
      <c r="B557" s="9">
        <v>35.0</v>
      </c>
      <c r="C557" s="9" t="s">
        <v>460</v>
      </c>
      <c r="D557" s="9">
        <v>25.0</v>
      </c>
      <c r="E557" s="10">
        <v>2.0</v>
      </c>
      <c r="F557" s="9">
        <v>5.0</v>
      </c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A558" s="8" t="s">
        <v>565</v>
      </c>
      <c r="B558" s="9">
        <v>35.0</v>
      </c>
      <c r="C558" s="9" t="s">
        <v>460</v>
      </c>
      <c r="D558" s="9">
        <v>50.0</v>
      </c>
      <c r="E558" s="10">
        <v>0.6</v>
      </c>
      <c r="F558" s="9">
        <v>1.0</v>
      </c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A559" s="8" t="s">
        <v>566</v>
      </c>
      <c r="B559" s="9">
        <v>35.0</v>
      </c>
      <c r="C559" s="9" t="s">
        <v>460</v>
      </c>
      <c r="D559" s="9">
        <v>50.0</v>
      </c>
      <c r="E559" s="10">
        <v>0.6</v>
      </c>
      <c r="F559" s="9">
        <v>2.0</v>
      </c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A560" s="8" t="s">
        <v>567</v>
      </c>
      <c r="B560" s="9">
        <v>35.0</v>
      </c>
      <c r="C560" s="9" t="s">
        <v>460</v>
      </c>
      <c r="D560" s="9">
        <v>50.0</v>
      </c>
      <c r="E560" s="10">
        <v>0.6</v>
      </c>
      <c r="F560" s="9">
        <v>3.0</v>
      </c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A561" s="8" t="s">
        <v>568</v>
      </c>
      <c r="B561" s="9">
        <v>35.0</v>
      </c>
      <c r="C561" s="9" t="s">
        <v>460</v>
      </c>
      <c r="D561" s="9">
        <v>50.0</v>
      </c>
      <c r="E561" s="10">
        <v>0.6</v>
      </c>
      <c r="F561" s="9">
        <v>4.0</v>
      </c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A562" s="8" t="s">
        <v>569</v>
      </c>
      <c r="B562" s="9">
        <v>35.0</v>
      </c>
      <c r="C562" s="9" t="s">
        <v>460</v>
      </c>
      <c r="D562" s="9">
        <v>50.0</v>
      </c>
      <c r="E562" s="10">
        <v>0.6</v>
      </c>
      <c r="F562" s="9">
        <v>5.0</v>
      </c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A563" s="8" t="s">
        <v>570</v>
      </c>
      <c r="B563" s="9">
        <v>35.0</v>
      </c>
      <c r="C563" s="9" t="s">
        <v>460</v>
      </c>
      <c r="D563" s="9">
        <v>50.0</v>
      </c>
      <c r="E563" s="10">
        <v>1.0</v>
      </c>
      <c r="F563" s="9">
        <v>1.0</v>
      </c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A564" s="8" t="s">
        <v>571</v>
      </c>
      <c r="B564" s="9">
        <v>35.0</v>
      </c>
      <c r="C564" s="9" t="s">
        <v>460</v>
      </c>
      <c r="D564" s="9">
        <v>50.0</v>
      </c>
      <c r="E564" s="10">
        <v>1.0</v>
      </c>
      <c r="F564" s="9">
        <v>2.0</v>
      </c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A565" s="8" t="s">
        <v>572</v>
      </c>
      <c r="B565" s="9">
        <v>35.0</v>
      </c>
      <c r="C565" s="9" t="s">
        <v>460</v>
      </c>
      <c r="D565" s="9">
        <v>50.0</v>
      </c>
      <c r="E565" s="10">
        <v>1.0</v>
      </c>
      <c r="F565" s="9">
        <v>3.0</v>
      </c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A566" s="8" t="s">
        <v>573</v>
      </c>
      <c r="B566" s="9">
        <v>35.0</v>
      </c>
      <c r="C566" s="9" t="s">
        <v>460</v>
      </c>
      <c r="D566" s="9">
        <v>50.0</v>
      </c>
      <c r="E566" s="10">
        <v>1.0</v>
      </c>
      <c r="F566" s="9">
        <v>4.0</v>
      </c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A567" s="8" t="s">
        <v>574</v>
      </c>
      <c r="B567" s="9">
        <v>35.0</v>
      </c>
      <c r="C567" s="9" t="s">
        <v>460</v>
      </c>
      <c r="D567" s="9">
        <v>50.0</v>
      </c>
      <c r="E567" s="10">
        <v>1.0</v>
      </c>
      <c r="F567" s="9">
        <v>5.0</v>
      </c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A568" s="8" t="s">
        <v>575</v>
      </c>
      <c r="B568" s="9">
        <v>35.0</v>
      </c>
      <c r="C568" s="9" t="s">
        <v>460</v>
      </c>
      <c r="D568" s="9">
        <v>50.0</v>
      </c>
      <c r="E568" s="10">
        <v>2.0</v>
      </c>
      <c r="F568" s="9">
        <v>1.0</v>
      </c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A569" s="8" t="s">
        <v>576</v>
      </c>
      <c r="B569" s="9">
        <v>35.0</v>
      </c>
      <c r="C569" s="9" t="s">
        <v>460</v>
      </c>
      <c r="D569" s="9">
        <v>50.0</v>
      </c>
      <c r="E569" s="10">
        <v>2.0</v>
      </c>
      <c r="F569" s="9">
        <v>2.0</v>
      </c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A570" s="8" t="s">
        <v>577</v>
      </c>
      <c r="B570" s="9">
        <v>35.0</v>
      </c>
      <c r="C570" s="9" t="s">
        <v>460</v>
      </c>
      <c r="D570" s="9">
        <v>50.0</v>
      </c>
      <c r="E570" s="10">
        <v>2.0</v>
      </c>
      <c r="F570" s="9">
        <v>3.0</v>
      </c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A571" s="8" t="s">
        <v>578</v>
      </c>
      <c r="B571" s="9">
        <v>35.0</v>
      </c>
      <c r="C571" s="9" t="s">
        <v>460</v>
      </c>
      <c r="D571" s="9">
        <v>50.0</v>
      </c>
      <c r="E571" s="10">
        <v>2.0</v>
      </c>
      <c r="F571" s="9">
        <v>4.0</v>
      </c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A572" s="8" t="s">
        <v>579</v>
      </c>
      <c r="B572" s="9">
        <v>35.0</v>
      </c>
      <c r="C572" s="9" t="s">
        <v>460</v>
      </c>
      <c r="D572" s="9">
        <v>50.0</v>
      </c>
      <c r="E572" s="10">
        <v>2.0</v>
      </c>
      <c r="F572" s="9">
        <v>5.0</v>
      </c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A573" s="8" t="s">
        <v>580</v>
      </c>
      <c r="B573" s="9">
        <v>35.0</v>
      </c>
      <c r="C573" s="9" t="s">
        <v>460</v>
      </c>
      <c r="D573" s="9">
        <v>75.0</v>
      </c>
      <c r="E573" s="10">
        <v>0.6</v>
      </c>
      <c r="F573" s="9">
        <v>1.0</v>
      </c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A574" s="8" t="s">
        <v>581</v>
      </c>
      <c r="B574" s="9">
        <v>35.0</v>
      </c>
      <c r="C574" s="9" t="s">
        <v>460</v>
      </c>
      <c r="D574" s="9">
        <v>75.0</v>
      </c>
      <c r="E574" s="10">
        <v>0.6</v>
      </c>
      <c r="F574" s="9">
        <v>2.0</v>
      </c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A575" s="8" t="s">
        <v>582</v>
      </c>
      <c r="B575" s="9">
        <v>35.0</v>
      </c>
      <c r="C575" s="9" t="s">
        <v>460</v>
      </c>
      <c r="D575" s="9">
        <v>75.0</v>
      </c>
      <c r="E575" s="10">
        <v>0.6</v>
      </c>
      <c r="F575" s="9">
        <v>3.0</v>
      </c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A576" s="8" t="s">
        <v>583</v>
      </c>
      <c r="B576" s="9">
        <v>35.0</v>
      </c>
      <c r="C576" s="9" t="s">
        <v>460</v>
      </c>
      <c r="D576" s="9">
        <v>75.0</v>
      </c>
      <c r="E576" s="10">
        <v>0.6</v>
      </c>
      <c r="F576" s="9">
        <v>4.0</v>
      </c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A577" s="8" t="s">
        <v>584</v>
      </c>
      <c r="B577" s="9">
        <v>35.0</v>
      </c>
      <c r="C577" s="9" t="s">
        <v>460</v>
      </c>
      <c r="D577" s="9">
        <v>75.0</v>
      </c>
      <c r="E577" s="10">
        <v>0.6</v>
      </c>
      <c r="F577" s="9">
        <v>5.0</v>
      </c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A578" s="8" t="s">
        <v>585</v>
      </c>
      <c r="B578" s="9">
        <v>35.0</v>
      </c>
      <c r="C578" s="9" t="s">
        <v>460</v>
      </c>
      <c r="D578" s="9">
        <v>75.0</v>
      </c>
      <c r="E578" s="10">
        <v>1.0</v>
      </c>
      <c r="F578" s="9">
        <v>1.0</v>
      </c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A579" s="8" t="s">
        <v>586</v>
      </c>
      <c r="B579" s="9">
        <v>35.0</v>
      </c>
      <c r="C579" s="9" t="s">
        <v>460</v>
      </c>
      <c r="D579" s="9">
        <v>75.0</v>
      </c>
      <c r="E579" s="10">
        <v>1.0</v>
      </c>
      <c r="F579" s="9">
        <v>2.0</v>
      </c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A580" s="8" t="s">
        <v>587</v>
      </c>
      <c r="B580" s="9">
        <v>35.0</v>
      </c>
      <c r="C580" s="9" t="s">
        <v>460</v>
      </c>
      <c r="D580" s="9">
        <v>75.0</v>
      </c>
      <c r="E580" s="10">
        <v>1.0</v>
      </c>
      <c r="F580" s="9">
        <v>3.0</v>
      </c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A581" s="8" t="s">
        <v>588</v>
      </c>
      <c r="B581" s="9">
        <v>35.0</v>
      </c>
      <c r="C581" s="9" t="s">
        <v>460</v>
      </c>
      <c r="D581" s="9">
        <v>75.0</v>
      </c>
      <c r="E581" s="10">
        <v>1.0</v>
      </c>
      <c r="F581" s="9">
        <v>4.0</v>
      </c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A582" s="8" t="s">
        <v>589</v>
      </c>
      <c r="B582" s="9">
        <v>35.0</v>
      </c>
      <c r="C582" s="9" t="s">
        <v>460</v>
      </c>
      <c r="D582" s="9">
        <v>75.0</v>
      </c>
      <c r="E582" s="10">
        <v>1.0</v>
      </c>
      <c r="F582" s="9">
        <v>5.0</v>
      </c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A583" s="8" t="s">
        <v>590</v>
      </c>
      <c r="B583" s="9">
        <v>35.0</v>
      </c>
      <c r="C583" s="9" t="s">
        <v>460</v>
      </c>
      <c r="D583" s="9">
        <v>75.0</v>
      </c>
      <c r="E583" s="10">
        <v>2.0</v>
      </c>
      <c r="F583" s="9">
        <v>1.0</v>
      </c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A584" s="8" t="s">
        <v>591</v>
      </c>
      <c r="B584" s="9">
        <v>35.0</v>
      </c>
      <c r="C584" s="9" t="s">
        <v>460</v>
      </c>
      <c r="D584" s="9">
        <v>75.0</v>
      </c>
      <c r="E584" s="10">
        <v>2.0</v>
      </c>
      <c r="F584" s="9">
        <v>2.0</v>
      </c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A585" s="8" t="s">
        <v>592</v>
      </c>
      <c r="B585" s="9">
        <v>35.0</v>
      </c>
      <c r="C585" s="9" t="s">
        <v>460</v>
      </c>
      <c r="D585" s="9">
        <v>75.0</v>
      </c>
      <c r="E585" s="10">
        <v>2.0</v>
      </c>
      <c r="F585" s="9">
        <v>3.0</v>
      </c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A586" s="8" t="s">
        <v>593</v>
      </c>
      <c r="B586" s="9">
        <v>35.0</v>
      </c>
      <c r="C586" s="9" t="s">
        <v>460</v>
      </c>
      <c r="D586" s="9">
        <v>75.0</v>
      </c>
      <c r="E586" s="10">
        <v>2.0</v>
      </c>
      <c r="F586" s="9">
        <v>4.0</v>
      </c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A587" s="8" t="s">
        <v>594</v>
      </c>
      <c r="B587" s="9">
        <v>35.0</v>
      </c>
      <c r="C587" s="9" t="s">
        <v>460</v>
      </c>
      <c r="D587" s="9">
        <v>75.0</v>
      </c>
      <c r="E587" s="10">
        <v>2.0</v>
      </c>
      <c r="F587" s="9">
        <v>5.0</v>
      </c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A588" s="8" t="s">
        <v>595</v>
      </c>
      <c r="B588" s="9">
        <v>40.0</v>
      </c>
      <c r="C588" s="9" t="s">
        <v>460</v>
      </c>
      <c r="D588" s="9">
        <v>25.0</v>
      </c>
      <c r="E588" s="10">
        <v>0.6</v>
      </c>
      <c r="F588" s="9">
        <v>1.0</v>
      </c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A589" s="8" t="s">
        <v>596</v>
      </c>
      <c r="B589" s="9">
        <v>40.0</v>
      </c>
      <c r="C589" s="9" t="s">
        <v>460</v>
      </c>
      <c r="D589" s="9">
        <v>25.0</v>
      </c>
      <c r="E589" s="10">
        <v>0.6</v>
      </c>
      <c r="F589" s="9">
        <v>2.0</v>
      </c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A590" s="8" t="s">
        <v>597</v>
      </c>
      <c r="B590" s="9">
        <v>40.0</v>
      </c>
      <c r="C590" s="9" t="s">
        <v>460</v>
      </c>
      <c r="D590" s="9">
        <v>25.0</v>
      </c>
      <c r="E590" s="10">
        <v>0.6</v>
      </c>
      <c r="F590" s="9">
        <v>3.0</v>
      </c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A591" s="8" t="s">
        <v>598</v>
      </c>
      <c r="B591" s="9">
        <v>40.0</v>
      </c>
      <c r="C591" s="9" t="s">
        <v>460</v>
      </c>
      <c r="D591" s="9">
        <v>25.0</v>
      </c>
      <c r="E591" s="10">
        <v>0.6</v>
      </c>
      <c r="F591" s="9">
        <v>4.0</v>
      </c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A592" s="8" t="s">
        <v>599</v>
      </c>
      <c r="B592" s="9">
        <v>40.0</v>
      </c>
      <c r="C592" s="9" t="s">
        <v>460</v>
      </c>
      <c r="D592" s="9">
        <v>25.0</v>
      </c>
      <c r="E592" s="10">
        <v>0.6</v>
      </c>
      <c r="F592" s="9">
        <v>5.0</v>
      </c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A593" s="8" t="s">
        <v>600</v>
      </c>
      <c r="B593" s="9">
        <v>40.0</v>
      </c>
      <c r="C593" s="9" t="s">
        <v>460</v>
      </c>
      <c r="D593" s="9">
        <v>25.0</v>
      </c>
      <c r="E593" s="10">
        <v>1.0</v>
      </c>
      <c r="F593" s="9">
        <v>1.0</v>
      </c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A594" s="8" t="s">
        <v>601</v>
      </c>
      <c r="B594" s="9">
        <v>40.0</v>
      </c>
      <c r="C594" s="9" t="s">
        <v>460</v>
      </c>
      <c r="D594" s="9">
        <v>25.0</v>
      </c>
      <c r="E594" s="10">
        <v>1.0</v>
      </c>
      <c r="F594" s="9">
        <v>2.0</v>
      </c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A595" s="8" t="s">
        <v>602</v>
      </c>
      <c r="B595" s="9">
        <v>40.0</v>
      </c>
      <c r="C595" s="9" t="s">
        <v>460</v>
      </c>
      <c r="D595" s="9">
        <v>25.0</v>
      </c>
      <c r="E595" s="10">
        <v>1.0</v>
      </c>
      <c r="F595" s="9">
        <v>3.0</v>
      </c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A596" s="8" t="s">
        <v>603</v>
      </c>
      <c r="B596" s="9">
        <v>40.0</v>
      </c>
      <c r="C596" s="9" t="s">
        <v>460</v>
      </c>
      <c r="D596" s="9">
        <v>25.0</v>
      </c>
      <c r="E596" s="10">
        <v>1.0</v>
      </c>
      <c r="F596" s="9">
        <v>4.0</v>
      </c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A597" s="8" t="s">
        <v>604</v>
      </c>
      <c r="B597" s="9">
        <v>40.0</v>
      </c>
      <c r="C597" s="9" t="s">
        <v>460</v>
      </c>
      <c r="D597" s="9">
        <v>25.0</v>
      </c>
      <c r="E597" s="10">
        <v>1.0</v>
      </c>
      <c r="F597" s="9">
        <v>5.0</v>
      </c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A598" s="8" t="s">
        <v>605</v>
      </c>
      <c r="B598" s="9">
        <v>40.0</v>
      </c>
      <c r="C598" s="9" t="s">
        <v>460</v>
      </c>
      <c r="D598" s="9">
        <v>25.0</v>
      </c>
      <c r="E598" s="10">
        <v>2.0</v>
      </c>
      <c r="F598" s="9">
        <v>1.0</v>
      </c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A599" s="8" t="s">
        <v>606</v>
      </c>
      <c r="B599" s="9">
        <v>40.0</v>
      </c>
      <c r="C599" s="9" t="s">
        <v>460</v>
      </c>
      <c r="D599" s="9">
        <v>25.0</v>
      </c>
      <c r="E599" s="10">
        <v>2.0</v>
      </c>
      <c r="F599" s="9">
        <v>2.0</v>
      </c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A600" s="8" t="s">
        <v>607</v>
      </c>
      <c r="B600" s="9">
        <v>40.0</v>
      </c>
      <c r="C600" s="9" t="s">
        <v>460</v>
      </c>
      <c r="D600" s="9">
        <v>25.0</v>
      </c>
      <c r="E600" s="10">
        <v>2.0</v>
      </c>
      <c r="F600" s="9">
        <v>3.0</v>
      </c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A601" s="8" t="s">
        <v>608</v>
      </c>
      <c r="B601" s="9">
        <v>40.0</v>
      </c>
      <c r="C601" s="9" t="s">
        <v>460</v>
      </c>
      <c r="D601" s="9">
        <v>25.0</v>
      </c>
      <c r="E601" s="10">
        <v>2.0</v>
      </c>
      <c r="F601" s="9">
        <v>4.0</v>
      </c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A602" s="8" t="s">
        <v>609</v>
      </c>
      <c r="B602" s="9">
        <v>40.0</v>
      </c>
      <c r="C602" s="9" t="s">
        <v>460</v>
      </c>
      <c r="D602" s="9">
        <v>25.0</v>
      </c>
      <c r="E602" s="10">
        <v>2.0</v>
      </c>
      <c r="F602" s="9">
        <v>5.0</v>
      </c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A603" s="8" t="s">
        <v>610</v>
      </c>
      <c r="B603" s="9">
        <v>40.0</v>
      </c>
      <c r="C603" s="9" t="s">
        <v>460</v>
      </c>
      <c r="D603" s="9">
        <v>50.0</v>
      </c>
      <c r="E603" s="10">
        <v>0.6</v>
      </c>
      <c r="F603" s="9">
        <v>1.0</v>
      </c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A604" s="8" t="s">
        <v>611</v>
      </c>
      <c r="B604" s="9">
        <v>40.0</v>
      </c>
      <c r="C604" s="9" t="s">
        <v>460</v>
      </c>
      <c r="D604" s="9">
        <v>50.0</v>
      </c>
      <c r="E604" s="10">
        <v>0.6</v>
      </c>
      <c r="F604" s="9">
        <v>2.0</v>
      </c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A605" s="8" t="s">
        <v>612</v>
      </c>
      <c r="B605" s="9">
        <v>40.0</v>
      </c>
      <c r="C605" s="9" t="s">
        <v>460</v>
      </c>
      <c r="D605" s="9">
        <v>50.0</v>
      </c>
      <c r="E605" s="10">
        <v>0.6</v>
      </c>
      <c r="F605" s="9">
        <v>3.0</v>
      </c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A606" s="8" t="s">
        <v>613</v>
      </c>
      <c r="B606" s="9">
        <v>40.0</v>
      </c>
      <c r="C606" s="9" t="s">
        <v>460</v>
      </c>
      <c r="D606" s="9">
        <v>50.0</v>
      </c>
      <c r="E606" s="10">
        <v>0.6</v>
      </c>
      <c r="F606" s="9">
        <v>4.0</v>
      </c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A607" s="8" t="s">
        <v>614</v>
      </c>
      <c r="B607" s="9">
        <v>40.0</v>
      </c>
      <c r="C607" s="9" t="s">
        <v>460</v>
      </c>
      <c r="D607" s="9">
        <v>50.0</v>
      </c>
      <c r="E607" s="10">
        <v>0.6</v>
      </c>
      <c r="F607" s="9">
        <v>5.0</v>
      </c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A608" s="8" t="s">
        <v>615</v>
      </c>
      <c r="B608" s="9">
        <v>40.0</v>
      </c>
      <c r="C608" s="9" t="s">
        <v>460</v>
      </c>
      <c r="D608" s="9">
        <v>50.0</v>
      </c>
      <c r="E608" s="10">
        <v>1.0</v>
      </c>
      <c r="F608" s="9">
        <v>1.0</v>
      </c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A609" s="8" t="s">
        <v>616</v>
      </c>
      <c r="B609" s="9">
        <v>40.0</v>
      </c>
      <c r="C609" s="9" t="s">
        <v>460</v>
      </c>
      <c r="D609" s="9">
        <v>50.0</v>
      </c>
      <c r="E609" s="10">
        <v>1.0</v>
      </c>
      <c r="F609" s="9">
        <v>2.0</v>
      </c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A610" s="8" t="s">
        <v>617</v>
      </c>
      <c r="B610" s="9">
        <v>40.0</v>
      </c>
      <c r="C610" s="9" t="s">
        <v>460</v>
      </c>
      <c r="D610" s="9">
        <v>50.0</v>
      </c>
      <c r="E610" s="10">
        <v>1.0</v>
      </c>
      <c r="F610" s="9">
        <v>3.0</v>
      </c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A611" s="8" t="s">
        <v>618</v>
      </c>
      <c r="B611" s="9">
        <v>40.0</v>
      </c>
      <c r="C611" s="9" t="s">
        <v>460</v>
      </c>
      <c r="D611" s="9">
        <v>50.0</v>
      </c>
      <c r="E611" s="10">
        <v>1.0</v>
      </c>
      <c r="F611" s="9">
        <v>4.0</v>
      </c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A612" s="8" t="s">
        <v>619</v>
      </c>
      <c r="B612" s="9">
        <v>40.0</v>
      </c>
      <c r="C612" s="9" t="s">
        <v>460</v>
      </c>
      <c r="D612" s="9">
        <v>50.0</v>
      </c>
      <c r="E612" s="10">
        <v>1.0</v>
      </c>
      <c r="F612" s="9">
        <v>5.0</v>
      </c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A613" s="8" t="s">
        <v>620</v>
      </c>
      <c r="B613" s="9">
        <v>40.0</v>
      </c>
      <c r="C613" s="9" t="s">
        <v>460</v>
      </c>
      <c r="D613" s="9">
        <v>50.0</v>
      </c>
      <c r="E613" s="10">
        <v>2.0</v>
      </c>
      <c r="F613" s="9">
        <v>1.0</v>
      </c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A614" s="8" t="s">
        <v>621</v>
      </c>
      <c r="B614" s="9">
        <v>40.0</v>
      </c>
      <c r="C614" s="9" t="s">
        <v>460</v>
      </c>
      <c r="D614" s="9">
        <v>50.0</v>
      </c>
      <c r="E614" s="10">
        <v>2.0</v>
      </c>
      <c r="F614" s="9">
        <v>2.0</v>
      </c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A615" s="8" t="s">
        <v>622</v>
      </c>
      <c r="B615" s="9">
        <v>40.0</v>
      </c>
      <c r="C615" s="9" t="s">
        <v>460</v>
      </c>
      <c r="D615" s="9">
        <v>50.0</v>
      </c>
      <c r="E615" s="10">
        <v>2.0</v>
      </c>
      <c r="F615" s="9">
        <v>3.0</v>
      </c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A616" s="8" t="s">
        <v>623</v>
      </c>
      <c r="B616" s="9">
        <v>40.0</v>
      </c>
      <c r="C616" s="9" t="s">
        <v>460</v>
      </c>
      <c r="D616" s="9">
        <v>50.0</v>
      </c>
      <c r="E616" s="10">
        <v>2.0</v>
      </c>
      <c r="F616" s="9">
        <v>4.0</v>
      </c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A617" s="8" t="s">
        <v>624</v>
      </c>
      <c r="B617" s="9">
        <v>40.0</v>
      </c>
      <c r="C617" s="9" t="s">
        <v>460</v>
      </c>
      <c r="D617" s="9">
        <v>50.0</v>
      </c>
      <c r="E617" s="10">
        <v>2.0</v>
      </c>
      <c r="F617" s="9">
        <v>5.0</v>
      </c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A618" s="8" t="s">
        <v>625</v>
      </c>
      <c r="B618" s="9">
        <v>40.0</v>
      </c>
      <c r="C618" s="9" t="s">
        <v>460</v>
      </c>
      <c r="D618" s="9">
        <v>75.0</v>
      </c>
      <c r="E618" s="10">
        <v>0.6</v>
      </c>
      <c r="F618" s="9">
        <v>1.0</v>
      </c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A619" s="8" t="s">
        <v>626</v>
      </c>
      <c r="B619" s="9">
        <v>40.0</v>
      </c>
      <c r="C619" s="9" t="s">
        <v>460</v>
      </c>
      <c r="D619" s="9">
        <v>75.0</v>
      </c>
      <c r="E619" s="10">
        <v>0.6</v>
      </c>
      <c r="F619" s="9">
        <v>2.0</v>
      </c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A620" s="8" t="s">
        <v>627</v>
      </c>
      <c r="B620" s="9">
        <v>40.0</v>
      </c>
      <c r="C620" s="9" t="s">
        <v>460</v>
      </c>
      <c r="D620" s="9">
        <v>75.0</v>
      </c>
      <c r="E620" s="10">
        <v>0.6</v>
      </c>
      <c r="F620" s="9">
        <v>3.0</v>
      </c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A621" s="8" t="s">
        <v>628</v>
      </c>
      <c r="B621" s="9">
        <v>40.0</v>
      </c>
      <c r="C621" s="9" t="s">
        <v>460</v>
      </c>
      <c r="D621" s="9">
        <v>75.0</v>
      </c>
      <c r="E621" s="10">
        <v>0.6</v>
      </c>
      <c r="F621" s="9">
        <v>4.0</v>
      </c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A622" s="8" t="s">
        <v>629</v>
      </c>
      <c r="B622" s="9">
        <v>40.0</v>
      </c>
      <c r="C622" s="9" t="s">
        <v>460</v>
      </c>
      <c r="D622" s="9">
        <v>75.0</v>
      </c>
      <c r="E622" s="10">
        <v>0.6</v>
      </c>
      <c r="F622" s="9">
        <v>5.0</v>
      </c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A623" s="8" t="s">
        <v>630</v>
      </c>
      <c r="B623" s="9">
        <v>40.0</v>
      </c>
      <c r="C623" s="9" t="s">
        <v>460</v>
      </c>
      <c r="D623" s="9">
        <v>75.0</v>
      </c>
      <c r="E623" s="10">
        <v>1.0</v>
      </c>
      <c r="F623" s="9">
        <v>1.0</v>
      </c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A624" s="8" t="s">
        <v>631</v>
      </c>
      <c r="B624" s="9">
        <v>40.0</v>
      </c>
      <c r="C624" s="9" t="s">
        <v>460</v>
      </c>
      <c r="D624" s="9">
        <v>75.0</v>
      </c>
      <c r="E624" s="10">
        <v>1.0</v>
      </c>
      <c r="F624" s="9">
        <v>2.0</v>
      </c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A625" s="8" t="s">
        <v>632</v>
      </c>
      <c r="B625" s="9">
        <v>40.0</v>
      </c>
      <c r="C625" s="9" t="s">
        <v>460</v>
      </c>
      <c r="D625" s="9">
        <v>75.0</v>
      </c>
      <c r="E625" s="10">
        <v>1.0</v>
      </c>
      <c r="F625" s="9">
        <v>3.0</v>
      </c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A626" s="8" t="s">
        <v>633</v>
      </c>
      <c r="B626" s="9">
        <v>40.0</v>
      </c>
      <c r="C626" s="9" t="s">
        <v>460</v>
      </c>
      <c r="D626" s="9">
        <v>75.0</v>
      </c>
      <c r="E626" s="10">
        <v>1.0</v>
      </c>
      <c r="F626" s="9">
        <v>4.0</v>
      </c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A627" s="8" t="s">
        <v>634</v>
      </c>
      <c r="B627" s="9">
        <v>40.0</v>
      </c>
      <c r="C627" s="9" t="s">
        <v>460</v>
      </c>
      <c r="D627" s="9">
        <v>75.0</v>
      </c>
      <c r="E627" s="10">
        <v>1.0</v>
      </c>
      <c r="F627" s="9">
        <v>5.0</v>
      </c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A628" s="8" t="s">
        <v>635</v>
      </c>
      <c r="B628" s="9">
        <v>40.0</v>
      </c>
      <c r="C628" s="9" t="s">
        <v>460</v>
      </c>
      <c r="D628" s="9">
        <v>75.0</v>
      </c>
      <c r="E628" s="10">
        <v>2.0</v>
      </c>
      <c r="F628" s="9">
        <v>1.0</v>
      </c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A629" s="8" t="s">
        <v>636</v>
      </c>
      <c r="B629" s="9">
        <v>40.0</v>
      </c>
      <c r="C629" s="9" t="s">
        <v>460</v>
      </c>
      <c r="D629" s="9">
        <v>75.0</v>
      </c>
      <c r="E629" s="10">
        <v>2.0</v>
      </c>
      <c r="F629" s="9">
        <v>2.0</v>
      </c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A630" s="8" t="s">
        <v>637</v>
      </c>
      <c r="B630" s="9">
        <v>40.0</v>
      </c>
      <c r="C630" s="9" t="s">
        <v>460</v>
      </c>
      <c r="D630" s="9">
        <v>75.0</v>
      </c>
      <c r="E630" s="10">
        <v>2.0</v>
      </c>
      <c r="F630" s="9">
        <v>3.0</v>
      </c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A631" s="8" t="s">
        <v>638</v>
      </c>
      <c r="B631" s="9">
        <v>40.0</v>
      </c>
      <c r="C631" s="9" t="s">
        <v>460</v>
      </c>
      <c r="D631" s="9">
        <v>75.0</v>
      </c>
      <c r="E631" s="10">
        <v>2.0</v>
      </c>
      <c r="F631" s="9">
        <v>4.0</v>
      </c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A632" s="8" t="s">
        <v>639</v>
      </c>
      <c r="B632" s="9">
        <v>40.0</v>
      </c>
      <c r="C632" s="9" t="s">
        <v>460</v>
      </c>
      <c r="D632" s="9">
        <v>75.0</v>
      </c>
      <c r="E632" s="10">
        <v>2.0</v>
      </c>
      <c r="F632" s="9">
        <v>5.0</v>
      </c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A633" s="8" t="s">
        <v>640</v>
      </c>
      <c r="B633" s="9">
        <v>45.0</v>
      </c>
      <c r="C633" s="9" t="s">
        <v>460</v>
      </c>
      <c r="D633" s="9">
        <v>25.0</v>
      </c>
      <c r="E633" s="10">
        <v>0.6</v>
      </c>
      <c r="F633" s="9">
        <v>1.0</v>
      </c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A634" s="8" t="s">
        <v>641</v>
      </c>
      <c r="B634" s="9">
        <v>45.0</v>
      </c>
      <c r="C634" s="9" t="s">
        <v>460</v>
      </c>
      <c r="D634" s="9">
        <v>25.0</v>
      </c>
      <c r="E634" s="10">
        <v>0.6</v>
      </c>
      <c r="F634" s="9">
        <v>2.0</v>
      </c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A635" s="8" t="s">
        <v>642</v>
      </c>
      <c r="B635" s="9">
        <v>45.0</v>
      </c>
      <c r="C635" s="9" t="s">
        <v>460</v>
      </c>
      <c r="D635" s="9">
        <v>25.0</v>
      </c>
      <c r="E635" s="10">
        <v>0.6</v>
      </c>
      <c r="F635" s="9">
        <v>3.0</v>
      </c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A636" s="8" t="s">
        <v>643</v>
      </c>
      <c r="B636" s="9">
        <v>45.0</v>
      </c>
      <c r="C636" s="9" t="s">
        <v>460</v>
      </c>
      <c r="D636" s="9">
        <v>25.0</v>
      </c>
      <c r="E636" s="10">
        <v>0.6</v>
      </c>
      <c r="F636" s="9">
        <v>4.0</v>
      </c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A637" s="8" t="s">
        <v>644</v>
      </c>
      <c r="B637" s="9">
        <v>45.0</v>
      </c>
      <c r="C637" s="9" t="s">
        <v>460</v>
      </c>
      <c r="D637" s="9">
        <v>25.0</v>
      </c>
      <c r="E637" s="10">
        <v>0.6</v>
      </c>
      <c r="F637" s="9">
        <v>5.0</v>
      </c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A638" s="8" t="s">
        <v>645</v>
      </c>
      <c r="B638" s="9">
        <v>45.0</v>
      </c>
      <c r="C638" s="9" t="s">
        <v>460</v>
      </c>
      <c r="D638" s="9">
        <v>25.0</v>
      </c>
      <c r="E638" s="10">
        <v>1.0</v>
      </c>
      <c r="F638" s="9">
        <v>1.0</v>
      </c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A639" s="8" t="s">
        <v>646</v>
      </c>
      <c r="B639" s="9">
        <v>45.0</v>
      </c>
      <c r="C639" s="9" t="s">
        <v>460</v>
      </c>
      <c r="D639" s="9">
        <v>25.0</v>
      </c>
      <c r="E639" s="10">
        <v>1.0</v>
      </c>
      <c r="F639" s="9">
        <v>2.0</v>
      </c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A640" s="8" t="s">
        <v>647</v>
      </c>
      <c r="B640" s="9">
        <v>45.0</v>
      </c>
      <c r="C640" s="9" t="s">
        <v>460</v>
      </c>
      <c r="D640" s="9">
        <v>25.0</v>
      </c>
      <c r="E640" s="10">
        <v>1.0</v>
      </c>
      <c r="F640" s="9">
        <v>3.0</v>
      </c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A641" s="8" t="s">
        <v>648</v>
      </c>
      <c r="B641" s="9">
        <v>45.0</v>
      </c>
      <c r="C641" s="9" t="s">
        <v>460</v>
      </c>
      <c r="D641" s="9">
        <v>25.0</v>
      </c>
      <c r="E641" s="10">
        <v>1.0</v>
      </c>
      <c r="F641" s="9">
        <v>4.0</v>
      </c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A642" s="8" t="s">
        <v>649</v>
      </c>
      <c r="B642" s="9">
        <v>45.0</v>
      </c>
      <c r="C642" s="9" t="s">
        <v>460</v>
      </c>
      <c r="D642" s="9">
        <v>25.0</v>
      </c>
      <c r="E642" s="10">
        <v>1.0</v>
      </c>
      <c r="F642" s="9">
        <v>5.0</v>
      </c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A643" s="8" t="s">
        <v>650</v>
      </c>
      <c r="B643" s="9">
        <v>45.0</v>
      </c>
      <c r="C643" s="9" t="s">
        <v>460</v>
      </c>
      <c r="D643" s="9">
        <v>25.0</v>
      </c>
      <c r="E643" s="10">
        <v>2.0</v>
      </c>
      <c r="F643" s="9">
        <v>1.0</v>
      </c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A644" s="8" t="s">
        <v>651</v>
      </c>
      <c r="B644" s="9">
        <v>45.0</v>
      </c>
      <c r="C644" s="9" t="s">
        <v>460</v>
      </c>
      <c r="D644" s="9">
        <v>25.0</v>
      </c>
      <c r="E644" s="10">
        <v>2.0</v>
      </c>
      <c r="F644" s="9">
        <v>2.0</v>
      </c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A645" s="8" t="s">
        <v>652</v>
      </c>
      <c r="B645" s="9">
        <v>45.0</v>
      </c>
      <c r="C645" s="9" t="s">
        <v>460</v>
      </c>
      <c r="D645" s="9">
        <v>25.0</v>
      </c>
      <c r="E645" s="10">
        <v>2.0</v>
      </c>
      <c r="F645" s="9">
        <v>3.0</v>
      </c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A646" s="8" t="s">
        <v>653</v>
      </c>
      <c r="B646" s="9">
        <v>45.0</v>
      </c>
      <c r="C646" s="9" t="s">
        <v>460</v>
      </c>
      <c r="D646" s="9">
        <v>25.0</v>
      </c>
      <c r="E646" s="10">
        <v>2.0</v>
      </c>
      <c r="F646" s="9">
        <v>4.0</v>
      </c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A647" s="8" t="s">
        <v>654</v>
      </c>
      <c r="B647" s="9">
        <v>45.0</v>
      </c>
      <c r="C647" s="9" t="s">
        <v>460</v>
      </c>
      <c r="D647" s="9">
        <v>25.0</v>
      </c>
      <c r="E647" s="10">
        <v>2.0</v>
      </c>
      <c r="F647" s="9">
        <v>5.0</v>
      </c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A648" s="8" t="s">
        <v>655</v>
      </c>
      <c r="B648" s="9">
        <v>45.0</v>
      </c>
      <c r="C648" s="9" t="s">
        <v>460</v>
      </c>
      <c r="D648" s="9">
        <v>50.0</v>
      </c>
      <c r="E648" s="10">
        <v>0.6</v>
      </c>
      <c r="F648" s="9">
        <v>1.0</v>
      </c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A649" s="8" t="s">
        <v>656</v>
      </c>
      <c r="B649" s="9">
        <v>45.0</v>
      </c>
      <c r="C649" s="9" t="s">
        <v>460</v>
      </c>
      <c r="D649" s="9">
        <v>50.0</v>
      </c>
      <c r="E649" s="10">
        <v>0.6</v>
      </c>
      <c r="F649" s="9">
        <v>2.0</v>
      </c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A650" s="8" t="s">
        <v>657</v>
      </c>
      <c r="B650" s="9">
        <v>45.0</v>
      </c>
      <c r="C650" s="9" t="s">
        <v>460</v>
      </c>
      <c r="D650" s="9">
        <v>50.0</v>
      </c>
      <c r="E650" s="10">
        <v>0.6</v>
      </c>
      <c r="F650" s="9">
        <v>3.0</v>
      </c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A651" s="8" t="s">
        <v>658</v>
      </c>
      <c r="B651" s="9">
        <v>45.0</v>
      </c>
      <c r="C651" s="9" t="s">
        <v>460</v>
      </c>
      <c r="D651" s="9">
        <v>50.0</v>
      </c>
      <c r="E651" s="10">
        <v>0.6</v>
      </c>
      <c r="F651" s="9">
        <v>4.0</v>
      </c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A652" s="8" t="s">
        <v>659</v>
      </c>
      <c r="B652" s="9">
        <v>45.0</v>
      </c>
      <c r="C652" s="9" t="s">
        <v>460</v>
      </c>
      <c r="D652" s="9">
        <v>50.0</v>
      </c>
      <c r="E652" s="10">
        <v>0.6</v>
      </c>
      <c r="F652" s="9">
        <v>5.0</v>
      </c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A653" s="8" t="s">
        <v>660</v>
      </c>
      <c r="B653" s="9">
        <v>45.0</v>
      </c>
      <c r="C653" s="9" t="s">
        <v>460</v>
      </c>
      <c r="D653" s="9">
        <v>50.0</v>
      </c>
      <c r="E653" s="10">
        <v>1.0</v>
      </c>
      <c r="F653" s="9">
        <v>1.0</v>
      </c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A654" s="8" t="s">
        <v>661</v>
      </c>
      <c r="B654" s="9">
        <v>45.0</v>
      </c>
      <c r="C654" s="9" t="s">
        <v>460</v>
      </c>
      <c r="D654" s="9">
        <v>50.0</v>
      </c>
      <c r="E654" s="10">
        <v>1.0</v>
      </c>
      <c r="F654" s="9">
        <v>2.0</v>
      </c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A655" s="8" t="s">
        <v>662</v>
      </c>
      <c r="B655" s="9">
        <v>45.0</v>
      </c>
      <c r="C655" s="9" t="s">
        <v>460</v>
      </c>
      <c r="D655" s="9">
        <v>50.0</v>
      </c>
      <c r="E655" s="10">
        <v>1.0</v>
      </c>
      <c r="F655" s="9">
        <v>3.0</v>
      </c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A656" s="8" t="s">
        <v>663</v>
      </c>
      <c r="B656" s="9">
        <v>45.0</v>
      </c>
      <c r="C656" s="9" t="s">
        <v>460</v>
      </c>
      <c r="D656" s="9">
        <v>50.0</v>
      </c>
      <c r="E656" s="10">
        <v>1.0</v>
      </c>
      <c r="F656" s="9">
        <v>4.0</v>
      </c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A657" s="8" t="s">
        <v>664</v>
      </c>
      <c r="B657" s="9">
        <v>45.0</v>
      </c>
      <c r="C657" s="9" t="s">
        <v>460</v>
      </c>
      <c r="D657" s="9">
        <v>50.0</v>
      </c>
      <c r="E657" s="10">
        <v>1.0</v>
      </c>
      <c r="F657" s="9">
        <v>5.0</v>
      </c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A658" s="8" t="s">
        <v>665</v>
      </c>
      <c r="B658" s="9">
        <v>45.0</v>
      </c>
      <c r="C658" s="9" t="s">
        <v>460</v>
      </c>
      <c r="D658" s="9">
        <v>50.0</v>
      </c>
      <c r="E658" s="10">
        <v>2.0</v>
      </c>
      <c r="F658" s="9">
        <v>1.0</v>
      </c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A659" s="8" t="s">
        <v>666</v>
      </c>
      <c r="B659" s="9">
        <v>45.0</v>
      </c>
      <c r="C659" s="9" t="s">
        <v>460</v>
      </c>
      <c r="D659" s="9">
        <v>50.0</v>
      </c>
      <c r="E659" s="10">
        <v>2.0</v>
      </c>
      <c r="F659" s="9">
        <v>2.0</v>
      </c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A660" s="8" t="s">
        <v>667</v>
      </c>
      <c r="B660" s="9">
        <v>45.0</v>
      </c>
      <c r="C660" s="9" t="s">
        <v>460</v>
      </c>
      <c r="D660" s="9">
        <v>50.0</v>
      </c>
      <c r="E660" s="10">
        <v>2.0</v>
      </c>
      <c r="F660" s="9">
        <v>3.0</v>
      </c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A661" s="8" t="s">
        <v>668</v>
      </c>
      <c r="B661" s="9">
        <v>45.0</v>
      </c>
      <c r="C661" s="9" t="s">
        <v>460</v>
      </c>
      <c r="D661" s="9">
        <v>50.0</v>
      </c>
      <c r="E661" s="10">
        <v>2.0</v>
      </c>
      <c r="F661" s="9">
        <v>4.0</v>
      </c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A662" s="8" t="s">
        <v>669</v>
      </c>
      <c r="B662" s="9">
        <v>45.0</v>
      </c>
      <c r="C662" s="9" t="s">
        <v>460</v>
      </c>
      <c r="D662" s="9">
        <v>50.0</v>
      </c>
      <c r="E662" s="10">
        <v>2.0</v>
      </c>
      <c r="F662" s="9">
        <v>5.0</v>
      </c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A663" s="8" t="s">
        <v>670</v>
      </c>
      <c r="B663" s="9">
        <v>45.0</v>
      </c>
      <c r="C663" s="9" t="s">
        <v>460</v>
      </c>
      <c r="D663" s="9">
        <v>75.0</v>
      </c>
      <c r="E663" s="10">
        <v>0.6</v>
      </c>
      <c r="F663" s="9">
        <v>1.0</v>
      </c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A664" s="8" t="s">
        <v>671</v>
      </c>
      <c r="B664" s="9">
        <v>45.0</v>
      </c>
      <c r="C664" s="9" t="s">
        <v>460</v>
      </c>
      <c r="D664" s="9">
        <v>75.0</v>
      </c>
      <c r="E664" s="10">
        <v>0.6</v>
      </c>
      <c r="F664" s="9">
        <v>2.0</v>
      </c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A665" s="8" t="s">
        <v>672</v>
      </c>
      <c r="B665" s="9">
        <v>45.0</v>
      </c>
      <c r="C665" s="9" t="s">
        <v>460</v>
      </c>
      <c r="D665" s="9">
        <v>75.0</v>
      </c>
      <c r="E665" s="10">
        <v>0.6</v>
      </c>
      <c r="F665" s="9">
        <v>3.0</v>
      </c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A666" s="8" t="s">
        <v>673</v>
      </c>
      <c r="B666" s="9">
        <v>45.0</v>
      </c>
      <c r="C666" s="9" t="s">
        <v>460</v>
      </c>
      <c r="D666" s="9">
        <v>75.0</v>
      </c>
      <c r="E666" s="10">
        <v>0.6</v>
      </c>
      <c r="F666" s="9">
        <v>4.0</v>
      </c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A667" s="8" t="s">
        <v>674</v>
      </c>
      <c r="B667" s="9">
        <v>45.0</v>
      </c>
      <c r="C667" s="9" t="s">
        <v>460</v>
      </c>
      <c r="D667" s="9">
        <v>75.0</v>
      </c>
      <c r="E667" s="10">
        <v>0.6</v>
      </c>
      <c r="F667" s="9">
        <v>5.0</v>
      </c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A668" s="8" t="s">
        <v>675</v>
      </c>
      <c r="B668" s="9">
        <v>45.0</v>
      </c>
      <c r="C668" s="9" t="s">
        <v>460</v>
      </c>
      <c r="D668" s="9">
        <v>75.0</v>
      </c>
      <c r="E668" s="10">
        <v>1.0</v>
      </c>
      <c r="F668" s="9">
        <v>1.0</v>
      </c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A669" s="8" t="s">
        <v>676</v>
      </c>
      <c r="B669" s="9">
        <v>45.0</v>
      </c>
      <c r="C669" s="9" t="s">
        <v>460</v>
      </c>
      <c r="D669" s="9">
        <v>75.0</v>
      </c>
      <c r="E669" s="10">
        <v>1.0</v>
      </c>
      <c r="F669" s="9">
        <v>2.0</v>
      </c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A670" s="8" t="s">
        <v>677</v>
      </c>
      <c r="B670" s="9">
        <v>45.0</v>
      </c>
      <c r="C670" s="9" t="s">
        <v>460</v>
      </c>
      <c r="D670" s="9">
        <v>75.0</v>
      </c>
      <c r="E670" s="10">
        <v>1.0</v>
      </c>
      <c r="F670" s="9">
        <v>3.0</v>
      </c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A671" s="8" t="s">
        <v>678</v>
      </c>
      <c r="B671" s="9">
        <v>45.0</v>
      </c>
      <c r="C671" s="9" t="s">
        <v>460</v>
      </c>
      <c r="D671" s="9">
        <v>75.0</v>
      </c>
      <c r="E671" s="10">
        <v>1.0</v>
      </c>
      <c r="F671" s="9">
        <v>4.0</v>
      </c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A672" s="8" t="s">
        <v>679</v>
      </c>
      <c r="B672" s="9">
        <v>45.0</v>
      </c>
      <c r="C672" s="9" t="s">
        <v>460</v>
      </c>
      <c r="D672" s="9">
        <v>75.0</v>
      </c>
      <c r="E672" s="10">
        <v>1.0</v>
      </c>
      <c r="F672" s="9">
        <v>5.0</v>
      </c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A673" s="8" t="s">
        <v>680</v>
      </c>
      <c r="B673" s="9">
        <v>45.0</v>
      </c>
      <c r="C673" s="9" t="s">
        <v>460</v>
      </c>
      <c r="D673" s="9">
        <v>75.0</v>
      </c>
      <c r="E673" s="10">
        <v>2.0</v>
      </c>
      <c r="F673" s="9">
        <v>1.0</v>
      </c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A674" s="8" t="s">
        <v>681</v>
      </c>
      <c r="B674" s="9">
        <v>45.0</v>
      </c>
      <c r="C674" s="9" t="s">
        <v>460</v>
      </c>
      <c r="D674" s="9">
        <v>75.0</v>
      </c>
      <c r="E674" s="10">
        <v>2.0</v>
      </c>
      <c r="F674" s="9">
        <v>2.0</v>
      </c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A675" s="8" t="s">
        <v>682</v>
      </c>
      <c r="B675" s="9">
        <v>45.0</v>
      </c>
      <c r="C675" s="9" t="s">
        <v>460</v>
      </c>
      <c r="D675" s="9">
        <v>75.0</v>
      </c>
      <c r="E675" s="10">
        <v>2.0</v>
      </c>
      <c r="F675" s="9">
        <v>3.0</v>
      </c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A676" s="8" t="s">
        <v>683</v>
      </c>
      <c r="B676" s="9">
        <v>45.0</v>
      </c>
      <c r="C676" s="9" t="s">
        <v>460</v>
      </c>
      <c r="D676" s="9">
        <v>75.0</v>
      </c>
      <c r="E676" s="10">
        <v>2.0</v>
      </c>
      <c r="F676" s="9">
        <v>4.0</v>
      </c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A677" s="8" t="s">
        <v>684</v>
      </c>
      <c r="B677" s="9">
        <v>45.0</v>
      </c>
      <c r="C677" s="9" t="s">
        <v>460</v>
      </c>
      <c r="D677" s="9">
        <v>75.0</v>
      </c>
      <c r="E677" s="10">
        <v>2.0</v>
      </c>
      <c r="F677" s="9">
        <v>5.0</v>
      </c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1">
    <mergeCell ref="A1:F1"/>
  </mergeCells>
  <conditionalFormatting sqref="G140:G1000">
    <cfRule type="cellIs" dxfId="0" priority="1" operator="equal">
      <formula>1</formula>
    </cfRule>
  </conditionalFormatting>
  <conditionalFormatting sqref="H140:I1000">
    <cfRule type="cellIs" dxfId="1" priority="2" operator="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685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0.0</v>
      </c>
      <c r="H3" s="9">
        <v>1.0</v>
      </c>
      <c r="I3" s="9">
        <v>0.0</v>
      </c>
      <c r="J3" s="17">
        <v>-583.0</v>
      </c>
      <c r="K3" s="18">
        <v>-788.0</v>
      </c>
      <c r="L3" s="17">
        <v>-604.0</v>
      </c>
      <c r="M3" s="18">
        <v>-648.641</v>
      </c>
      <c r="N3" s="18">
        <v>7.39094</v>
      </c>
      <c r="O3" s="18">
        <v>3600.0</v>
      </c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0.0</v>
      </c>
      <c r="H4" s="9">
        <v>1.0</v>
      </c>
      <c r="I4" s="9">
        <v>0.0</v>
      </c>
      <c r="J4" s="17">
        <v>-486.0</v>
      </c>
      <c r="K4" s="18">
        <v>-852.015</v>
      </c>
      <c r="L4" s="17">
        <v>-665.0</v>
      </c>
      <c r="M4" s="18">
        <v>-716.616</v>
      </c>
      <c r="N4" s="18">
        <v>7.76175</v>
      </c>
      <c r="O4" s="18">
        <v>3600.0</v>
      </c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0.0</v>
      </c>
      <c r="H5" s="9">
        <v>1.0</v>
      </c>
      <c r="I5" s="9">
        <v>0.0</v>
      </c>
      <c r="J5" s="17">
        <v>-496.0</v>
      </c>
      <c r="K5" s="18">
        <v>-1014.0</v>
      </c>
      <c r="L5" s="17">
        <v>-730.0</v>
      </c>
      <c r="M5" s="18">
        <v>-811.804</v>
      </c>
      <c r="N5" s="18">
        <v>11.2061</v>
      </c>
      <c r="O5" s="18">
        <v>3600.0</v>
      </c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0.0</v>
      </c>
      <c r="H6" s="9">
        <v>1.0</v>
      </c>
      <c r="I6" s="9">
        <v>0.0</v>
      </c>
      <c r="J6" s="17">
        <v>-452.0</v>
      </c>
      <c r="K6" s="18">
        <v>-929.031</v>
      </c>
      <c r="L6" s="17">
        <v>-634.0</v>
      </c>
      <c r="M6" s="18">
        <v>-750.244</v>
      </c>
      <c r="N6" s="18">
        <v>18.3351</v>
      </c>
      <c r="O6" s="18">
        <v>3600.0</v>
      </c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0.0</v>
      </c>
      <c r="H7" s="9">
        <v>1.0</v>
      </c>
      <c r="I7" s="9">
        <v>0.0</v>
      </c>
      <c r="J7" s="17">
        <v>-277.0</v>
      </c>
      <c r="K7" s="18">
        <v>-883.047</v>
      </c>
      <c r="L7" s="17">
        <v>-653.0</v>
      </c>
      <c r="M7" s="18">
        <v>-707.474</v>
      </c>
      <c r="N7" s="18">
        <v>8.34215</v>
      </c>
      <c r="O7" s="18">
        <v>3600.0</v>
      </c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0.0</v>
      </c>
      <c r="H8" s="9">
        <v>1.0</v>
      </c>
      <c r="I8" s="9">
        <v>0.0</v>
      </c>
      <c r="J8" s="17">
        <v>-155.0</v>
      </c>
      <c r="K8" s="18">
        <v>-686.649</v>
      </c>
      <c r="L8" s="17">
        <v>-442.0</v>
      </c>
      <c r="M8" s="18">
        <v>-536.837</v>
      </c>
      <c r="N8" s="18">
        <v>21.4564</v>
      </c>
      <c r="O8" s="18">
        <v>3600.0</v>
      </c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0.0</v>
      </c>
      <c r="H9" s="9">
        <v>1.0</v>
      </c>
      <c r="I9" s="9">
        <v>0.0</v>
      </c>
      <c r="J9" s="17">
        <v>-386.0</v>
      </c>
      <c r="K9" s="18">
        <v>-813.056</v>
      </c>
      <c r="L9" s="17">
        <v>-574.0</v>
      </c>
      <c r="M9" s="18">
        <v>-670.407</v>
      </c>
      <c r="N9" s="18">
        <v>16.7957</v>
      </c>
      <c r="O9" s="18">
        <v>3600.0</v>
      </c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0.0</v>
      </c>
      <c r="H10" s="9">
        <v>1.0</v>
      </c>
      <c r="I10" s="9">
        <v>0.0</v>
      </c>
      <c r="J10" s="17">
        <v>28.0</v>
      </c>
      <c r="K10" s="18">
        <v>-900.73</v>
      </c>
      <c r="L10" s="17">
        <v>-500.0</v>
      </c>
      <c r="M10" s="18">
        <v>-681.994</v>
      </c>
      <c r="N10" s="18">
        <v>36.3988</v>
      </c>
      <c r="O10" s="18">
        <v>3600.0</v>
      </c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0.0</v>
      </c>
      <c r="H11" s="9">
        <v>1.0</v>
      </c>
      <c r="I11" s="9">
        <v>0.0</v>
      </c>
      <c r="J11" s="17">
        <v>75.0</v>
      </c>
      <c r="K11" s="18">
        <v>-805.64</v>
      </c>
      <c r="L11" s="17">
        <v>-402.0</v>
      </c>
      <c r="M11" s="18">
        <v>-644.423</v>
      </c>
      <c r="N11" s="18">
        <v>60.3043</v>
      </c>
      <c r="O11" s="18">
        <v>3600.0</v>
      </c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0.0</v>
      </c>
      <c r="H12" s="9">
        <v>1.0</v>
      </c>
      <c r="I12" s="9">
        <v>0.0</v>
      </c>
      <c r="J12" s="17">
        <v>-300.0</v>
      </c>
      <c r="K12" s="18">
        <v>-793.0</v>
      </c>
      <c r="L12" s="17">
        <v>-481.0</v>
      </c>
      <c r="M12" s="18">
        <v>-633.912</v>
      </c>
      <c r="N12" s="18">
        <v>31.7904</v>
      </c>
      <c r="O12" s="18">
        <v>3600.0</v>
      </c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0.0</v>
      </c>
      <c r="H13" s="9">
        <v>1.0</v>
      </c>
      <c r="I13" s="9">
        <v>0.0</v>
      </c>
      <c r="J13" s="17">
        <v>1782.0</v>
      </c>
      <c r="K13" s="18">
        <v>810.571</v>
      </c>
      <c r="L13" s="17">
        <v>1422.0</v>
      </c>
      <c r="M13" s="18">
        <v>996.962</v>
      </c>
      <c r="N13" s="18">
        <v>29.8902</v>
      </c>
      <c r="O13" s="18">
        <v>3600.0</v>
      </c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0.0</v>
      </c>
      <c r="H14" s="9">
        <v>1.0</v>
      </c>
      <c r="I14" s="9">
        <v>0.0</v>
      </c>
      <c r="J14" s="17">
        <v>329.0</v>
      </c>
      <c r="K14" s="18">
        <v>-298.7</v>
      </c>
      <c r="L14" s="17">
        <v>233.0</v>
      </c>
      <c r="M14" s="18">
        <v>15.6538</v>
      </c>
      <c r="N14" s="18">
        <v>93.2816</v>
      </c>
      <c r="O14" s="18">
        <v>3600.0</v>
      </c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0.0</v>
      </c>
      <c r="H15" s="9">
        <v>1.0</v>
      </c>
      <c r="I15" s="9">
        <v>0.0</v>
      </c>
      <c r="J15" s="17">
        <v>1813.0</v>
      </c>
      <c r="K15" s="18">
        <v>768.857</v>
      </c>
      <c r="L15" s="17">
        <v>1634.0</v>
      </c>
      <c r="M15" s="18">
        <v>1090.46</v>
      </c>
      <c r="N15" s="18">
        <v>33.2641</v>
      </c>
      <c r="O15" s="18">
        <v>3600.0</v>
      </c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0.0</v>
      </c>
      <c r="H16" s="9">
        <v>1.0</v>
      </c>
      <c r="I16" s="9">
        <v>0.0</v>
      </c>
      <c r="J16" s="17">
        <v>2095.0</v>
      </c>
      <c r="K16" s="18">
        <v>1031.22</v>
      </c>
      <c r="L16" s="17">
        <v>1860.0</v>
      </c>
      <c r="M16" s="18">
        <v>1355.06</v>
      </c>
      <c r="N16" s="18">
        <v>27.1474</v>
      </c>
      <c r="O16" s="18">
        <v>3600.0</v>
      </c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0.0</v>
      </c>
      <c r="H17" s="9">
        <v>1.0</v>
      </c>
      <c r="I17" s="9">
        <v>0.0</v>
      </c>
      <c r="J17" s="17">
        <v>1529.0</v>
      </c>
      <c r="K17" s="18">
        <v>542.0</v>
      </c>
      <c r="L17" s="17">
        <v>1361.0</v>
      </c>
      <c r="M17" s="18">
        <v>748.381</v>
      </c>
      <c r="N17" s="18">
        <v>45.0124</v>
      </c>
      <c r="O17" s="18">
        <v>3600.0</v>
      </c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0.0</v>
      </c>
      <c r="H18" s="9">
        <v>1.0</v>
      </c>
      <c r="I18" s="9">
        <v>0.0</v>
      </c>
      <c r="J18" s="17">
        <v>-693.0</v>
      </c>
      <c r="K18" s="18">
        <v>-2161.0</v>
      </c>
      <c r="L18" s="17">
        <v>-1091.0</v>
      </c>
      <c r="M18" s="18">
        <v>-1779.97</v>
      </c>
      <c r="N18" s="18">
        <v>63.1506</v>
      </c>
      <c r="O18" s="18">
        <v>3600.0</v>
      </c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0.0</v>
      </c>
      <c r="H19" s="9">
        <v>1.0</v>
      </c>
      <c r="I19" s="9">
        <v>0.0</v>
      </c>
      <c r="J19" s="17">
        <v>-503.0</v>
      </c>
      <c r="K19" s="18">
        <v>-2069.0</v>
      </c>
      <c r="L19" s="17">
        <v>-1065.0</v>
      </c>
      <c r="M19" s="18">
        <v>-1846.46</v>
      </c>
      <c r="N19" s="18">
        <v>73.3763</v>
      </c>
      <c r="O19" s="18">
        <v>3600.0</v>
      </c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0.0</v>
      </c>
      <c r="H20" s="9">
        <v>1.0</v>
      </c>
      <c r="I20" s="9">
        <v>0.0</v>
      </c>
      <c r="J20" s="17">
        <v>-726.0</v>
      </c>
      <c r="K20" s="18">
        <v>-1831.0</v>
      </c>
      <c r="L20" s="17">
        <v>-997.0</v>
      </c>
      <c r="M20" s="18">
        <v>-1510.47</v>
      </c>
      <c r="N20" s="18">
        <v>51.5018</v>
      </c>
      <c r="O20" s="18">
        <v>3600.0</v>
      </c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0.0</v>
      </c>
      <c r="H21" s="9">
        <v>1.0</v>
      </c>
      <c r="I21" s="9">
        <v>0.0</v>
      </c>
      <c r="J21" s="17">
        <v>-256.0</v>
      </c>
      <c r="K21" s="18">
        <v>-1750.01</v>
      </c>
      <c r="L21" s="17">
        <v>-987.0</v>
      </c>
      <c r="M21" s="18">
        <v>-1331.16</v>
      </c>
      <c r="N21" s="18">
        <v>34.8691</v>
      </c>
      <c r="O21" s="18">
        <v>3600.0</v>
      </c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0.0</v>
      </c>
      <c r="H22" s="9">
        <v>1.0</v>
      </c>
      <c r="I22" s="9">
        <v>0.0</v>
      </c>
      <c r="J22" s="17">
        <v>-288.0</v>
      </c>
      <c r="K22" s="18">
        <v>-2560.07</v>
      </c>
      <c r="L22" s="17">
        <v>-1069.0</v>
      </c>
      <c r="M22" s="18">
        <v>-2202.05</v>
      </c>
      <c r="N22" s="18">
        <v>105.992</v>
      </c>
      <c r="O22" s="18">
        <v>3600.0</v>
      </c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0.0</v>
      </c>
      <c r="H23" s="9">
        <v>1.0</v>
      </c>
      <c r="I23" s="9">
        <v>0.0</v>
      </c>
      <c r="J23" s="17">
        <v>-273.0</v>
      </c>
      <c r="K23" s="18">
        <v>-2047.47</v>
      </c>
      <c r="L23" s="17">
        <v>-715.0</v>
      </c>
      <c r="M23" s="18">
        <v>-1794.59</v>
      </c>
      <c r="N23" s="18">
        <v>150.992</v>
      </c>
      <c r="O23" s="18">
        <v>3600.0</v>
      </c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0.0</v>
      </c>
      <c r="H24" s="9">
        <v>1.0</v>
      </c>
      <c r="I24" s="9">
        <v>0.0</v>
      </c>
      <c r="J24" s="17">
        <v>-421.0</v>
      </c>
      <c r="K24" s="18">
        <v>-2018.09</v>
      </c>
      <c r="L24" s="17">
        <v>-847.0</v>
      </c>
      <c r="M24" s="18">
        <v>-1779.43</v>
      </c>
      <c r="N24" s="18">
        <v>110.087</v>
      </c>
      <c r="O24" s="18">
        <v>3600.0</v>
      </c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0.0</v>
      </c>
      <c r="H25" s="9">
        <v>1.0</v>
      </c>
      <c r="I25" s="9">
        <v>0.0</v>
      </c>
      <c r="J25" s="17">
        <v>-451.0</v>
      </c>
      <c r="K25" s="18">
        <v>-1829.01</v>
      </c>
      <c r="L25" s="17">
        <v>-865.0</v>
      </c>
      <c r="M25" s="18">
        <v>-1518.93</v>
      </c>
      <c r="N25" s="18">
        <v>75.5988</v>
      </c>
      <c r="O25" s="18">
        <v>3600.0</v>
      </c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0.0</v>
      </c>
      <c r="H26" s="9">
        <v>1.0</v>
      </c>
      <c r="I26" s="9">
        <v>0.0</v>
      </c>
      <c r="J26" s="17">
        <v>-242.0</v>
      </c>
      <c r="K26" s="18">
        <v>-1743.03</v>
      </c>
      <c r="L26" s="17">
        <v>-801.0</v>
      </c>
      <c r="M26" s="18">
        <v>-1360.77</v>
      </c>
      <c r="N26" s="18">
        <v>69.8833</v>
      </c>
      <c r="O26" s="18">
        <v>3600.0</v>
      </c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0.0</v>
      </c>
      <c r="H27" s="9">
        <v>1.0</v>
      </c>
      <c r="I27" s="9">
        <v>0.0</v>
      </c>
      <c r="J27" s="17">
        <v>177.0</v>
      </c>
      <c r="K27" s="18">
        <v>-2312.48</v>
      </c>
      <c r="L27" s="17">
        <v>-653.0</v>
      </c>
      <c r="M27" s="18">
        <v>-2038.87</v>
      </c>
      <c r="N27" s="18">
        <v>212.231</v>
      </c>
      <c r="O27" s="18">
        <v>3600.0</v>
      </c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0.0</v>
      </c>
      <c r="H28" s="9">
        <v>1.0</v>
      </c>
      <c r="I28" s="9">
        <v>0.0</v>
      </c>
      <c r="J28" s="17">
        <v>1925.0</v>
      </c>
      <c r="K28" s="18">
        <v>-403.724</v>
      </c>
      <c r="L28" s="17">
        <v>1520.0</v>
      </c>
      <c r="M28" s="18">
        <v>440.007</v>
      </c>
      <c r="N28" s="18">
        <v>71.0521</v>
      </c>
      <c r="O28" s="18">
        <v>3600.0</v>
      </c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0.0</v>
      </c>
      <c r="H29" s="9">
        <v>1.0</v>
      </c>
      <c r="I29" s="9">
        <v>0.0</v>
      </c>
      <c r="J29" s="17">
        <v>844.0</v>
      </c>
      <c r="K29" s="18">
        <v>-1259.22</v>
      </c>
      <c r="L29" s="17">
        <v>368.0</v>
      </c>
      <c r="M29" s="18">
        <v>-510.424</v>
      </c>
      <c r="N29" s="18">
        <v>238.702</v>
      </c>
      <c r="O29" s="18">
        <v>3600.0</v>
      </c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0.0</v>
      </c>
      <c r="H30" s="9">
        <v>1.0</v>
      </c>
      <c r="I30" s="9">
        <v>0.0</v>
      </c>
      <c r="J30" s="17">
        <v>-438.0</v>
      </c>
      <c r="K30" s="18">
        <v>-1814.19</v>
      </c>
      <c r="L30" s="17">
        <v>-499.0</v>
      </c>
      <c r="M30" s="18">
        <v>-1242.88</v>
      </c>
      <c r="N30" s="18">
        <v>149.075</v>
      </c>
      <c r="O30" s="18">
        <v>3600.0</v>
      </c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0.0</v>
      </c>
      <c r="H31" s="9">
        <v>1.0</v>
      </c>
      <c r="I31" s="9">
        <v>0.0</v>
      </c>
      <c r="J31" s="17">
        <v>-247.0</v>
      </c>
      <c r="K31" s="18">
        <v>-1654.08</v>
      </c>
      <c r="L31" s="17">
        <v>-374.0</v>
      </c>
      <c r="M31" s="18">
        <v>-1106.08</v>
      </c>
      <c r="N31" s="18">
        <v>195.742</v>
      </c>
      <c r="O31" s="18">
        <v>3600.0</v>
      </c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0.0</v>
      </c>
      <c r="H32" s="9">
        <v>1.0</v>
      </c>
      <c r="I32" s="9">
        <v>0.0</v>
      </c>
      <c r="J32" s="17">
        <v>4268.0</v>
      </c>
      <c r="K32" s="18">
        <v>1321.45</v>
      </c>
      <c r="L32" s="17">
        <v>3782.0</v>
      </c>
      <c r="M32" s="18">
        <v>2221.31</v>
      </c>
      <c r="N32" s="18">
        <v>41.2663</v>
      </c>
      <c r="O32" s="18">
        <v>3600.0</v>
      </c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0.0</v>
      </c>
      <c r="H33" s="9">
        <v>1.0</v>
      </c>
      <c r="I33" s="9">
        <v>0.0</v>
      </c>
      <c r="J33" s="17">
        <v>-734.0</v>
      </c>
      <c r="K33" s="18">
        <v>-2898.04</v>
      </c>
      <c r="L33" s="17">
        <v>-1186.0</v>
      </c>
      <c r="M33" s="18">
        <v>-2580.11</v>
      </c>
      <c r="N33" s="18">
        <v>117.547</v>
      </c>
      <c r="O33" s="18">
        <v>3600.0</v>
      </c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0.0</v>
      </c>
      <c r="H34" s="9">
        <v>1.0</v>
      </c>
      <c r="I34" s="9">
        <v>0.0</v>
      </c>
      <c r="J34" s="17">
        <v>-614.0</v>
      </c>
      <c r="K34" s="18">
        <v>-2769.01</v>
      </c>
      <c r="L34" s="17">
        <v>-1063.0</v>
      </c>
      <c r="M34" s="18">
        <v>-2518.45</v>
      </c>
      <c r="N34" s="18">
        <v>136.919</v>
      </c>
      <c r="O34" s="18">
        <v>3600.0</v>
      </c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0.0</v>
      </c>
      <c r="H35" s="9">
        <v>1.0</v>
      </c>
      <c r="I35" s="9">
        <v>0.0</v>
      </c>
      <c r="J35" s="17">
        <v>-451.0</v>
      </c>
      <c r="K35" s="18">
        <v>-2706.05</v>
      </c>
      <c r="L35" s="17">
        <v>-1063.0</v>
      </c>
      <c r="M35" s="18">
        <v>-2445.32</v>
      </c>
      <c r="N35" s="18">
        <v>130.04</v>
      </c>
      <c r="O35" s="18">
        <v>3600.0</v>
      </c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0.0</v>
      </c>
      <c r="H36" s="9">
        <v>1.0</v>
      </c>
      <c r="I36" s="9">
        <v>0.0</v>
      </c>
      <c r="J36" s="17">
        <v>-837.0</v>
      </c>
      <c r="K36" s="18">
        <v>-2657.06</v>
      </c>
      <c r="L36" s="17">
        <v>-1081.0</v>
      </c>
      <c r="M36" s="18">
        <v>-2342.71</v>
      </c>
      <c r="N36" s="18">
        <v>116.717</v>
      </c>
      <c r="O36" s="18">
        <v>3600.0</v>
      </c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0.0</v>
      </c>
      <c r="H37" s="9">
        <v>1.0</v>
      </c>
      <c r="I37" s="9">
        <v>0.0</v>
      </c>
      <c r="J37" s="17">
        <v>-374.0</v>
      </c>
      <c r="K37" s="18">
        <v>-2573.07</v>
      </c>
      <c r="L37" s="17">
        <v>-975.0</v>
      </c>
      <c r="M37" s="18">
        <v>-2148.15</v>
      </c>
      <c r="N37" s="18">
        <v>120.323</v>
      </c>
      <c r="O37" s="18">
        <v>3600.0</v>
      </c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0.0</v>
      </c>
      <c r="H38" s="9">
        <v>1.0</v>
      </c>
      <c r="I38" s="9">
        <v>0.0</v>
      </c>
      <c r="J38" s="17">
        <v>-665.0</v>
      </c>
      <c r="K38" s="18">
        <v>-2835.4</v>
      </c>
      <c r="L38" s="17">
        <v>-952.0</v>
      </c>
      <c r="M38" s="18">
        <v>-2476.29</v>
      </c>
      <c r="N38" s="18">
        <v>160.115</v>
      </c>
      <c r="O38" s="18">
        <v>3600.0</v>
      </c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0.0</v>
      </c>
      <c r="H39" s="9">
        <v>1.0</v>
      </c>
      <c r="I39" s="9">
        <v>0.0</v>
      </c>
      <c r="J39" s="17">
        <v>-605.0</v>
      </c>
      <c r="K39" s="18">
        <v>-2745.0</v>
      </c>
      <c r="L39" s="17">
        <v>-976.0</v>
      </c>
      <c r="M39" s="18">
        <v>-2438.57</v>
      </c>
      <c r="N39" s="18">
        <v>149.854</v>
      </c>
      <c r="O39" s="18">
        <v>3600.0</v>
      </c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0.0</v>
      </c>
      <c r="H40" s="9">
        <v>1.0</v>
      </c>
      <c r="I40" s="9">
        <v>0.0</v>
      </c>
      <c r="J40" s="17">
        <v>-291.0</v>
      </c>
      <c r="K40" s="18">
        <v>-2553.0</v>
      </c>
      <c r="L40" s="17">
        <v>-806.0</v>
      </c>
      <c r="M40" s="18">
        <v>-2206.42</v>
      </c>
      <c r="N40" s="18">
        <v>173.75</v>
      </c>
      <c r="O40" s="18">
        <v>3600.0</v>
      </c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0.0</v>
      </c>
      <c r="H41" s="9">
        <v>1.0</v>
      </c>
      <c r="I41" s="9">
        <v>0.0</v>
      </c>
      <c r="J41" s="17">
        <v>-149.0</v>
      </c>
      <c r="K41" s="18">
        <v>-2434.23</v>
      </c>
      <c r="L41" s="17">
        <v>-822.0</v>
      </c>
      <c r="M41" s="18">
        <v>-2175.58</v>
      </c>
      <c r="N41" s="18">
        <v>164.669</v>
      </c>
      <c r="O41" s="18">
        <v>3600.0</v>
      </c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0.0</v>
      </c>
      <c r="H42" s="9">
        <v>1.0</v>
      </c>
      <c r="I42" s="9">
        <v>0.0</v>
      </c>
      <c r="J42" s="17">
        <v>-48.0</v>
      </c>
      <c r="K42" s="18">
        <v>-2303.46</v>
      </c>
      <c r="L42" s="17">
        <v>-634.0</v>
      </c>
      <c r="M42" s="18">
        <v>-1891.22</v>
      </c>
      <c r="N42" s="18">
        <v>198.299</v>
      </c>
      <c r="O42" s="18">
        <v>3600.0</v>
      </c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0.0</v>
      </c>
      <c r="H43" s="9">
        <v>1.0</v>
      </c>
      <c r="I43" s="9">
        <v>0.0</v>
      </c>
      <c r="J43" s="17">
        <v>807.0</v>
      </c>
      <c r="K43" s="18">
        <v>-1933.89</v>
      </c>
      <c r="L43" s="17">
        <v>485.0</v>
      </c>
      <c r="M43" s="18">
        <v>-681.267</v>
      </c>
      <c r="N43" s="18">
        <v>240.468</v>
      </c>
      <c r="O43" s="18">
        <v>3600.0</v>
      </c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0.0</v>
      </c>
      <c r="H44" s="9">
        <v>1.0</v>
      </c>
      <c r="I44" s="9">
        <v>0.0</v>
      </c>
      <c r="J44" s="17">
        <v>-22.0</v>
      </c>
      <c r="K44" s="18">
        <v>-2405.0</v>
      </c>
      <c r="L44" s="17">
        <v>-234.0</v>
      </c>
      <c r="M44" s="18">
        <v>-1176.78</v>
      </c>
      <c r="N44" s="18">
        <v>402.898</v>
      </c>
      <c r="O44" s="18">
        <v>3600.0</v>
      </c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0.0</v>
      </c>
      <c r="H45" s="9">
        <v>1.0</v>
      </c>
      <c r="I45" s="9">
        <v>0.0</v>
      </c>
      <c r="J45" s="17">
        <v>2831.0</v>
      </c>
      <c r="K45" s="18">
        <v>-303.0</v>
      </c>
      <c r="L45" s="17">
        <v>2130.0</v>
      </c>
      <c r="M45" s="18">
        <v>450.828</v>
      </c>
      <c r="N45" s="18">
        <v>78.8344</v>
      </c>
      <c r="O45" s="18">
        <v>3600.0</v>
      </c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0.0</v>
      </c>
      <c r="H46" s="9">
        <v>1.0</v>
      </c>
      <c r="I46" s="9">
        <v>0.0</v>
      </c>
      <c r="J46" s="17">
        <v>4158.0</v>
      </c>
      <c r="K46" s="18">
        <v>792.875</v>
      </c>
      <c r="L46" s="17">
        <v>3663.0</v>
      </c>
      <c r="M46" s="18">
        <v>1586.96</v>
      </c>
      <c r="N46" s="18">
        <v>56.6759</v>
      </c>
      <c r="O46" s="18">
        <v>3600.0</v>
      </c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0.0</v>
      </c>
      <c r="H47" s="9">
        <v>1.0</v>
      </c>
      <c r="I47" s="9">
        <v>0.0</v>
      </c>
      <c r="J47" s="17">
        <v>5218.0</v>
      </c>
      <c r="K47" s="18">
        <v>1695.74</v>
      </c>
      <c r="L47" s="17">
        <v>4325.0</v>
      </c>
      <c r="M47" s="18">
        <v>2725.92</v>
      </c>
      <c r="N47" s="18">
        <v>36.973</v>
      </c>
      <c r="O47" s="18">
        <v>3600.0</v>
      </c>
    </row>
    <row r="48">
      <c r="A48" s="8" t="s">
        <v>233</v>
      </c>
      <c r="B48" s="9">
        <v>25.0</v>
      </c>
      <c r="C48" s="14" t="s">
        <v>234</v>
      </c>
      <c r="D48" s="9">
        <v>25.0</v>
      </c>
      <c r="E48" s="10">
        <v>0.6</v>
      </c>
      <c r="F48" s="9">
        <v>1.0</v>
      </c>
      <c r="G48" s="9">
        <v>0.0</v>
      </c>
      <c r="H48" s="9">
        <v>1.0</v>
      </c>
      <c r="I48" s="9">
        <v>0.0</v>
      </c>
      <c r="J48" s="17">
        <v>440.0</v>
      </c>
      <c r="K48" s="18">
        <v>194.68</v>
      </c>
      <c r="L48" s="17">
        <v>261.0</v>
      </c>
      <c r="M48" s="18">
        <v>195.0</v>
      </c>
      <c r="N48" s="18">
        <v>25.2874</v>
      </c>
      <c r="O48" s="18">
        <v>3600.0</v>
      </c>
    </row>
    <row r="49">
      <c r="A49" s="8" t="s">
        <v>235</v>
      </c>
      <c r="B49" s="9">
        <v>25.0</v>
      </c>
      <c r="C49" s="14" t="s">
        <v>234</v>
      </c>
      <c r="D49" s="9">
        <v>25.0</v>
      </c>
      <c r="E49" s="10">
        <v>0.6</v>
      </c>
      <c r="F49" s="9">
        <v>2.0</v>
      </c>
      <c r="G49" s="9">
        <v>0.0</v>
      </c>
      <c r="H49" s="9">
        <v>1.0</v>
      </c>
      <c r="I49" s="9">
        <v>0.0</v>
      </c>
      <c r="J49" s="17">
        <v>795.0</v>
      </c>
      <c r="K49" s="18">
        <v>177.0</v>
      </c>
      <c r="L49" s="17">
        <v>236.0</v>
      </c>
      <c r="M49" s="18">
        <v>177.0</v>
      </c>
      <c r="N49" s="18">
        <v>25.0</v>
      </c>
      <c r="O49" s="18">
        <v>3600.0</v>
      </c>
    </row>
    <row r="50">
      <c r="A50" s="8" t="s">
        <v>236</v>
      </c>
      <c r="B50" s="9">
        <v>25.0</v>
      </c>
      <c r="C50" s="14" t="s">
        <v>234</v>
      </c>
      <c r="D50" s="9">
        <v>25.0</v>
      </c>
      <c r="E50" s="10">
        <v>0.6</v>
      </c>
      <c r="F50" s="9">
        <v>3.0</v>
      </c>
      <c r="G50" s="9">
        <v>0.0</v>
      </c>
      <c r="H50" s="9">
        <v>1.0</v>
      </c>
      <c r="I50" s="9">
        <v>0.0</v>
      </c>
      <c r="J50" s="17">
        <v>552.0</v>
      </c>
      <c r="K50" s="18">
        <v>206.285</v>
      </c>
      <c r="L50" s="17">
        <v>281.0</v>
      </c>
      <c r="M50" s="18">
        <v>206.285</v>
      </c>
      <c r="N50" s="18">
        <v>26.589</v>
      </c>
      <c r="O50" s="18">
        <v>3600.0</v>
      </c>
    </row>
    <row r="51">
      <c r="A51" s="8" t="s">
        <v>237</v>
      </c>
      <c r="B51" s="9">
        <v>25.0</v>
      </c>
      <c r="C51" s="14" t="s">
        <v>234</v>
      </c>
      <c r="D51" s="9">
        <v>25.0</v>
      </c>
      <c r="E51" s="10">
        <v>0.6</v>
      </c>
      <c r="F51" s="9">
        <v>4.0</v>
      </c>
      <c r="G51" s="9">
        <v>0.0</v>
      </c>
      <c r="H51" s="9">
        <v>1.0</v>
      </c>
      <c r="I51" s="9">
        <v>0.0</v>
      </c>
      <c r="J51" s="17">
        <v>485.0</v>
      </c>
      <c r="K51" s="18">
        <v>176.724</v>
      </c>
      <c r="L51" s="17">
        <v>236.0</v>
      </c>
      <c r="M51" s="18">
        <v>177.0</v>
      </c>
      <c r="N51" s="18">
        <v>25.0</v>
      </c>
      <c r="O51" s="18">
        <v>3600.0</v>
      </c>
    </row>
    <row r="52">
      <c r="A52" s="8" t="s">
        <v>238</v>
      </c>
      <c r="B52" s="9">
        <v>25.0</v>
      </c>
      <c r="C52" s="14" t="s">
        <v>234</v>
      </c>
      <c r="D52" s="9">
        <v>25.0</v>
      </c>
      <c r="E52" s="10">
        <v>0.6</v>
      </c>
      <c r="F52" s="9">
        <v>5.0</v>
      </c>
      <c r="G52" s="9">
        <v>0.0</v>
      </c>
      <c r="H52" s="9">
        <v>1.0</v>
      </c>
      <c r="I52" s="9">
        <v>0.0</v>
      </c>
      <c r="J52" s="17">
        <v>478.0</v>
      </c>
      <c r="K52" s="18">
        <v>201.0</v>
      </c>
      <c r="L52" s="17">
        <v>268.0</v>
      </c>
      <c r="M52" s="18">
        <v>201.0</v>
      </c>
      <c r="N52" s="18">
        <v>25.0</v>
      </c>
      <c r="O52" s="18">
        <v>3600.0</v>
      </c>
    </row>
    <row r="53">
      <c r="A53" s="8" t="s">
        <v>239</v>
      </c>
      <c r="B53" s="9">
        <v>25.0</v>
      </c>
      <c r="C53" s="14" t="s">
        <v>234</v>
      </c>
      <c r="D53" s="9">
        <v>25.0</v>
      </c>
      <c r="E53" s="10">
        <v>1.0</v>
      </c>
      <c r="F53" s="9">
        <v>1.0</v>
      </c>
      <c r="G53" s="9">
        <v>0.0</v>
      </c>
      <c r="H53" s="9">
        <v>1.0</v>
      </c>
      <c r="I53" s="9">
        <v>0.0</v>
      </c>
      <c r="J53" s="17">
        <v>1677.0</v>
      </c>
      <c r="K53" s="18">
        <v>1385.44</v>
      </c>
      <c r="L53" s="17">
        <v>1390.0</v>
      </c>
      <c r="M53" s="18">
        <v>1385.44</v>
      </c>
      <c r="N53" s="18">
        <v>0.327869</v>
      </c>
      <c r="O53" s="18">
        <v>3600.0</v>
      </c>
    </row>
    <row r="54">
      <c r="A54" s="8" t="s">
        <v>240</v>
      </c>
      <c r="B54" s="9">
        <v>25.0</v>
      </c>
      <c r="C54" s="14" t="s">
        <v>234</v>
      </c>
      <c r="D54" s="9">
        <v>25.0</v>
      </c>
      <c r="E54" s="10">
        <v>1.0</v>
      </c>
      <c r="F54" s="9">
        <v>2.0</v>
      </c>
      <c r="G54" s="9">
        <v>0.0</v>
      </c>
      <c r="H54" s="9">
        <v>1.0</v>
      </c>
      <c r="I54" s="9">
        <v>0.0</v>
      </c>
      <c r="J54" s="17">
        <v>1518.0</v>
      </c>
      <c r="K54" s="18">
        <v>1265.0</v>
      </c>
      <c r="L54" s="17">
        <v>1348.0</v>
      </c>
      <c r="M54" s="18">
        <v>1265.0</v>
      </c>
      <c r="N54" s="18">
        <v>6.15727</v>
      </c>
      <c r="O54" s="18">
        <v>3600.0</v>
      </c>
    </row>
    <row r="55">
      <c r="A55" s="8" t="s">
        <v>241</v>
      </c>
      <c r="B55" s="9">
        <v>25.0</v>
      </c>
      <c r="C55" s="14" t="s">
        <v>234</v>
      </c>
      <c r="D55" s="9">
        <v>25.0</v>
      </c>
      <c r="E55" s="10">
        <v>1.0</v>
      </c>
      <c r="F55" s="9">
        <v>3.0</v>
      </c>
      <c r="G55" s="9">
        <v>0.0</v>
      </c>
      <c r="H55" s="9">
        <v>1.0</v>
      </c>
      <c r="I55" s="9">
        <v>0.0</v>
      </c>
      <c r="J55" s="17">
        <v>2409.0</v>
      </c>
      <c r="K55" s="18">
        <v>1482.29</v>
      </c>
      <c r="L55" s="17">
        <v>1515.0</v>
      </c>
      <c r="M55" s="18">
        <v>1482.29</v>
      </c>
      <c r="N55" s="18">
        <v>2.15887</v>
      </c>
      <c r="O55" s="18">
        <v>3600.0</v>
      </c>
    </row>
    <row r="56">
      <c r="A56" s="8" t="s">
        <v>242</v>
      </c>
      <c r="B56" s="9">
        <v>25.0</v>
      </c>
      <c r="C56" s="14" t="s">
        <v>234</v>
      </c>
      <c r="D56" s="9">
        <v>25.0</v>
      </c>
      <c r="E56" s="10">
        <v>1.0</v>
      </c>
      <c r="F56" s="9">
        <v>4.0</v>
      </c>
      <c r="G56" s="9">
        <v>0.0</v>
      </c>
      <c r="H56" s="9">
        <v>1.0</v>
      </c>
      <c r="I56" s="9">
        <v>0.0</v>
      </c>
      <c r="J56" s="17">
        <v>2108.0</v>
      </c>
      <c r="K56" s="18">
        <v>1257.16</v>
      </c>
      <c r="L56" s="17">
        <v>1265.0</v>
      </c>
      <c r="M56" s="18">
        <v>1257.16</v>
      </c>
      <c r="N56" s="18">
        <v>0.620155</v>
      </c>
      <c r="O56" s="18">
        <v>3600.0</v>
      </c>
    </row>
    <row r="57">
      <c r="A57" s="8" t="s">
        <v>243</v>
      </c>
      <c r="B57" s="9">
        <v>25.0</v>
      </c>
      <c r="C57" s="14" t="s">
        <v>234</v>
      </c>
      <c r="D57" s="9">
        <v>25.0</v>
      </c>
      <c r="E57" s="10">
        <v>1.0</v>
      </c>
      <c r="F57" s="9">
        <v>5.0</v>
      </c>
      <c r="G57" s="9">
        <v>0.0</v>
      </c>
      <c r="H57" s="9">
        <v>1.0</v>
      </c>
      <c r="I57" s="9">
        <v>0.0</v>
      </c>
      <c r="J57" s="17">
        <v>2383.0</v>
      </c>
      <c r="K57" s="18">
        <v>1421.06</v>
      </c>
      <c r="L57" s="17">
        <v>1435.0</v>
      </c>
      <c r="M57" s="18">
        <v>1421.06</v>
      </c>
      <c r="N57" s="18">
        <v>0.971254</v>
      </c>
      <c r="O57" s="18">
        <v>3600.0</v>
      </c>
    </row>
    <row r="58">
      <c r="A58" s="8" t="s">
        <v>244</v>
      </c>
      <c r="B58" s="9">
        <v>25.0</v>
      </c>
      <c r="C58" s="14" t="s">
        <v>234</v>
      </c>
      <c r="D58" s="9">
        <v>25.0</v>
      </c>
      <c r="E58" s="10">
        <v>2.0</v>
      </c>
      <c r="F58" s="9">
        <v>1.0</v>
      </c>
      <c r="G58" s="9">
        <v>0.0</v>
      </c>
      <c r="H58" s="9">
        <v>1.0</v>
      </c>
      <c r="I58" s="9">
        <v>0.0</v>
      </c>
      <c r="J58" s="17">
        <v>20955.0</v>
      </c>
      <c r="K58" s="18">
        <v>18987.5</v>
      </c>
      <c r="L58" s="17">
        <v>20955.0</v>
      </c>
      <c r="M58" s="18">
        <v>18987.5</v>
      </c>
      <c r="N58" s="18">
        <v>9.38897</v>
      </c>
      <c r="O58" s="18">
        <v>3600.0</v>
      </c>
    </row>
    <row r="59">
      <c r="A59" s="8" t="s">
        <v>245</v>
      </c>
      <c r="B59" s="9">
        <v>25.0</v>
      </c>
      <c r="C59" s="14" t="s">
        <v>234</v>
      </c>
      <c r="D59" s="9">
        <v>25.0</v>
      </c>
      <c r="E59" s="10">
        <v>2.0</v>
      </c>
      <c r="F59" s="9">
        <v>2.0</v>
      </c>
      <c r="G59" s="9">
        <v>0.0</v>
      </c>
      <c r="H59" s="9">
        <v>1.0</v>
      </c>
      <c r="I59" s="9">
        <v>0.0</v>
      </c>
      <c r="J59" s="17">
        <v>22555.0</v>
      </c>
      <c r="K59" s="18">
        <v>17350.0</v>
      </c>
      <c r="L59" s="17">
        <v>22555.0</v>
      </c>
      <c r="M59" s="18">
        <v>17350.0</v>
      </c>
      <c r="N59" s="18">
        <v>23.0769</v>
      </c>
      <c r="O59" s="18">
        <v>3600.0</v>
      </c>
    </row>
    <row r="60">
      <c r="A60" s="8" t="s">
        <v>246</v>
      </c>
      <c r="B60" s="9">
        <v>25.0</v>
      </c>
      <c r="C60" s="14" t="s">
        <v>234</v>
      </c>
      <c r="D60" s="9">
        <v>25.0</v>
      </c>
      <c r="E60" s="10">
        <v>2.0</v>
      </c>
      <c r="F60" s="9">
        <v>3.0</v>
      </c>
      <c r="G60" s="9">
        <v>0.0</v>
      </c>
      <c r="H60" s="9">
        <v>1.0</v>
      </c>
      <c r="I60" s="9">
        <v>0.0</v>
      </c>
      <c r="J60" s="17">
        <v>22449.0</v>
      </c>
      <c r="K60" s="18">
        <v>20294.5</v>
      </c>
      <c r="L60" s="17">
        <v>22440.0</v>
      </c>
      <c r="M60" s="18">
        <v>20294.5</v>
      </c>
      <c r="N60" s="18">
        <v>9.56113</v>
      </c>
      <c r="O60" s="18">
        <v>3600.0</v>
      </c>
    </row>
    <row r="61">
      <c r="A61" s="8" t="s">
        <v>247</v>
      </c>
      <c r="B61" s="9">
        <v>25.0</v>
      </c>
      <c r="C61" s="14" t="s">
        <v>234</v>
      </c>
      <c r="D61" s="9">
        <v>25.0</v>
      </c>
      <c r="E61" s="10">
        <v>2.0</v>
      </c>
      <c r="F61" s="9">
        <v>4.0</v>
      </c>
      <c r="G61" s="9">
        <v>0.0</v>
      </c>
      <c r="H61" s="9">
        <v>1.0</v>
      </c>
      <c r="I61" s="9">
        <v>0.0</v>
      </c>
      <c r="J61" s="17">
        <v>19085.0</v>
      </c>
      <c r="K61" s="18">
        <v>17109.8</v>
      </c>
      <c r="L61" s="17">
        <v>17350.0</v>
      </c>
      <c r="M61" s="18">
        <v>17109.8</v>
      </c>
      <c r="N61" s="18">
        <v>1.38462</v>
      </c>
      <c r="O61" s="18">
        <v>3600.0</v>
      </c>
    </row>
    <row r="62">
      <c r="A62" s="8" t="s">
        <v>248</v>
      </c>
      <c r="B62" s="9">
        <v>25.0</v>
      </c>
      <c r="C62" s="14" t="s">
        <v>234</v>
      </c>
      <c r="D62" s="9">
        <v>25.0</v>
      </c>
      <c r="E62" s="10">
        <v>2.0</v>
      </c>
      <c r="F62" s="9">
        <v>5.0</v>
      </c>
      <c r="G62" s="9">
        <v>0.0</v>
      </c>
      <c r="H62" s="9">
        <v>1.0</v>
      </c>
      <c r="I62" s="9">
        <v>0.0</v>
      </c>
      <c r="J62" s="17">
        <v>21538.0</v>
      </c>
      <c r="K62" s="18">
        <v>19457.6</v>
      </c>
      <c r="L62" s="17">
        <v>19638.0</v>
      </c>
      <c r="M62" s="18">
        <v>19457.6</v>
      </c>
      <c r="N62" s="18">
        <v>0.9185</v>
      </c>
      <c r="O62" s="18">
        <v>3600.0</v>
      </c>
    </row>
    <row r="63">
      <c r="A63" s="8" t="s">
        <v>249</v>
      </c>
      <c r="B63" s="9">
        <v>25.0</v>
      </c>
      <c r="C63" s="14" t="s">
        <v>234</v>
      </c>
      <c r="D63" s="9">
        <v>50.0</v>
      </c>
      <c r="E63" s="10">
        <v>0.6</v>
      </c>
      <c r="F63" s="9">
        <v>1.0</v>
      </c>
      <c r="G63" s="9">
        <v>0.0</v>
      </c>
      <c r="H63" s="9">
        <v>1.0</v>
      </c>
      <c r="I63" s="9">
        <v>0.0</v>
      </c>
      <c r="J63" s="17">
        <v>1098.0</v>
      </c>
      <c r="K63" s="18">
        <v>332.488</v>
      </c>
      <c r="L63" s="17">
        <v>627.0</v>
      </c>
      <c r="M63" s="18">
        <v>366.163</v>
      </c>
      <c r="N63" s="18">
        <v>41.6007</v>
      </c>
      <c r="O63" s="18">
        <v>3600.0</v>
      </c>
    </row>
    <row r="64">
      <c r="A64" s="8" t="s">
        <v>250</v>
      </c>
      <c r="B64" s="9">
        <v>25.0</v>
      </c>
      <c r="C64" s="14" t="s">
        <v>234</v>
      </c>
      <c r="D64" s="9">
        <v>50.0</v>
      </c>
      <c r="E64" s="10">
        <v>0.6</v>
      </c>
      <c r="F64" s="9">
        <v>2.0</v>
      </c>
      <c r="G64" s="9">
        <v>0.0</v>
      </c>
      <c r="H64" s="9">
        <v>1.0</v>
      </c>
      <c r="I64" s="9">
        <v>0.0</v>
      </c>
      <c r="J64" s="17">
        <v>1681.0</v>
      </c>
      <c r="K64" s="18">
        <v>381.0</v>
      </c>
      <c r="L64" s="17">
        <v>769.0</v>
      </c>
      <c r="M64" s="18">
        <v>406.167</v>
      </c>
      <c r="N64" s="18">
        <v>47.1825</v>
      </c>
      <c r="O64" s="18">
        <v>3600.0</v>
      </c>
    </row>
    <row r="65">
      <c r="A65" s="8" t="s">
        <v>251</v>
      </c>
      <c r="B65" s="9">
        <v>25.0</v>
      </c>
      <c r="C65" s="14" t="s">
        <v>234</v>
      </c>
      <c r="D65" s="9">
        <v>50.0</v>
      </c>
      <c r="E65" s="10">
        <v>0.6</v>
      </c>
      <c r="F65" s="9">
        <v>3.0</v>
      </c>
      <c r="G65" s="9">
        <v>0.0</v>
      </c>
      <c r="H65" s="9">
        <v>1.0</v>
      </c>
      <c r="I65" s="9">
        <v>0.0</v>
      </c>
      <c r="J65" s="17">
        <v>2150.0</v>
      </c>
      <c r="K65" s="18">
        <v>319.946</v>
      </c>
      <c r="L65" s="17">
        <v>605.0</v>
      </c>
      <c r="M65" s="18">
        <v>325.744</v>
      </c>
      <c r="N65" s="18">
        <v>46.158</v>
      </c>
      <c r="O65" s="18">
        <v>3600.0</v>
      </c>
    </row>
    <row r="66">
      <c r="A66" s="8" t="s">
        <v>252</v>
      </c>
      <c r="B66" s="9">
        <v>25.0</v>
      </c>
      <c r="C66" s="14" t="s">
        <v>234</v>
      </c>
      <c r="D66" s="9">
        <v>50.0</v>
      </c>
      <c r="E66" s="10">
        <v>0.6</v>
      </c>
      <c r="F66" s="9">
        <v>4.0</v>
      </c>
      <c r="G66" s="9">
        <v>0.0</v>
      </c>
      <c r="H66" s="9">
        <v>1.0</v>
      </c>
      <c r="I66" s="9">
        <v>0.0</v>
      </c>
      <c r="J66" s="17">
        <v>1060.0</v>
      </c>
      <c r="K66" s="18">
        <v>323.107</v>
      </c>
      <c r="L66" s="17">
        <v>552.0</v>
      </c>
      <c r="M66" s="18">
        <v>334.194</v>
      </c>
      <c r="N66" s="18">
        <v>39.4576</v>
      </c>
      <c r="O66" s="18">
        <v>3600.0</v>
      </c>
    </row>
    <row r="67">
      <c r="A67" s="8" t="s">
        <v>253</v>
      </c>
      <c r="B67" s="9">
        <v>25.0</v>
      </c>
      <c r="C67" s="14" t="s">
        <v>234</v>
      </c>
      <c r="D67" s="9">
        <v>50.0</v>
      </c>
      <c r="E67" s="10">
        <v>0.6</v>
      </c>
      <c r="F67" s="9">
        <v>5.0</v>
      </c>
      <c r="G67" s="9">
        <v>0.0</v>
      </c>
      <c r="H67" s="9">
        <v>1.0</v>
      </c>
      <c r="I67" s="9">
        <v>0.0</v>
      </c>
      <c r="J67" s="17">
        <v>1174.0</v>
      </c>
      <c r="K67" s="18">
        <v>311.512</v>
      </c>
      <c r="L67" s="17">
        <v>553.0</v>
      </c>
      <c r="M67" s="18">
        <v>317.488</v>
      </c>
      <c r="N67" s="18">
        <v>42.588</v>
      </c>
      <c r="O67" s="18">
        <v>3600.0</v>
      </c>
    </row>
    <row r="68">
      <c r="A68" s="8" t="s">
        <v>254</v>
      </c>
      <c r="B68" s="9">
        <v>25.0</v>
      </c>
      <c r="C68" s="14" t="s">
        <v>234</v>
      </c>
      <c r="D68" s="9">
        <v>50.0</v>
      </c>
      <c r="E68" s="10">
        <v>1.0</v>
      </c>
      <c r="F68" s="9">
        <v>1.0</v>
      </c>
      <c r="G68" s="9">
        <v>0.0</v>
      </c>
      <c r="H68" s="9">
        <v>1.0</v>
      </c>
      <c r="I68" s="9">
        <v>0.0</v>
      </c>
      <c r="J68" s="17">
        <v>3983.0</v>
      </c>
      <c r="K68" s="18">
        <v>2385.0</v>
      </c>
      <c r="L68" s="17">
        <v>2792.0</v>
      </c>
      <c r="M68" s="18">
        <v>2385.0</v>
      </c>
      <c r="N68" s="18">
        <v>14.5774</v>
      </c>
      <c r="O68" s="18">
        <v>3600.0</v>
      </c>
    </row>
    <row r="69">
      <c r="A69" s="8" t="s">
        <v>255</v>
      </c>
      <c r="B69" s="9">
        <v>25.0</v>
      </c>
      <c r="C69" s="14" t="s">
        <v>234</v>
      </c>
      <c r="D69" s="9">
        <v>50.0</v>
      </c>
      <c r="E69" s="10">
        <v>1.0</v>
      </c>
      <c r="F69" s="9">
        <v>2.0</v>
      </c>
      <c r="G69" s="9">
        <v>0.0</v>
      </c>
      <c r="H69" s="9">
        <v>1.0</v>
      </c>
      <c r="I69" s="9">
        <v>0.0</v>
      </c>
      <c r="J69" s="17">
        <v>4984.0</v>
      </c>
      <c r="K69" s="18">
        <v>2718.67</v>
      </c>
      <c r="L69" s="17">
        <v>3096.0</v>
      </c>
      <c r="M69" s="18">
        <v>2718.67</v>
      </c>
      <c r="N69" s="18">
        <v>12.1876</v>
      </c>
      <c r="O69" s="18">
        <v>3600.0</v>
      </c>
    </row>
    <row r="70">
      <c r="A70" s="8" t="s">
        <v>256</v>
      </c>
      <c r="B70" s="9">
        <v>25.0</v>
      </c>
      <c r="C70" s="14" t="s">
        <v>234</v>
      </c>
      <c r="D70" s="9">
        <v>50.0</v>
      </c>
      <c r="E70" s="10">
        <v>1.0</v>
      </c>
      <c r="F70" s="9">
        <v>3.0</v>
      </c>
      <c r="G70" s="9">
        <v>0.0</v>
      </c>
      <c r="H70" s="9">
        <v>1.0</v>
      </c>
      <c r="I70" s="9">
        <v>0.0</v>
      </c>
      <c r="J70" s="17">
        <v>3727.0</v>
      </c>
      <c r="K70" s="18">
        <v>2298.64</v>
      </c>
      <c r="L70" s="17">
        <v>2532.0</v>
      </c>
      <c r="M70" s="18">
        <v>2298.64</v>
      </c>
      <c r="N70" s="18">
        <v>9.21646</v>
      </c>
      <c r="O70" s="18">
        <v>3600.0</v>
      </c>
    </row>
    <row r="71">
      <c r="A71" s="8" t="s">
        <v>257</v>
      </c>
      <c r="B71" s="9">
        <v>25.0</v>
      </c>
      <c r="C71" s="14" t="s">
        <v>234</v>
      </c>
      <c r="D71" s="9">
        <v>50.0</v>
      </c>
      <c r="E71" s="10">
        <v>1.0</v>
      </c>
      <c r="F71" s="9">
        <v>4.0</v>
      </c>
      <c r="G71" s="9">
        <v>0.0</v>
      </c>
      <c r="H71" s="9">
        <v>1.0</v>
      </c>
      <c r="I71" s="9">
        <v>0.0</v>
      </c>
      <c r="J71" s="17">
        <v>3033.0</v>
      </c>
      <c r="K71" s="18">
        <v>2316.8</v>
      </c>
      <c r="L71" s="17">
        <v>2601.0</v>
      </c>
      <c r="M71" s="18">
        <v>2316.8</v>
      </c>
      <c r="N71" s="18">
        <v>10.9266</v>
      </c>
      <c r="O71" s="18">
        <v>3600.0</v>
      </c>
    </row>
    <row r="72">
      <c r="A72" s="8" t="s">
        <v>258</v>
      </c>
      <c r="B72" s="9">
        <v>25.0</v>
      </c>
      <c r="C72" s="14" t="s">
        <v>234</v>
      </c>
      <c r="D72" s="9">
        <v>50.0</v>
      </c>
      <c r="E72" s="10">
        <v>1.0</v>
      </c>
      <c r="F72" s="9">
        <v>5.0</v>
      </c>
      <c r="G72" s="9">
        <v>0.0</v>
      </c>
      <c r="H72" s="9">
        <v>1.0</v>
      </c>
      <c r="I72" s="9">
        <v>0.0</v>
      </c>
      <c r="J72" s="17">
        <v>3328.0</v>
      </c>
      <c r="K72" s="18">
        <v>2237.98</v>
      </c>
      <c r="L72" s="17">
        <v>2419.0</v>
      </c>
      <c r="M72" s="18">
        <v>2237.98</v>
      </c>
      <c r="N72" s="18">
        <v>7.48308</v>
      </c>
      <c r="O72" s="18">
        <v>3600.0</v>
      </c>
    </row>
    <row r="73">
      <c r="A73" s="8" t="s">
        <v>259</v>
      </c>
      <c r="B73" s="9">
        <v>25.0</v>
      </c>
      <c r="C73" s="14" t="s">
        <v>234</v>
      </c>
      <c r="D73" s="9">
        <v>50.0</v>
      </c>
      <c r="E73" s="10">
        <v>2.0</v>
      </c>
      <c r="F73" s="9">
        <v>1.0</v>
      </c>
      <c r="G73" s="9">
        <v>0.0</v>
      </c>
      <c r="H73" s="9">
        <v>1.0</v>
      </c>
      <c r="I73" s="9">
        <v>0.0</v>
      </c>
      <c r="J73" s="17">
        <v>35996.0</v>
      </c>
      <c r="K73" s="18">
        <v>32680.0</v>
      </c>
      <c r="L73" s="17">
        <v>35948.0</v>
      </c>
      <c r="M73" s="18">
        <v>32680.0</v>
      </c>
      <c r="N73" s="18">
        <v>9.09091</v>
      </c>
      <c r="O73" s="18">
        <v>3600.0</v>
      </c>
    </row>
    <row r="74">
      <c r="A74" s="8" t="s">
        <v>260</v>
      </c>
      <c r="B74" s="9">
        <v>25.0</v>
      </c>
      <c r="C74" s="14" t="s">
        <v>234</v>
      </c>
      <c r="D74" s="9">
        <v>50.0</v>
      </c>
      <c r="E74" s="10">
        <v>2.0</v>
      </c>
      <c r="F74" s="9">
        <v>2.0</v>
      </c>
      <c r="G74" s="9">
        <v>0.0</v>
      </c>
      <c r="H74" s="9">
        <v>1.0</v>
      </c>
      <c r="I74" s="9">
        <v>0.0</v>
      </c>
      <c r="J74" s="17">
        <v>41345.0</v>
      </c>
      <c r="K74" s="18">
        <v>37276.1</v>
      </c>
      <c r="L74" s="17">
        <v>37779.0</v>
      </c>
      <c r="M74" s="18">
        <v>37276.1</v>
      </c>
      <c r="N74" s="18">
        <v>1.33111</v>
      </c>
      <c r="O74" s="18">
        <v>3600.0</v>
      </c>
    </row>
    <row r="75">
      <c r="A75" s="8" t="s">
        <v>261</v>
      </c>
      <c r="B75" s="9">
        <v>25.0</v>
      </c>
      <c r="C75" s="14" t="s">
        <v>234</v>
      </c>
      <c r="D75" s="9">
        <v>50.0</v>
      </c>
      <c r="E75" s="10">
        <v>2.0</v>
      </c>
      <c r="F75" s="9">
        <v>3.0</v>
      </c>
      <c r="G75" s="9">
        <v>0.0</v>
      </c>
      <c r="H75" s="9">
        <v>1.0</v>
      </c>
      <c r="I75" s="9">
        <v>0.0</v>
      </c>
      <c r="J75" s="17">
        <v>34848.0</v>
      </c>
      <c r="K75" s="18">
        <v>31524.2</v>
      </c>
      <c r="L75" s="17">
        <v>34848.0</v>
      </c>
      <c r="M75" s="18">
        <v>31524.2</v>
      </c>
      <c r="N75" s="18">
        <v>9.538</v>
      </c>
      <c r="O75" s="18">
        <v>3600.0</v>
      </c>
    </row>
    <row r="76">
      <c r="A76" s="8" t="s">
        <v>262</v>
      </c>
      <c r="B76" s="9">
        <v>25.0</v>
      </c>
      <c r="C76" s="14" t="s">
        <v>234</v>
      </c>
      <c r="D76" s="9">
        <v>50.0</v>
      </c>
      <c r="E76" s="10">
        <v>2.0</v>
      </c>
      <c r="F76" s="9">
        <v>4.0</v>
      </c>
      <c r="G76" s="9">
        <v>0.0</v>
      </c>
      <c r="H76" s="9">
        <v>1.0</v>
      </c>
      <c r="I76" s="9">
        <v>0.0</v>
      </c>
      <c r="J76" s="17">
        <v>34963.0</v>
      </c>
      <c r="K76" s="18">
        <v>31518.8</v>
      </c>
      <c r="L76" s="17">
        <v>31879.0</v>
      </c>
      <c r="M76" s="18">
        <v>31518.8</v>
      </c>
      <c r="N76" s="18">
        <v>1.12991</v>
      </c>
      <c r="O76" s="18">
        <v>3600.0</v>
      </c>
    </row>
    <row r="77">
      <c r="A77" s="8" t="s">
        <v>263</v>
      </c>
      <c r="B77" s="9">
        <v>25.0</v>
      </c>
      <c r="C77" s="14" t="s">
        <v>234</v>
      </c>
      <c r="D77" s="9">
        <v>50.0</v>
      </c>
      <c r="E77" s="10">
        <v>2.0</v>
      </c>
      <c r="F77" s="9">
        <v>5.0</v>
      </c>
      <c r="G77" s="9">
        <v>0.0</v>
      </c>
      <c r="H77" s="9">
        <v>1.0</v>
      </c>
      <c r="I77" s="9">
        <v>0.0</v>
      </c>
      <c r="J77" s="17">
        <v>36936.0</v>
      </c>
      <c r="K77" s="18">
        <v>30683.8</v>
      </c>
      <c r="L77" s="17">
        <v>33939.0</v>
      </c>
      <c r="M77" s="18">
        <v>30683.8</v>
      </c>
      <c r="N77" s="18">
        <v>9.59129</v>
      </c>
      <c r="O77" s="18">
        <v>3600.0</v>
      </c>
    </row>
    <row r="78">
      <c r="A78" s="8" t="s">
        <v>264</v>
      </c>
      <c r="B78" s="9">
        <v>25.0</v>
      </c>
      <c r="C78" s="14" t="s">
        <v>234</v>
      </c>
      <c r="D78" s="9">
        <v>75.0</v>
      </c>
      <c r="E78" s="10">
        <v>0.6</v>
      </c>
      <c r="F78" s="9">
        <v>1.0</v>
      </c>
      <c r="G78" s="9">
        <v>0.0</v>
      </c>
      <c r="H78" s="9">
        <v>1.0</v>
      </c>
      <c r="I78" s="9">
        <v>0.0</v>
      </c>
      <c r="J78" s="17">
        <v>3223.0</v>
      </c>
      <c r="K78" s="18">
        <v>536.032</v>
      </c>
      <c r="L78" s="17">
        <v>1462.0</v>
      </c>
      <c r="M78" s="18">
        <v>630.068</v>
      </c>
      <c r="N78" s="18">
        <v>56.9037</v>
      </c>
      <c r="O78" s="18">
        <v>3600.0</v>
      </c>
    </row>
    <row r="79">
      <c r="A79" s="8" t="s">
        <v>265</v>
      </c>
      <c r="B79" s="9">
        <v>25.0</v>
      </c>
      <c r="C79" s="14" t="s">
        <v>234</v>
      </c>
      <c r="D79" s="9">
        <v>75.0</v>
      </c>
      <c r="E79" s="10">
        <v>0.6</v>
      </c>
      <c r="F79" s="9">
        <v>2.0</v>
      </c>
      <c r="G79" s="9">
        <v>0.0</v>
      </c>
      <c r="H79" s="9">
        <v>1.0</v>
      </c>
      <c r="I79" s="9">
        <v>0.0</v>
      </c>
      <c r="J79" s="17">
        <v>2178.0</v>
      </c>
      <c r="K79" s="18">
        <v>516.0</v>
      </c>
      <c r="L79" s="17">
        <v>1230.0</v>
      </c>
      <c r="M79" s="18">
        <v>590.333</v>
      </c>
      <c r="N79" s="18">
        <v>52.0054</v>
      </c>
      <c r="O79" s="18">
        <v>3600.0</v>
      </c>
    </row>
    <row r="80">
      <c r="A80" s="8" t="s">
        <v>266</v>
      </c>
      <c r="B80" s="9">
        <v>25.0</v>
      </c>
      <c r="C80" s="14" t="s">
        <v>234</v>
      </c>
      <c r="D80" s="9">
        <v>75.0</v>
      </c>
      <c r="E80" s="10">
        <v>0.6</v>
      </c>
      <c r="F80" s="9">
        <v>3.0</v>
      </c>
      <c r="G80" s="9">
        <v>0.0</v>
      </c>
      <c r="H80" s="9">
        <v>1.0</v>
      </c>
      <c r="I80" s="9">
        <v>0.0</v>
      </c>
      <c r="J80" s="17">
        <v>2076.0</v>
      </c>
      <c r="K80" s="18">
        <v>513.0</v>
      </c>
      <c r="L80" s="17">
        <v>1339.0</v>
      </c>
      <c r="M80" s="18">
        <v>583.462</v>
      </c>
      <c r="N80" s="18">
        <v>56.4255</v>
      </c>
      <c r="O80" s="18">
        <v>3600.0</v>
      </c>
    </row>
    <row r="81">
      <c r="A81" s="8" t="s">
        <v>267</v>
      </c>
      <c r="B81" s="9">
        <v>25.0</v>
      </c>
      <c r="C81" s="14" t="s">
        <v>234</v>
      </c>
      <c r="D81" s="9">
        <v>75.0</v>
      </c>
      <c r="E81" s="10">
        <v>0.6</v>
      </c>
      <c r="F81" s="9">
        <v>4.0</v>
      </c>
      <c r="G81" s="9">
        <v>0.0</v>
      </c>
      <c r="H81" s="9">
        <v>1.0</v>
      </c>
      <c r="I81" s="9">
        <v>0.0</v>
      </c>
      <c r="J81" s="17">
        <v>2612.0</v>
      </c>
      <c r="K81" s="18">
        <v>525.0</v>
      </c>
      <c r="L81" s="17">
        <v>1308.0</v>
      </c>
      <c r="M81" s="18">
        <v>592.41</v>
      </c>
      <c r="N81" s="18">
        <v>54.7088</v>
      </c>
      <c r="O81" s="18">
        <v>3600.0</v>
      </c>
    </row>
    <row r="82">
      <c r="A82" s="8" t="s">
        <v>268</v>
      </c>
      <c r="B82" s="9">
        <v>25.0</v>
      </c>
      <c r="C82" s="14" t="s">
        <v>234</v>
      </c>
      <c r="D82" s="9">
        <v>75.0</v>
      </c>
      <c r="E82" s="10">
        <v>0.6</v>
      </c>
      <c r="F82" s="9">
        <v>5.0</v>
      </c>
      <c r="G82" s="9">
        <v>0.0</v>
      </c>
      <c r="H82" s="9">
        <v>1.0</v>
      </c>
      <c r="I82" s="9">
        <v>0.0</v>
      </c>
      <c r="J82" s="17">
        <v>1868.0</v>
      </c>
      <c r="K82" s="18">
        <v>519.0</v>
      </c>
      <c r="L82" s="17">
        <v>1357.0</v>
      </c>
      <c r="M82" s="18">
        <v>579.349</v>
      </c>
      <c r="N82" s="18">
        <v>57.3066</v>
      </c>
      <c r="O82" s="18">
        <v>3600.0</v>
      </c>
    </row>
    <row r="83">
      <c r="A83" s="8" t="s">
        <v>269</v>
      </c>
      <c r="B83" s="9">
        <v>25.0</v>
      </c>
      <c r="C83" s="14" t="s">
        <v>234</v>
      </c>
      <c r="D83" s="9">
        <v>75.0</v>
      </c>
      <c r="E83" s="10">
        <v>1.0</v>
      </c>
      <c r="F83" s="9">
        <v>1.0</v>
      </c>
      <c r="G83" s="9">
        <v>0.0</v>
      </c>
      <c r="H83" s="9">
        <v>1.0</v>
      </c>
      <c r="I83" s="9">
        <v>0.0</v>
      </c>
      <c r="J83" s="17">
        <v>5992.0</v>
      </c>
      <c r="K83" s="18">
        <v>3853.05</v>
      </c>
      <c r="L83" s="17">
        <v>5024.0</v>
      </c>
      <c r="M83" s="18">
        <v>3865.61</v>
      </c>
      <c r="N83" s="18">
        <v>23.0572</v>
      </c>
      <c r="O83" s="18">
        <v>3600.0</v>
      </c>
    </row>
    <row r="84">
      <c r="A84" s="8" t="s">
        <v>270</v>
      </c>
      <c r="B84" s="9">
        <v>25.0</v>
      </c>
      <c r="C84" s="14" t="s">
        <v>234</v>
      </c>
      <c r="D84" s="9">
        <v>75.0</v>
      </c>
      <c r="E84" s="10">
        <v>1.0</v>
      </c>
      <c r="F84" s="9">
        <v>2.0</v>
      </c>
      <c r="G84" s="9">
        <v>0.0</v>
      </c>
      <c r="H84" s="9">
        <v>1.0</v>
      </c>
      <c r="I84" s="9">
        <v>0.0</v>
      </c>
      <c r="J84" s="17">
        <v>7768.0</v>
      </c>
      <c r="K84" s="18">
        <v>3705.0</v>
      </c>
      <c r="L84" s="17">
        <v>4645.0</v>
      </c>
      <c r="M84" s="18">
        <v>3710.42</v>
      </c>
      <c r="N84" s="18">
        <v>20.1202</v>
      </c>
      <c r="O84" s="18">
        <v>3600.0</v>
      </c>
    </row>
    <row r="85">
      <c r="A85" s="8" t="s">
        <v>271</v>
      </c>
      <c r="B85" s="9">
        <v>25.0</v>
      </c>
      <c r="C85" s="14" t="s">
        <v>234</v>
      </c>
      <c r="D85" s="9">
        <v>75.0</v>
      </c>
      <c r="E85" s="10">
        <v>1.0</v>
      </c>
      <c r="F85" s="9">
        <v>3.0</v>
      </c>
      <c r="G85" s="9">
        <v>0.0</v>
      </c>
      <c r="H85" s="9">
        <v>1.0</v>
      </c>
      <c r="I85" s="9">
        <v>0.0</v>
      </c>
      <c r="J85" s="17">
        <v>5770.0</v>
      </c>
      <c r="K85" s="18">
        <v>3671.55</v>
      </c>
      <c r="L85" s="17">
        <v>4726.0</v>
      </c>
      <c r="M85" s="18">
        <v>3672.84</v>
      </c>
      <c r="N85" s="18">
        <v>22.2845</v>
      </c>
      <c r="O85" s="18">
        <v>3600.0</v>
      </c>
    </row>
    <row r="86">
      <c r="A86" s="8" t="s">
        <v>272</v>
      </c>
      <c r="B86" s="9">
        <v>25.0</v>
      </c>
      <c r="C86" s="14" t="s">
        <v>234</v>
      </c>
      <c r="D86" s="9">
        <v>75.0</v>
      </c>
      <c r="E86" s="10">
        <v>1.0</v>
      </c>
      <c r="F86" s="9">
        <v>4.0</v>
      </c>
      <c r="G86" s="9">
        <v>0.0</v>
      </c>
      <c r="H86" s="9">
        <v>1.0</v>
      </c>
      <c r="I86" s="9">
        <v>0.0</v>
      </c>
      <c r="J86" s="17">
        <v>7165.0</v>
      </c>
      <c r="K86" s="18">
        <v>3763.65</v>
      </c>
      <c r="L86" s="17">
        <v>4803.0</v>
      </c>
      <c r="M86" s="18">
        <v>3767.8</v>
      </c>
      <c r="N86" s="18">
        <v>21.5532</v>
      </c>
      <c r="O86" s="18">
        <v>3600.0</v>
      </c>
    </row>
    <row r="87">
      <c r="A87" s="8" t="s">
        <v>273</v>
      </c>
      <c r="B87" s="9">
        <v>25.0</v>
      </c>
      <c r="C87" s="14" t="s">
        <v>234</v>
      </c>
      <c r="D87" s="9">
        <v>75.0</v>
      </c>
      <c r="E87" s="10">
        <v>1.0</v>
      </c>
      <c r="F87" s="9">
        <v>5.0</v>
      </c>
      <c r="G87" s="9">
        <v>0.0</v>
      </c>
      <c r="H87" s="9">
        <v>1.0</v>
      </c>
      <c r="I87" s="9">
        <v>0.0</v>
      </c>
      <c r="J87" s="17">
        <v>6695.0</v>
      </c>
      <c r="K87" s="18">
        <v>3725.0</v>
      </c>
      <c r="L87" s="17">
        <v>4798.0</v>
      </c>
      <c r="M87" s="18">
        <v>3725.0</v>
      </c>
      <c r="N87" s="18">
        <v>22.3635</v>
      </c>
      <c r="O87" s="18">
        <v>3600.0</v>
      </c>
    </row>
    <row r="88">
      <c r="A88" s="8" t="s">
        <v>274</v>
      </c>
      <c r="B88" s="9">
        <v>25.0</v>
      </c>
      <c r="C88" s="14" t="s">
        <v>234</v>
      </c>
      <c r="D88" s="9">
        <v>75.0</v>
      </c>
      <c r="E88" s="10">
        <v>2.0</v>
      </c>
      <c r="F88" s="9">
        <v>1.0</v>
      </c>
      <c r="G88" s="9">
        <v>0.0</v>
      </c>
      <c r="H88" s="9">
        <v>1.0</v>
      </c>
      <c r="I88" s="9">
        <v>0.0</v>
      </c>
      <c r="J88" s="17">
        <v>58356.0</v>
      </c>
      <c r="K88" s="18">
        <v>52343.1</v>
      </c>
      <c r="L88" s="17">
        <v>58230.0</v>
      </c>
      <c r="M88" s="18">
        <v>52448.6</v>
      </c>
      <c r="N88" s="18">
        <v>9.92858</v>
      </c>
      <c r="O88" s="18">
        <v>3600.0</v>
      </c>
    </row>
    <row r="89">
      <c r="A89" s="8" t="s">
        <v>275</v>
      </c>
      <c r="B89" s="9">
        <v>25.0</v>
      </c>
      <c r="C89" s="14" t="s">
        <v>234</v>
      </c>
      <c r="D89" s="9">
        <v>75.0</v>
      </c>
      <c r="E89" s="10">
        <v>2.0</v>
      </c>
      <c r="F89" s="9">
        <v>2.0</v>
      </c>
      <c r="G89" s="9">
        <v>0.0</v>
      </c>
      <c r="H89" s="9">
        <v>1.0</v>
      </c>
      <c r="I89" s="9">
        <v>0.0</v>
      </c>
      <c r="J89" s="17">
        <v>56284.0</v>
      </c>
      <c r="K89" s="18">
        <v>50386.8</v>
      </c>
      <c r="L89" s="17">
        <v>55912.0</v>
      </c>
      <c r="M89" s="18">
        <v>50453.8</v>
      </c>
      <c r="N89" s="18">
        <v>9.76208</v>
      </c>
      <c r="O89" s="18">
        <v>3600.0</v>
      </c>
    </row>
    <row r="90">
      <c r="A90" s="8" t="s">
        <v>276</v>
      </c>
      <c r="B90" s="9">
        <v>25.0</v>
      </c>
      <c r="C90" s="14" t="s">
        <v>234</v>
      </c>
      <c r="D90" s="9">
        <v>75.0</v>
      </c>
      <c r="E90" s="10">
        <v>2.0</v>
      </c>
      <c r="F90" s="9">
        <v>3.0</v>
      </c>
      <c r="G90" s="9">
        <v>0.0</v>
      </c>
      <c r="H90" s="9">
        <v>1.0</v>
      </c>
      <c r="I90" s="9">
        <v>0.0</v>
      </c>
      <c r="J90" s="17">
        <v>55941.0</v>
      </c>
      <c r="K90" s="18">
        <v>50307.2</v>
      </c>
      <c r="L90" s="17">
        <v>50997.0</v>
      </c>
      <c r="M90" s="18">
        <v>50319.5</v>
      </c>
      <c r="N90" s="18">
        <v>1.32843</v>
      </c>
      <c r="O90" s="18">
        <v>3600.0</v>
      </c>
    </row>
    <row r="91">
      <c r="A91" s="8" t="s">
        <v>277</v>
      </c>
      <c r="B91" s="9">
        <v>25.0</v>
      </c>
      <c r="C91" s="14" t="s">
        <v>234</v>
      </c>
      <c r="D91" s="9">
        <v>75.0</v>
      </c>
      <c r="E91" s="10">
        <v>2.0</v>
      </c>
      <c r="F91" s="9">
        <v>4.0</v>
      </c>
      <c r="G91" s="9">
        <v>0.0</v>
      </c>
      <c r="H91" s="9">
        <v>1.0</v>
      </c>
      <c r="I91" s="9">
        <v>0.0</v>
      </c>
      <c r="J91" s="17">
        <v>56948.0</v>
      </c>
      <c r="K91" s="18">
        <v>51179.6</v>
      </c>
      <c r="L91" s="17">
        <v>56934.0</v>
      </c>
      <c r="M91" s="18">
        <v>51179.6</v>
      </c>
      <c r="N91" s="18">
        <v>10.1071</v>
      </c>
      <c r="O91" s="18">
        <v>3600.0</v>
      </c>
    </row>
    <row r="92">
      <c r="A92" s="8" t="s">
        <v>278</v>
      </c>
      <c r="B92" s="9">
        <v>25.0</v>
      </c>
      <c r="C92" s="14" t="s">
        <v>234</v>
      </c>
      <c r="D92" s="9">
        <v>75.0</v>
      </c>
      <c r="E92" s="10">
        <v>2.0</v>
      </c>
      <c r="F92" s="9">
        <v>5.0</v>
      </c>
      <c r="G92" s="9">
        <v>0.0</v>
      </c>
      <c r="H92" s="9">
        <v>1.0</v>
      </c>
      <c r="I92" s="9">
        <v>0.0</v>
      </c>
      <c r="J92" s="17">
        <v>56356.0</v>
      </c>
      <c r="K92" s="18">
        <v>50667.2</v>
      </c>
      <c r="L92" s="17">
        <v>51591.0</v>
      </c>
      <c r="M92" s="18">
        <v>50667.6</v>
      </c>
      <c r="N92" s="18">
        <v>1.78992</v>
      </c>
      <c r="O92" s="18">
        <v>3600.0</v>
      </c>
    </row>
    <row r="93">
      <c r="A93" s="8" t="s">
        <v>459</v>
      </c>
      <c r="B93" s="9">
        <v>25.0</v>
      </c>
      <c r="C93" s="9" t="s">
        <v>460</v>
      </c>
      <c r="D93" s="9">
        <v>25.0</v>
      </c>
      <c r="E93" s="10">
        <v>0.6</v>
      </c>
      <c r="F93" s="9">
        <v>1.0</v>
      </c>
      <c r="G93" s="9">
        <v>0.0</v>
      </c>
      <c r="H93" s="9">
        <v>1.0</v>
      </c>
      <c r="I93" s="9">
        <v>0.0</v>
      </c>
      <c r="J93" s="17">
        <v>-262.0</v>
      </c>
      <c r="K93" s="18">
        <v>-3743.25</v>
      </c>
      <c r="L93" s="17">
        <v>-2193.0</v>
      </c>
      <c r="M93" s="18">
        <v>-2920.08</v>
      </c>
      <c r="N93" s="18">
        <v>33.1546</v>
      </c>
      <c r="O93" s="18">
        <v>3600.0</v>
      </c>
    </row>
    <row r="94">
      <c r="A94" s="8" t="s">
        <v>461</v>
      </c>
      <c r="B94" s="9">
        <v>25.0</v>
      </c>
      <c r="C94" s="9" t="s">
        <v>460</v>
      </c>
      <c r="D94" s="9">
        <v>25.0</v>
      </c>
      <c r="E94" s="10">
        <v>0.6</v>
      </c>
      <c r="F94" s="9">
        <v>2.0</v>
      </c>
      <c r="G94" s="9">
        <v>0.0</v>
      </c>
      <c r="H94" s="9">
        <v>1.0</v>
      </c>
      <c r="I94" s="9">
        <v>0.0</v>
      </c>
      <c r="J94" s="17">
        <v>-1355.0</v>
      </c>
      <c r="K94" s="18">
        <v>-3143.24</v>
      </c>
      <c r="L94" s="17">
        <v>-2087.0</v>
      </c>
      <c r="M94" s="18">
        <v>-2545.44</v>
      </c>
      <c r="N94" s="18">
        <v>21.9662</v>
      </c>
      <c r="O94" s="18">
        <v>3600.0</v>
      </c>
    </row>
    <row r="95">
      <c r="A95" s="8" t="s">
        <v>462</v>
      </c>
      <c r="B95" s="9">
        <v>25.0</v>
      </c>
      <c r="C95" s="9" t="s">
        <v>460</v>
      </c>
      <c r="D95" s="9">
        <v>25.0</v>
      </c>
      <c r="E95" s="10">
        <v>0.6</v>
      </c>
      <c r="F95" s="9">
        <v>3.0</v>
      </c>
      <c r="G95" s="9">
        <v>0.0</v>
      </c>
      <c r="H95" s="9">
        <v>1.0</v>
      </c>
      <c r="I95" s="9">
        <v>0.0</v>
      </c>
      <c r="J95" s="17">
        <v>-1596.0</v>
      </c>
      <c r="K95" s="18">
        <v>-3233.0</v>
      </c>
      <c r="L95" s="17">
        <v>-2022.0</v>
      </c>
      <c r="M95" s="18">
        <v>-2653.25</v>
      </c>
      <c r="N95" s="18">
        <v>31.2189</v>
      </c>
      <c r="O95" s="18">
        <v>3600.0</v>
      </c>
    </row>
    <row r="96">
      <c r="A96" s="8" t="s">
        <v>463</v>
      </c>
      <c r="B96" s="9">
        <v>25.0</v>
      </c>
      <c r="C96" s="9" t="s">
        <v>460</v>
      </c>
      <c r="D96" s="9">
        <v>25.0</v>
      </c>
      <c r="E96" s="10">
        <v>0.6</v>
      </c>
      <c r="F96" s="9">
        <v>4.0</v>
      </c>
      <c r="G96" s="9">
        <v>0.0</v>
      </c>
      <c r="H96" s="9">
        <v>1.0</v>
      </c>
      <c r="I96" s="9">
        <v>0.0</v>
      </c>
      <c r="J96" s="17">
        <v>-1422.0</v>
      </c>
      <c r="K96" s="18">
        <v>-3523.0</v>
      </c>
      <c r="L96" s="17">
        <v>-2028.0</v>
      </c>
      <c r="M96" s="18">
        <v>-2990.39</v>
      </c>
      <c r="N96" s="18">
        <v>47.4551</v>
      </c>
      <c r="O96" s="18">
        <v>3600.0</v>
      </c>
    </row>
    <row r="97">
      <c r="A97" s="8" t="s">
        <v>464</v>
      </c>
      <c r="B97" s="9">
        <v>25.0</v>
      </c>
      <c r="C97" s="9" t="s">
        <v>460</v>
      </c>
      <c r="D97" s="9">
        <v>25.0</v>
      </c>
      <c r="E97" s="10">
        <v>0.6</v>
      </c>
      <c r="F97" s="9">
        <v>5.0</v>
      </c>
      <c r="G97" s="9">
        <v>0.0</v>
      </c>
      <c r="H97" s="9">
        <v>1.0</v>
      </c>
      <c r="I97" s="9">
        <v>0.0</v>
      </c>
      <c r="J97" s="17">
        <v>-1404.0</v>
      </c>
      <c r="K97" s="18">
        <v>-4134.72</v>
      </c>
      <c r="L97" s="17">
        <v>-2315.0</v>
      </c>
      <c r="M97" s="18">
        <v>-3554.9</v>
      </c>
      <c r="N97" s="18">
        <v>53.5595</v>
      </c>
      <c r="O97" s="18">
        <v>3600.0</v>
      </c>
    </row>
    <row r="98">
      <c r="A98" s="8" t="s">
        <v>465</v>
      </c>
      <c r="B98" s="9">
        <v>25.0</v>
      </c>
      <c r="C98" s="9" t="s">
        <v>460</v>
      </c>
      <c r="D98" s="9">
        <v>25.0</v>
      </c>
      <c r="E98" s="10">
        <v>1.0</v>
      </c>
      <c r="F98" s="9">
        <v>1.0</v>
      </c>
      <c r="G98" s="9">
        <v>0.0</v>
      </c>
      <c r="H98" s="9">
        <v>1.0</v>
      </c>
      <c r="I98" s="9">
        <v>0.0</v>
      </c>
      <c r="J98" s="17">
        <v>775.0</v>
      </c>
      <c r="K98" s="18">
        <v>-2616.0</v>
      </c>
      <c r="L98" s="17">
        <v>-237.0</v>
      </c>
      <c r="M98" s="18">
        <v>-1941.23</v>
      </c>
      <c r="N98" s="18">
        <v>719.083</v>
      </c>
      <c r="O98" s="18">
        <v>3600.0</v>
      </c>
    </row>
    <row r="99">
      <c r="A99" s="8" t="s">
        <v>466</v>
      </c>
      <c r="B99" s="9">
        <v>25.0</v>
      </c>
      <c r="C99" s="9" t="s">
        <v>460</v>
      </c>
      <c r="D99" s="9">
        <v>25.0</v>
      </c>
      <c r="E99" s="10">
        <v>1.0</v>
      </c>
      <c r="F99" s="9">
        <v>2.0</v>
      </c>
      <c r="G99" s="9">
        <v>0.0</v>
      </c>
      <c r="H99" s="9">
        <v>1.0</v>
      </c>
      <c r="I99" s="9">
        <v>0.0</v>
      </c>
      <c r="J99" s="17">
        <v>388.0</v>
      </c>
      <c r="K99" s="18">
        <v>-2197.71</v>
      </c>
      <c r="L99" s="17">
        <v>-512.0</v>
      </c>
      <c r="M99" s="18">
        <v>-1741.14</v>
      </c>
      <c r="N99" s="18">
        <v>240.065</v>
      </c>
      <c r="O99" s="18">
        <v>3600.0</v>
      </c>
    </row>
    <row r="100">
      <c r="A100" s="8" t="s">
        <v>467</v>
      </c>
      <c r="B100" s="9">
        <v>25.0</v>
      </c>
      <c r="C100" s="9" t="s">
        <v>460</v>
      </c>
      <c r="D100" s="9">
        <v>25.0</v>
      </c>
      <c r="E100" s="10">
        <v>1.0</v>
      </c>
      <c r="F100" s="9">
        <v>3.0</v>
      </c>
      <c r="G100" s="9">
        <v>0.0</v>
      </c>
      <c r="H100" s="9">
        <v>1.0</v>
      </c>
      <c r="I100" s="9">
        <v>0.0</v>
      </c>
      <c r="J100" s="17">
        <v>844.0</v>
      </c>
      <c r="K100" s="18">
        <v>-2264.63</v>
      </c>
      <c r="L100" s="17">
        <v>-507.0</v>
      </c>
      <c r="M100" s="18">
        <v>-1836.84</v>
      </c>
      <c r="N100" s="18">
        <v>262.295</v>
      </c>
      <c r="O100" s="18">
        <v>3600.0</v>
      </c>
    </row>
    <row r="101">
      <c r="A101" s="8" t="s">
        <v>468</v>
      </c>
      <c r="B101" s="9">
        <v>25.0</v>
      </c>
      <c r="C101" s="9" t="s">
        <v>460</v>
      </c>
      <c r="D101" s="9">
        <v>25.0</v>
      </c>
      <c r="E101" s="10">
        <v>1.0</v>
      </c>
      <c r="F101" s="9">
        <v>4.0</v>
      </c>
      <c r="G101" s="9">
        <v>0.0</v>
      </c>
      <c r="H101" s="9">
        <v>1.0</v>
      </c>
      <c r="I101" s="9">
        <v>0.0</v>
      </c>
      <c r="J101" s="17">
        <v>806.0</v>
      </c>
      <c r="K101" s="18">
        <v>-2462.71</v>
      </c>
      <c r="L101" s="17">
        <v>-375.0</v>
      </c>
      <c r="M101" s="18">
        <v>-2170.74</v>
      </c>
      <c r="N101" s="18">
        <v>478.865</v>
      </c>
      <c r="O101" s="18">
        <v>3600.0</v>
      </c>
    </row>
    <row r="102">
      <c r="A102" s="8" t="s">
        <v>469</v>
      </c>
      <c r="B102" s="9">
        <v>25.0</v>
      </c>
      <c r="C102" s="9" t="s">
        <v>460</v>
      </c>
      <c r="D102" s="9">
        <v>25.0</v>
      </c>
      <c r="E102" s="10">
        <v>1.0</v>
      </c>
      <c r="F102" s="9">
        <v>5.0</v>
      </c>
      <c r="G102" s="9">
        <v>0.0</v>
      </c>
      <c r="H102" s="9">
        <v>1.0</v>
      </c>
      <c r="I102" s="9">
        <v>0.0</v>
      </c>
      <c r="J102" s="17">
        <v>1882.0</v>
      </c>
      <c r="K102" s="18">
        <v>-2895.21</v>
      </c>
      <c r="L102" s="17">
        <v>-235.0</v>
      </c>
      <c r="M102" s="18">
        <v>-2506.18</v>
      </c>
      <c r="N102" s="18">
        <v>966.459</v>
      </c>
      <c r="O102" s="18">
        <v>3600.0</v>
      </c>
    </row>
    <row r="103">
      <c r="A103" s="8" t="s">
        <v>470</v>
      </c>
      <c r="B103" s="9">
        <v>25.0</v>
      </c>
      <c r="C103" s="9" t="s">
        <v>460</v>
      </c>
      <c r="D103" s="9">
        <v>25.0</v>
      </c>
      <c r="E103" s="10">
        <v>2.0</v>
      </c>
      <c r="F103" s="9">
        <v>1.0</v>
      </c>
      <c r="G103" s="9">
        <v>0.0</v>
      </c>
      <c r="H103" s="9">
        <v>1.0</v>
      </c>
      <c r="I103" s="9">
        <v>0.0</v>
      </c>
      <c r="J103" s="17">
        <v>22472.0</v>
      </c>
      <c r="K103" s="18">
        <v>13901.1</v>
      </c>
      <c r="L103" s="17">
        <v>18775.0</v>
      </c>
      <c r="M103" s="18">
        <v>15357.6</v>
      </c>
      <c r="N103" s="18">
        <v>18.2019</v>
      </c>
      <c r="O103" s="18">
        <v>3600.0</v>
      </c>
    </row>
    <row r="104">
      <c r="A104" s="8" t="s">
        <v>471</v>
      </c>
      <c r="B104" s="9">
        <v>25.0</v>
      </c>
      <c r="C104" s="9" t="s">
        <v>460</v>
      </c>
      <c r="D104" s="9">
        <v>25.0</v>
      </c>
      <c r="E104" s="10">
        <v>2.0</v>
      </c>
      <c r="F104" s="9">
        <v>2.0</v>
      </c>
      <c r="G104" s="9">
        <v>0.0</v>
      </c>
      <c r="H104" s="9">
        <v>1.0</v>
      </c>
      <c r="I104" s="9">
        <v>0.0</v>
      </c>
      <c r="J104" s="17">
        <v>20427.0</v>
      </c>
      <c r="K104" s="18">
        <v>11634.9</v>
      </c>
      <c r="L104" s="17">
        <v>17134.0</v>
      </c>
      <c r="M104" s="18">
        <v>13028.0</v>
      </c>
      <c r="N104" s="18">
        <v>23.9639</v>
      </c>
      <c r="O104" s="18">
        <v>3600.0</v>
      </c>
    </row>
    <row r="105">
      <c r="A105" s="8" t="s">
        <v>472</v>
      </c>
      <c r="B105" s="9">
        <v>25.0</v>
      </c>
      <c r="C105" s="9" t="s">
        <v>460</v>
      </c>
      <c r="D105" s="9">
        <v>25.0</v>
      </c>
      <c r="E105" s="10">
        <v>2.0</v>
      </c>
      <c r="F105" s="9">
        <v>3.0</v>
      </c>
      <c r="G105" s="9">
        <v>0.0</v>
      </c>
      <c r="H105" s="9">
        <v>1.0</v>
      </c>
      <c r="I105" s="9">
        <v>0.0</v>
      </c>
      <c r="J105" s="17">
        <v>17862.0</v>
      </c>
      <c r="K105" s="18">
        <v>11885.3</v>
      </c>
      <c r="L105" s="17">
        <v>15104.0</v>
      </c>
      <c r="M105" s="18">
        <v>13180.1</v>
      </c>
      <c r="N105" s="18">
        <v>12.738</v>
      </c>
      <c r="O105" s="18">
        <v>3600.0</v>
      </c>
    </row>
    <row r="106">
      <c r="A106" s="8" t="s">
        <v>473</v>
      </c>
      <c r="B106" s="9">
        <v>25.0</v>
      </c>
      <c r="C106" s="9" t="s">
        <v>460</v>
      </c>
      <c r="D106" s="9">
        <v>25.0</v>
      </c>
      <c r="E106" s="10">
        <v>2.0</v>
      </c>
      <c r="F106" s="9">
        <v>4.0</v>
      </c>
      <c r="G106" s="9">
        <v>0.0</v>
      </c>
      <c r="H106" s="9">
        <v>1.0</v>
      </c>
      <c r="I106" s="9">
        <v>0.0</v>
      </c>
      <c r="J106" s="17">
        <v>21209.0</v>
      </c>
      <c r="K106" s="18">
        <v>13019.5</v>
      </c>
      <c r="L106" s="17">
        <v>16300.0</v>
      </c>
      <c r="M106" s="18">
        <v>14154.0</v>
      </c>
      <c r="N106" s="18">
        <v>13.1655</v>
      </c>
      <c r="O106" s="18">
        <v>3600.0</v>
      </c>
    </row>
    <row r="107">
      <c r="A107" s="8" t="s">
        <v>474</v>
      </c>
      <c r="B107" s="9">
        <v>25.0</v>
      </c>
      <c r="C107" s="9" t="s">
        <v>460</v>
      </c>
      <c r="D107" s="9">
        <v>25.0</v>
      </c>
      <c r="E107" s="10">
        <v>2.0</v>
      </c>
      <c r="F107" s="9">
        <v>5.0</v>
      </c>
      <c r="G107" s="9">
        <v>0.0</v>
      </c>
      <c r="H107" s="9">
        <v>1.0</v>
      </c>
      <c r="I107" s="9">
        <v>0.0</v>
      </c>
      <c r="J107" s="17">
        <v>25162.0</v>
      </c>
      <c r="K107" s="18">
        <v>15237.3</v>
      </c>
      <c r="L107" s="17">
        <v>19157.0</v>
      </c>
      <c r="M107" s="18">
        <v>16640.5</v>
      </c>
      <c r="N107" s="18">
        <v>13.1362</v>
      </c>
      <c r="O107" s="18">
        <v>3600.0</v>
      </c>
    </row>
    <row r="108">
      <c r="A108" s="8" t="s">
        <v>475</v>
      </c>
      <c r="B108" s="9">
        <v>25.0</v>
      </c>
      <c r="C108" s="9" t="s">
        <v>460</v>
      </c>
      <c r="D108" s="9">
        <v>50.0</v>
      </c>
      <c r="E108" s="10">
        <v>0.6</v>
      </c>
      <c r="F108" s="9">
        <v>1.0</v>
      </c>
      <c r="G108" s="9">
        <v>0.0</v>
      </c>
      <c r="H108" s="9">
        <v>1.0</v>
      </c>
      <c r="I108" s="9">
        <v>0.0</v>
      </c>
      <c r="J108" s="17">
        <v>-924.0</v>
      </c>
      <c r="K108" s="18">
        <v>-7804.77</v>
      </c>
      <c r="L108" s="17">
        <v>-3053.0</v>
      </c>
      <c r="M108" s="18">
        <v>-6728.7</v>
      </c>
      <c r="N108" s="18">
        <v>120.396</v>
      </c>
      <c r="O108" s="18">
        <v>3600.0</v>
      </c>
    </row>
    <row r="109">
      <c r="A109" s="8" t="s">
        <v>476</v>
      </c>
      <c r="B109" s="9">
        <v>25.0</v>
      </c>
      <c r="C109" s="9" t="s">
        <v>460</v>
      </c>
      <c r="D109" s="9">
        <v>50.0</v>
      </c>
      <c r="E109" s="10">
        <v>0.6</v>
      </c>
      <c r="F109" s="9">
        <v>2.0</v>
      </c>
      <c r="G109" s="9">
        <v>0.0</v>
      </c>
      <c r="H109" s="9">
        <v>1.0</v>
      </c>
      <c r="I109" s="9">
        <v>0.0</v>
      </c>
      <c r="J109" s="17">
        <v>-1064.0</v>
      </c>
      <c r="K109" s="18">
        <v>-7449.0</v>
      </c>
      <c r="L109" s="17">
        <v>-3118.0</v>
      </c>
      <c r="M109" s="18">
        <v>-6807.79</v>
      </c>
      <c r="N109" s="18">
        <v>118.338</v>
      </c>
      <c r="O109" s="18">
        <v>3600.0</v>
      </c>
    </row>
    <row r="110">
      <c r="A110" s="8" t="s">
        <v>477</v>
      </c>
      <c r="B110" s="9">
        <v>25.0</v>
      </c>
      <c r="C110" s="9" t="s">
        <v>460</v>
      </c>
      <c r="D110" s="9">
        <v>50.0</v>
      </c>
      <c r="E110" s="10">
        <v>0.6</v>
      </c>
      <c r="F110" s="9">
        <v>3.0</v>
      </c>
      <c r="G110" s="9">
        <v>0.0</v>
      </c>
      <c r="H110" s="9">
        <v>1.0</v>
      </c>
      <c r="I110" s="9">
        <v>0.0</v>
      </c>
      <c r="J110" s="17">
        <v>-1669.0</v>
      </c>
      <c r="K110" s="18">
        <v>-6963.93</v>
      </c>
      <c r="L110" s="17">
        <v>-2738.0</v>
      </c>
      <c r="M110" s="18">
        <v>-6448.47</v>
      </c>
      <c r="N110" s="18">
        <v>135.518</v>
      </c>
      <c r="O110" s="18">
        <v>3600.0</v>
      </c>
    </row>
    <row r="111">
      <c r="A111" s="8" t="s">
        <v>478</v>
      </c>
      <c r="B111" s="9">
        <v>25.0</v>
      </c>
      <c r="C111" s="9" t="s">
        <v>460</v>
      </c>
      <c r="D111" s="9">
        <v>50.0</v>
      </c>
      <c r="E111" s="10">
        <v>0.6</v>
      </c>
      <c r="F111" s="9">
        <v>4.0</v>
      </c>
      <c r="G111" s="9">
        <v>0.0</v>
      </c>
      <c r="H111" s="9">
        <v>1.0</v>
      </c>
      <c r="I111" s="9">
        <v>0.0</v>
      </c>
      <c r="J111" s="17">
        <v>-1511.0</v>
      </c>
      <c r="K111" s="18">
        <v>-7555.0</v>
      </c>
      <c r="L111" s="17">
        <v>-3165.0</v>
      </c>
      <c r="M111" s="18">
        <v>-6960.18</v>
      </c>
      <c r="N111" s="18">
        <v>119.911</v>
      </c>
      <c r="O111" s="18">
        <v>3600.0</v>
      </c>
    </row>
    <row r="112">
      <c r="A112" s="8" t="s">
        <v>479</v>
      </c>
      <c r="B112" s="9">
        <v>25.0</v>
      </c>
      <c r="C112" s="9" t="s">
        <v>460</v>
      </c>
      <c r="D112" s="9">
        <v>50.0</v>
      </c>
      <c r="E112" s="10">
        <v>0.6</v>
      </c>
      <c r="F112" s="9">
        <v>5.0</v>
      </c>
      <c r="G112" s="9">
        <v>0.0</v>
      </c>
      <c r="H112" s="9">
        <v>1.0</v>
      </c>
      <c r="I112" s="9">
        <v>0.0</v>
      </c>
      <c r="J112" s="17">
        <v>-1731.0</v>
      </c>
      <c r="K112" s="18">
        <v>-7662.0</v>
      </c>
      <c r="L112" s="17">
        <v>-3397.0</v>
      </c>
      <c r="M112" s="18">
        <v>-7051.71</v>
      </c>
      <c r="N112" s="18">
        <v>107.586</v>
      </c>
      <c r="O112" s="18">
        <v>3600.0</v>
      </c>
    </row>
    <row r="113">
      <c r="A113" s="8" t="s">
        <v>480</v>
      </c>
      <c r="B113" s="9">
        <v>25.0</v>
      </c>
      <c r="C113" s="9" t="s">
        <v>460</v>
      </c>
      <c r="D113" s="9">
        <v>50.0</v>
      </c>
      <c r="E113" s="10">
        <v>1.0</v>
      </c>
      <c r="F113" s="9">
        <v>1.0</v>
      </c>
      <c r="G113" s="9">
        <v>0.0</v>
      </c>
      <c r="H113" s="9">
        <v>1.0</v>
      </c>
      <c r="I113" s="9">
        <v>0.0</v>
      </c>
      <c r="J113" s="17">
        <v>1827.0</v>
      </c>
      <c r="K113" s="18">
        <v>-5460.52</v>
      </c>
      <c r="L113" s="17">
        <v>439.0</v>
      </c>
      <c r="M113" s="18">
        <v>-4663.01</v>
      </c>
      <c r="N113" s="18">
        <v>1162.19</v>
      </c>
      <c r="O113" s="18">
        <v>3600.0</v>
      </c>
    </row>
    <row r="114">
      <c r="A114" s="8" t="s">
        <v>481</v>
      </c>
      <c r="B114" s="9">
        <v>25.0</v>
      </c>
      <c r="C114" s="9" t="s">
        <v>460</v>
      </c>
      <c r="D114" s="9">
        <v>50.0</v>
      </c>
      <c r="E114" s="10">
        <v>1.0</v>
      </c>
      <c r="F114" s="9">
        <v>2.0</v>
      </c>
      <c r="G114" s="9">
        <v>0.0</v>
      </c>
      <c r="H114" s="9">
        <v>1.0</v>
      </c>
      <c r="I114" s="9">
        <v>0.0</v>
      </c>
      <c r="J114" s="17">
        <v>3480.0</v>
      </c>
      <c r="K114" s="18">
        <v>-5207.0</v>
      </c>
      <c r="L114" s="17">
        <v>690.0</v>
      </c>
      <c r="M114" s="18">
        <v>-4351.81</v>
      </c>
      <c r="N114" s="18">
        <v>730.698</v>
      </c>
      <c r="O114" s="18">
        <v>3600.0</v>
      </c>
    </row>
    <row r="115">
      <c r="A115" s="8" t="s">
        <v>482</v>
      </c>
      <c r="B115" s="9">
        <v>25.0</v>
      </c>
      <c r="C115" s="9" t="s">
        <v>460</v>
      </c>
      <c r="D115" s="9">
        <v>50.0</v>
      </c>
      <c r="E115" s="10">
        <v>1.0</v>
      </c>
      <c r="F115" s="9">
        <v>3.0</v>
      </c>
      <c r="G115" s="9">
        <v>0.0</v>
      </c>
      <c r="H115" s="9">
        <v>1.0</v>
      </c>
      <c r="I115" s="9">
        <v>0.0</v>
      </c>
      <c r="J115" s="17">
        <v>1893.0</v>
      </c>
      <c r="K115" s="18">
        <v>-4870.36</v>
      </c>
      <c r="L115" s="17">
        <v>444.0</v>
      </c>
      <c r="M115" s="18">
        <v>-4400.13</v>
      </c>
      <c r="N115" s="18">
        <v>1091.02</v>
      </c>
      <c r="O115" s="18">
        <v>3600.0</v>
      </c>
    </row>
    <row r="116">
      <c r="A116" s="8" t="s">
        <v>483</v>
      </c>
      <c r="B116" s="9">
        <v>25.0</v>
      </c>
      <c r="C116" s="9" t="s">
        <v>460</v>
      </c>
      <c r="D116" s="9">
        <v>50.0</v>
      </c>
      <c r="E116" s="10">
        <v>1.0</v>
      </c>
      <c r="F116" s="9">
        <v>4.0</v>
      </c>
      <c r="G116" s="9">
        <v>0.0</v>
      </c>
      <c r="H116" s="9">
        <v>1.0</v>
      </c>
      <c r="I116" s="9">
        <v>0.0</v>
      </c>
      <c r="J116" s="17">
        <v>2829.0</v>
      </c>
      <c r="K116" s="18">
        <v>-5283.13</v>
      </c>
      <c r="L116" s="17">
        <v>666.0</v>
      </c>
      <c r="M116" s="18">
        <v>-4569.63</v>
      </c>
      <c r="N116" s="18">
        <v>786.13</v>
      </c>
      <c r="O116" s="18">
        <v>3600.0</v>
      </c>
    </row>
    <row r="117">
      <c r="A117" s="8" t="s">
        <v>484</v>
      </c>
      <c r="B117" s="9">
        <v>25.0</v>
      </c>
      <c r="C117" s="9" t="s">
        <v>460</v>
      </c>
      <c r="D117" s="9">
        <v>50.0</v>
      </c>
      <c r="E117" s="10">
        <v>1.0</v>
      </c>
      <c r="F117" s="9">
        <v>5.0</v>
      </c>
      <c r="G117" s="9">
        <v>0.0</v>
      </c>
      <c r="H117" s="9">
        <v>1.0</v>
      </c>
      <c r="I117" s="9">
        <v>0.0</v>
      </c>
      <c r="J117" s="17">
        <v>1919.0</v>
      </c>
      <c r="K117" s="18">
        <v>-5371.15</v>
      </c>
      <c r="L117" s="17">
        <v>537.0</v>
      </c>
      <c r="M117" s="18">
        <v>-4790.49</v>
      </c>
      <c r="N117" s="18">
        <v>992.084</v>
      </c>
      <c r="O117" s="18">
        <v>3600.0</v>
      </c>
    </row>
    <row r="118">
      <c r="A118" s="8" t="s">
        <v>485</v>
      </c>
      <c r="B118" s="9">
        <v>25.0</v>
      </c>
      <c r="C118" s="9" t="s">
        <v>460</v>
      </c>
      <c r="D118" s="9">
        <v>50.0</v>
      </c>
      <c r="E118" s="10">
        <v>2.0</v>
      </c>
      <c r="F118" s="9">
        <v>1.0</v>
      </c>
      <c r="G118" s="9">
        <v>0.0</v>
      </c>
      <c r="H118" s="9">
        <v>1.0</v>
      </c>
      <c r="I118" s="9">
        <v>0.0</v>
      </c>
      <c r="J118" s="17">
        <v>39939.0</v>
      </c>
      <c r="K118" s="18">
        <v>28786.0</v>
      </c>
      <c r="L118" s="17">
        <v>36116.0</v>
      </c>
      <c r="M118" s="18">
        <v>31107.2</v>
      </c>
      <c r="N118" s="18">
        <v>13.8686</v>
      </c>
      <c r="O118" s="18">
        <v>3600.0</v>
      </c>
    </row>
    <row r="119">
      <c r="A119" s="8" t="s">
        <v>486</v>
      </c>
      <c r="B119" s="9">
        <v>25.0</v>
      </c>
      <c r="C119" s="9" t="s">
        <v>460</v>
      </c>
      <c r="D119" s="9">
        <v>50.0</v>
      </c>
      <c r="E119" s="10">
        <v>2.0</v>
      </c>
      <c r="F119" s="9">
        <v>2.0</v>
      </c>
      <c r="G119" s="9">
        <v>0.0</v>
      </c>
      <c r="H119" s="9">
        <v>1.0</v>
      </c>
      <c r="I119" s="9">
        <v>0.0</v>
      </c>
      <c r="J119" s="17">
        <v>45500.0</v>
      </c>
      <c r="K119" s="18">
        <v>27619.9</v>
      </c>
      <c r="L119" s="17">
        <v>37996.0</v>
      </c>
      <c r="M119" s="18">
        <v>30962.3</v>
      </c>
      <c r="N119" s="18">
        <v>18.5117</v>
      </c>
      <c r="O119" s="18">
        <v>3600.0</v>
      </c>
    </row>
    <row r="120">
      <c r="A120" s="8" t="s">
        <v>487</v>
      </c>
      <c r="B120" s="9">
        <v>25.0</v>
      </c>
      <c r="C120" s="9" t="s">
        <v>460</v>
      </c>
      <c r="D120" s="9">
        <v>50.0</v>
      </c>
      <c r="E120" s="10">
        <v>2.0</v>
      </c>
      <c r="F120" s="9">
        <v>3.0</v>
      </c>
      <c r="G120" s="9">
        <v>0.0</v>
      </c>
      <c r="H120" s="9">
        <v>1.0</v>
      </c>
      <c r="I120" s="9">
        <v>0.0</v>
      </c>
      <c r="J120" s="17">
        <v>39143.0</v>
      </c>
      <c r="K120" s="18">
        <v>25813.6</v>
      </c>
      <c r="L120" s="17">
        <v>35467.0</v>
      </c>
      <c r="M120" s="18">
        <v>28460.3</v>
      </c>
      <c r="N120" s="18">
        <v>19.7557</v>
      </c>
      <c r="O120" s="18">
        <v>3600.0</v>
      </c>
    </row>
    <row r="121">
      <c r="A121" s="8" t="s">
        <v>488</v>
      </c>
      <c r="B121" s="9">
        <v>25.0</v>
      </c>
      <c r="C121" s="9" t="s">
        <v>460</v>
      </c>
      <c r="D121" s="9">
        <v>50.0</v>
      </c>
      <c r="E121" s="10">
        <v>2.0</v>
      </c>
      <c r="F121" s="9">
        <v>4.0</v>
      </c>
      <c r="G121" s="9">
        <v>0.0</v>
      </c>
      <c r="H121" s="9">
        <v>1.0</v>
      </c>
      <c r="I121" s="9">
        <v>0.0</v>
      </c>
      <c r="J121" s="17">
        <v>38942.0</v>
      </c>
      <c r="K121" s="18">
        <v>28249.4</v>
      </c>
      <c r="L121" s="17">
        <v>38535.0</v>
      </c>
      <c r="M121" s="18">
        <v>31517.2</v>
      </c>
      <c r="N121" s="18">
        <v>18.2116</v>
      </c>
      <c r="O121" s="18">
        <v>3600.0</v>
      </c>
    </row>
    <row r="122">
      <c r="A122" s="8" t="s">
        <v>489</v>
      </c>
      <c r="B122" s="9">
        <v>25.0</v>
      </c>
      <c r="C122" s="9" t="s">
        <v>460</v>
      </c>
      <c r="D122" s="9">
        <v>50.0</v>
      </c>
      <c r="E122" s="10">
        <v>2.0</v>
      </c>
      <c r="F122" s="9">
        <v>5.0</v>
      </c>
      <c r="G122" s="9">
        <v>0.0</v>
      </c>
      <c r="H122" s="9">
        <v>1.0</v>
      </c>
      <c r="I122" s="9">
        <v>0.0</v>
      </c>
      <c r="J122" s="17">
        <v>43083.0</v>
      </c>
      <c r="K122" s="18">
        <v>28171.3</v>
      </c>
      <c r="L122" s="17">
        <v>35714.0</v>
      </c>
      <c r="M122" s="18">
        <v>31063.8</v>
      </c>
      <c r="N122" s="18">
        <v>13.0207</v>
      </c>
      <c r="O122" s="18">
        <v>3600.0</v>
      </c>
    </row>
    <row r="123">
      <c r="A123" s="8" t="s">
        <v>490</v>
      </c>
      <c r="B123" s="9">
        <v>25.0</v>
      </c>
      <c r="C123" s="9" t="s">
        <v>460</v>
      </c>
      <c r="D123" s="9">
        <v>75.0</v>
      </c>
      <c r="E123" s="10">
        <v>0.6</v>
      </c>
      <c r="F123" s="9">
        <v>1.0</v>
      </c>
      <c r="G123" s="9">
        <v>0.0</v>
      </c>
      <c r="H123" s="9">
        <v>1.0</v>
      </c>
      <c r="I123" s="9">
        <v>0.0</v>
      </c>
      <c r="J123" s="17">
        <v>-2343.0</v>
      </c>
      <c r="K123" s="18">
        <v>-10675.0</v>
      </c>
      <c r="L123" s="17">
        <v>-3743.0</v>
      </c>
      <c r="M123" s="18">
        <v>-9957.16</v>
      </c>
      <c r="N123" s="18">
        <v>166.021</v>
      </c>
      <c r="O123" s="18">
        <v>3600.0</v>
      </c>
    </row>
    <row r="124">
      <c r="A124" s="8" t="s">
        <v>491</v>
      </c>
      <c r="B124" s="9">
        <v>25.0</v>
      </c>
      <c r="C124" s="9" t="s">
        <v>460</v>
      </c>
      <c r="D124" s="9">
        <v>75.0</v>
      </c>
      <c r="E124" s="10">
        <v>0.6</v>
      </c>
      <c r="F124" s="9">
        <v>2.0</v>
      </c>
      <c r="G124" s="9">
        <v>0.0</v>
      </c>
      <c r="H124" s="9">
        <v>1.0</v>
      </c>
      <c r="I124" s="9">
        <v>0.0</v>
      </c>
      <c r="J124" s="17">
        <v>-2883.0</v>
      </c>
      <c r="K124" s="18">
        <v>-10707.8</v>
      </c>
      <c r="L124" s="17">
        <v>-4103.0</v>
      </c>
      <c r="M124" s="18">
        <v>-9525.88</v>
      </c>
      <c r="N124" s="18">
        <v>132.169</v>
      </c>
      <c r="O124" s="18">
        <v>3600.0</v>
      </c>
    </row>
    <row r="125">
      <c r="A125" s="8" t="s">
        <v>492</v>
      </c>
      <c r="B125" s="9">
        <v>25.0</v>
      </c>
      <c r="C125" s="9" t="s">
        <v>460</v>
      </c>
      <c r="D125" s="9">
        <v>75.0</v>
      </c>
      <c r="E125" s="10">
        <v>0.6</v>
      </c>
      <c r="F125" s="9">
        <v>3.0</v>
      </c>
      <c r="G125" s="9">
        <v>0.0</v>
      </c>
      <c r="H125" s="9">
        <v>1.0</v>
      </c>
      <c r="I125" s="9">
        <v>0.0</v>
      </c>
      <c r="J125" s="17">
        <v>-2396.0</v>
      </c>
      <c r="K125" s="18">
        <v>-10803.0</v>
      </c>
      <c r="L125" s="17">
        <v>-3653.0</v>
      </c>
      <c r="M125" s="18">
        <v>-9834.09</v>
      </c>
      <c r="N125" s="18">
        <v>169.206</v>
      </c>
      <c r="O125" s="18">
        <v>3600.0</v>
      </c>
    </row>
    <row r="126">
      <c r="A126" s="8" t="s">
        <v>493</v>
      </c>
      <c r="B126" s="9">
        <v>25.0</v>
      </c>
      <c r="C126" s="9" t="s">
        <v>460</v>
      </c>
      <c r="D126" s="9">
        <v>75.0</v>
      </c>
      <c r="E126" s="10">
        <v>0.6</v>
      </c>
      <c r="F126" s="9">
        <v>4.0</v>
      </c>
      <c r="G126" s="9">
        <v>0.0</v>
      </c>
      <c r="H126" s="9">
        <v>1.0</v>
      </c>
      <c r="I126" s="9">
        <v>0.0</v>
      </c>
      <c r="J126" s="17">
        <v>-3459.0</v>
      </c>
      <c r="K126" s="18">
        <v>-11918.7</v>
      </c>
      <c r="L126" s="17">
        <v>-3923.0</v>
      </c>
      <c r="M126" s="18">
        <v>-10851.6</v>
      </c>
      <c r="N126" s="18">
        <v>176.616</v>
      </c>
      <c r="O126" s="18">
        <v>3600.0</v>
      </c>
    </row>
    <row r="127">
      <c r="A127" s="8" t="s">
        <v>494</v>
      </c>
      <c r="B127" s="9">
        <v>25.0</v>
      </c>
      <c r="C127" s="9" t="s">
        <v>460</v>
      </c>
      <c r="D127" s="9">
        <v>75.0</v>
      </c>
      <c r="E127" s="10">
        <v>0.6</v>
      </c>
      <c r="F127" s="9">
        <v>5.0</v>
      </c>
      <c r="G127" s="9">
        <v>0.0</v>
      </c>
      <c r="H127" s="9">
        <v>1.0</v>
      </c>
      <c r="I127" s="9">
        <v>0.0</v>
      </c>
      <c r="J127" s="17">
        <v>-2939.0</v>
      </c>
      <c r="K127" s="18">
        <v>-11037.8</v>
      </c>
      <c r="L127" s="17">
        <v>-3940.0</v>
      </c>
      <c r="M127" s="18">
        <v>-10332.0</v>
      </c>
      <c r="N127" s="18">
        <v>162.234</v>
      </c>
      <c r="O127" s="18">
        <v>3600.0</v>
      </c>
    </row>
    <row r="128">
      <c r="A128" s="8" t="s">
        <v>495</v>
      </c>
      <c r="B128" s="9">
        <v>25.0</v>
      </c>
      <c r="C128" s="9" t="s">
        <v>460</v>
      </c>
      <c r="D128" s="9">
        <v>75.0</v>
      </c>
      <c r="E128" s="10">
        <v>1.0</v>
      </c>
      <c r="F128" s="9">
        <v>1.0</v>
      </c>
      <c r="G128" s="9">
        <v>0.0</v>
      </c>
      <c r="H128" s="9">
        <v>1.0</v>
      </c>
      <c r="I128" s="9">
        <v>0.0</v>
      </c>
      <c r="J128" s="17">
        <v>1861.0</v>
      </c>
      <c r="K128" s="18">
        <v>-7474.89</v>
      </c>
      <c r="L128" s="17">
        <v>1480.0</v>
      </c>
      <c r="M128" s="18">
        <v>-6594.27</v>
      </c>
      <c r="N128" s="18">
        <v>545.559</v>
      </c>
      <c r="O128" s="18">
        <v>3600.0</v>
      </c>
    </row>
    <row r="129">
      <c r="A129" s="8" t="s">
        <v>496</v>
      </c>
      <c r="B129" s="9">
        <v>25.0</v>
      </c>
      <c r="C129" s="9" t="s">
        <v>460</v>
      </c>
      <c r="D129" s="9">
        <v>75.0</v>
      </c>
      <c r="E129" s="10">
        <v>1.0</v>
      </c>
      <c r="F129" s="9">
        <v>2.0</v>
      </c>
      <c r="G129" s="9">
        <v>0.0</v>
      </c>
      <c r="H129" s="9">
        <v>1.0</v>
      </c>
      <c r="I129" s="9">
        <v>0.0</v>
      </c>
      <c r="J129" s="17">
        <v>2038.0</v>
      </c>
      <c r="K129" s="18">
        <v>-7495.98</v>
      </c>
      <c r="L129" s="17">
        <v>1281.0</v>
      </c>
      <c r="M129" s="18">
        <v>-6459.12</v>
      </c>
      <c r="N129" s="18">
        <v>604.225</v>
      </c>
      <c r="O129" s="18">
        <v>3600.0</v>
      </c>
    </row>
    <row r="130">
      <c r="A130" s="8" t="s">
        <v>497</v>
      </c>
      <c r="B130" s="9">
        <v>25.0</v>
      </c>
      <c r="C130" s="9" t="s">
        <v>460</v>
      </c>
      <c r="D130" s="9">
        <v>75.0</v>
      </c>
      <c r="E130" s="10">
        <v>1.0</v>
      </c>
      <c r="F130" s="9">
        <v>3.0</v>
      </c>
      <c r="G130" s="9">
        <v>0.0</v>
      </c>
      <c r="H130" s="9">
        <v>1.0</v>
      </c>
      <c r="I130" s="9">
        <v>0.0</v>
      </c>
      <c r="J130" s="17">
        <v>2091.0</v>
      </c>
      <c r="K130" s="18">
        <v>-7563.43</v>
      </c>
      <c r="L130" s="17">
        <v>1449.0</v>
      </c>
      <c r="M130" s="18">
        <v>-6403.54</v>
      </c>
      <c r="N130" s="18">
        <v>541.928</v>
      </c>
      <c r="O130" s="18">
        <v>3600.0</v>
      </c>
    </row>
    <row r="131">
      <c r="A131" s="8" t="s">
        <v>498</v>
      </c>
      <c r="B131" s="9">
        <v>25.0</v>
      </c>
      <c r="C131" s="9" t="s">
        <v>460</v>
      </c>
      <c r="D131" s="9">
        <v>75.0</v>
      </c>
      <c r="E131" s="10">
        <v>1.0</v>
      </c>
      <c r="F131" s="9">
        <v>4.0</v>
      </c>
      <c r="G131" s="9">
        <v>0.0</v>
      </c>
      <c r="H131" s="9">
        <v>1.0</v>
      </c>
      <c r="I131" s="9">
        <v>0.0</v>
      </c>
      <c r="J131" s="17">
        <v>2155.0</v>
      </c>
      <c r="K131" s="18">
        <v>-8344.67</v>
      </c>
      <c r="L131" s="17">
        <v>1011.0</v>
      </c>
      <c r="M131" s="18">
        <v>-7355.39</v>
      </c>
      <c r="N131" s="18">
        <v>827.536</v>
      </c>
      <c r="O131" s="18">
        <v>3600.0</v>
      </c>
    </row>
    <row r="132">
      <c r="A132" s="8" t="s">
        <v>499</v>
      </c>
      <c r="B132" s="9">
        <v>25.0</v>
      </c>
      <c r="C132" s="9" t="s">
        <v>460</v>
      </c>
      <c r="D132" s="9">
        <v>75.0</v>
      </c>
      <c r="E132" s="10">
        <v>1.0</v>
      </c>
      <c r="F132" s="9">
        <v>5.0</v>
      </c>
      <c r="G132" s="9">
        <v>0.0</v>
      </c>
      <c r="H132" s="9">
        <v>1.0</v>
      </c>
      <c r="I132" s="9">
        <v>0.0</v>
      </c>
      <c r="J132" s="17">
        <v>1793.0</v>
      </c>
      <c r="K132" s="18">
        <v>-7737.39</v>
      </c>
      <c r="L132" s="17">
        <v>1660.0</v>
      </c>
      <c r="M132" s="18">
        <v>-6837.17</v>
      </c>
      <c r="N132" s="18">
        <v>511.878</v>
      </c>
      <c r="O132" s="18">
        <v>3600.0</v>
      </c>
    </row>
    <row r="133">
      <c r="A133" s="8" t="s">
        <v>500</v>
      </c>
      <c r="B133" s="9">
        <v>25.0</v>
      </c>
      <c r="C133" s="9" t="s">
        <v>460</v>
      </c>
      <c r="D133" s="9">
        <v>75.0</v>
      </c>
      <c r="E133" s="10">
        <v>2.0</v>
      </c>
      <c r="F133" s="9">
        <v>1.0</v>
      </c>
      <c r="G133" s="9">
        <v>0.0</v>
      </c>
      <c r="H133" s="9">
        <v>1.0</v>
      </c>
      <c r="I133" s="9">
        <v>0.0</v>
      </c>
      <c r="J133" s="17">
        <v>60343.0</v>
      </c>
      <c r="K133" s="18">
        <v>39409.3</v>
      </c>
      <c r="L133" s="17">
        <v>54898.0</v>
      </c>
      <c r="M133" s="18">
        <v>43279.9</v>
      </c>
      <c r="N133" s="18">
        <v>21.1631</v>
      </c>
      <c r="O133" s="18">
        <v>3600.0</v>
      </c>
    </row>
    <row r="134">
      <c r="A134" s="8" t="s">
        <v>501</v>
      </c>
      <c r="B134" s="9">
        <v>25.0</v>
      </c>
      <c r="C134" s="9" t="s">
        <v>460</v>
      </c>
      <c r="D134" s="9">
        <v>75.0</v>
      </c>
      <c r="E134" s="10">
        <v>2.0</v>
      </c>
      <c r="F134" s="9">
        <v>2.0</v>
      </c>
      <c r="G134" s="9">
        <v>0.0</v>
      </c>
      <c r="H134" s="9">
        <v>1.0</v>
      </c>
      <c r="I134" s="9">
        <v>0.0</v>
      </c>
      <c r="J134" s="17">
        <v>71051.0</v>
      </c>
      <c r="K134" s="18">
        <v>39540.6</v>
      </c>
      <c r="L134" s="17">
        <v>54977.0</v>
      </c>
      <c r="M134" s="18">
        <v>43625.0</v>
      </c>
      <c r="N134" s="18">
        <v>20.6487</v>
      </c>
      <c r="O134" s="18">
        <v>3600.0</v>
      </c>
    </row>
    <row r="135">
      <c r="A135" s="8" t="s">
        <v>502</v>
      </c>
      <c r="B135" s="9">
        <v>25.0</v>
      </c>
      <c r="C135" s="9" t="s">
        <v>460</v>
      </c>
      <c r="D135" s="9">
        <v>75.0</v>
      </c>
      <c r="E135" s="10">
        <v>2.0</v>
      </c>
      <c r="F135" s="9">
        <v>3.0</v>
      </c>
      <c r="G135" s="9">
        <v>0.0</v>
      </c>
      <c r="H135" s="9">
        <v>1.0</v>
      </c>
      <c r="I135" s="9">
        <v>0.0</v>
      </c>
      <c r="J135" s="17">
        <v>61408.0</v>
      </c>
      <c r="K135" s="18">
        <v>39902.1</v>
      </c>
      <c r="L135" s="17">
        <v>55574.0</v>
      </c>
      <c r="M135" s="18">
        <v>43793.0</v>
      </c>
      <c r="N135" s="18">
        <v>21.1987</v>
      </c>
      <c r="O135" s="18">
        <v>3600.0</v>
      </c>
    </row>
    <row r="136">
      <c r="A136" s="8" t="s">
        <v>503</v>
      </c>
      <c r="B136" s="9">
        <v>25.0</v>
      </c>
      <c r="C136" s="9" t="s">
        <v>460</v>
      </c>
      <c r="D136" s="9">
        <v>75.0</v>
      </c>
      <c r="E136" s="10">
        <v>2.0</v>
      </c>
      <c r="F136" s="9">
        <v>4.0</v>
      </c>
      <c r="G136" s="9">
        <v>0.0</v>
      </c>
      <c r="H136" s="9">
        <v>1.0</v>
      </c>
      <c r="I136" s="9">
        <v>0.0</v>
      </c>
      <c r="J136" s="17">
        <v>90774.0</v>
      </c>
      <c r="K136" s="18">
        <v>44378.2</v>
      </c>
      <c r="L136" s="17">
        <v>61304.0</v>
      </c>
      <c r="M136" s="18">
        <v>47603.9</v>
      </c>
      <c r="N136" s="18">
        <v>22.3477</v>
      </c>
      <c r="O136" s="18">
        <v>3600.0</v>
      </c>
    </row>
    <row r="137">
      <c r="A137" s="8" t="s">
        <v>504</v>
      </c>
      <c r="B137" s="9">
        <v>25.0</v>
      </c>
      <c r="C137" s="9" t="s">
        <v>460</v>
      </c>
      <c r="D137" s="9">
        <v>75.0</v>
      </c>
      <c r="E137" s="10">
        <v>2.0</v>
      </c>
      <c r="F137" s="9">
        <v>5.0</v>
      </c>
      <c r="G137" s="9">
        <v>0.0</v>
      </c>
      <c r="H137" s="9">
        <v>1.0</v>
      </c>
      <c r="I137" s="9">
        <v>0.0</v>
      </c>
      <c r="J137" s="17">
        <v>57358.0</v>
      </c>
      <c r="K137" s="18">
        <v>41015.3</v>
      </c>
      <c r="L137" s="17">
        <v>56606.0</v>
      </c>
      <c r="M137" s="18">
        <v>45135.8</v>
      </c>
      <c r="N137" s="18">
        <v>20.2632</v>
      </c>
      <c r="O137" s="18">
        <v>3600.0</v>
      </c>
    </row>
    <row r="138">
      <c r="A138" s="4"/>
      <c r="B138" s="19"/>
      <c r="C138" s="19"/>
      <c r="D138" s="19"/>
      <c r="E138" s="15"/>
      <c r="F138" s="19"/>
      <c r="G138" s="19"/>
      <c r="H138" s="19"/>
      <c r="I138" s="19"/>
      <c r="J138" s="20"/>
      <c r="K138" s="13"/>
      <c r="L138" s="12"/>
      <c r="M138" s="13"/>
      <c r="N138" s="13"/>
      <c r="O138" s="13"/>
    </row>
    <row r="139">
      <c r="B139" s="19"/>
      <c r="C139" s="19"/>
      <c r="D139" s="19"/>
      <c r="E139" s="15"/>
      <c r="F139" s="11"/>
      <c r="G139" s="11"/>
      <c r="H139" s="11"/>
      <c r="I139" s="19"/>
      <c r="J139" s="20"/>
      <c r="K139" s="13"/>
      <c r="L139" s="12"/>
      <c r="M139" s="13"/>
      <c r="N139" s="13"/>
      <c r="O139" s="13"/>
    </row>
    <row r="140">
      <c r="B140" s="11"/>
      <c r="C140" s="11"/>
      <c r="D140" s="11"/>
      <c r="E140" s="15"/>
      <c r="F140" s="11"/>
      <c r="G140" s="11"/>
      <c r="H140" s="11"/>
      <c r="I140" s="11"/>
      <c r="J140" s="12"/>
      <c r="K140" s="13"/>
      <c r="L140" s="12"/>
      <c r="M140" s="13"/>
      <c r="N140" s="13"/>
      <c r="O140" s="13"/>
    </row>
    <row r="141">
      <c r="B141" s="11"/>
      <c r="C141" s="11"/>
      <c r="D141" s="11"/>
      <c r="E141" s="15"/>
      <c r="F141" s="11"/>
      <c r="G141" s="11"/>
      <c r="H141" s="11"/>
      <c r="I141" s="11"/>
      <c r="J141" s="12"/>
      <c r="K141" s="13"/>
      <c r="L141" s="12"/>
      <c r="M141" s="13"/>
      <c r="N141" s="13"/>
      <c r="O141" s="13"/>
    </row>
    <row r="142">
      <c r="B142" s="11"/>
      <c r="C142" s="11"/>
      <c r="D142" s="11"/>
      <c r="E142" s="15"/>
      <c r="F142" s="11"/>
      <c r="G142" s="11"/>
      <c r="H142" s="11"/>
      <c r="I142" s="11"/>
      <c r="J142" s="12"/>
      <c r="K142" s="13"/>
      <c r="L142" s="12"/>
      <c r="M142" s="13"/>
      <c r="N142" s="13"/>
      <c r="O142" s="13"/>
    </row>
    <row r="143">
      <c r="B143" s="11"/>
      <c r="C143" s="11"/>
      <c r="D143" s="11"/>
      <c r="E143" s="15"/>
      <c r="F143" s="11"/>
      <c r="G143" s="11"/>
      <c r="H143" s="11"/>
      <c r="I143" s="11"/>
      <c r="J143" s="12"/>
      <c r="K143" s="13"/>
      <c r="L143" s="12"/>
      <c r="M143" s="13"/>
      <c r="N143" s="13"/>
      <c r="O143" s="13"/>
    </row>
    <row r="144">
      <c r="B144" s="11"/>
      <c r="C144" s="11"/>
      <c r="D144" s="11"/>
      <c r="E144" s="15"/>
      <c r="F144" s="11"/>
      <c r="G144" s="11"/>
      <c r="H144" s="11"/>
      <c r="I144" s="11"/>
      <c r="J144" s="12"/>
      <c r="K144" s="13"/>
      <c r="L144" s="12"/>
      <c r="M144" s="13"/>
      <c r="N144" s="13"/>
      <c r="O144" s="13"/>
    </row>
    <row r="145">
      <c r="B145" s="11"/>
      <c r="C145" s="11"/>
      <c r="D145" s="11"/>
      <c r="E145" s="15"/>
      <c r="F145" s="11"/>
      <c r="G145" s="11"/>
      <c r="H145" s="11"/>
      <c r="I145" s="11"/>
      <c r="J145" s="12"/>
      <c r="K145" s="13"/>
      <c r="L145" s="12"/>
      <c r="M145" s="13"/>
      <c r="N145" s="13"/>
      <c r="O145" s="13"/>
    </row>
    <row r="146">
      <c r="B146" s="11"/>
      <c r="C146" s="11"/>
      <c r="D146" s="11"/>
      <c r="E146" s="15"/>
      <c r="F146" s="11"/>
      <c r="G146" s="11"/>
      <c r="H146" s="11"/>
      <c r="I146" s="11"/>
      <c r="J146" s="12"/>
      <c r="K146" s="13"/>
      <c r="L146" s="12"/>
      <c r="M146" s="13"/>
      <c r="N146" s="13"/>
      <c r="O146" s="13"/>
    </row>
    <row r="147">
      <c r="B147" s="11"/>
      <c r="C147" s="11"/>
      <c r="D147" s="11"/>
      <c r="E147" s="15"/>
      <c r="F147" s="11"/>
      <c r="G147" s="11"/>
      <c r="H147" s="11"/>
      <c r="I147" s="11"/>
      <c r="J147" s="12"/>
      <c r="K147" s="13"/>
      <c r="L147" s="12"/>
      <c r="M147" s="13"/>
      <c r="N147" s="13"/>
      <c r="O147" s="13"/>
    </row>
    <row r="148">
      <c r="B148" s="11"/>
      <c r="C148" s="11"/>
      <c r="D148" s="11"/>
      <c r="E148" s="15"/>
      <c r="F148" s="11"/>
      <c r="G148" s="11"/>
      <c r="H148" s="11"/>
      <c r="I148" s="11"/>
      <c r="J148" s="12"/>
      <c r="K148" s="13"/>
      <c r="L148" s="12"/>
      <c r="M148" s="13"/>
      <c r="N148" s="13"/>
      <c r="O148" s="13"/>
    </row>
    <row r="149">
      <c r="B149" s="11"/>
      <c r="C149" s="11"/>
      <c r="D149" s="11"/>
      <c r="E149" s="15"/>
      <c r="F149" s="11"/>
      <c r="G149" s="11"/>
      <c r="H149" s="11"/>
      <c r="I149" s="11"/>
      <c r="J149" s="12"/>
      <c r="K149" s="13"/>
      <c r="L149" s="12"/>
      <c r="M149" s="13"/>
      <c r="N149" s="13"/>
      <c r="O149" s="13"/>
    </row>
    <row r="150">
      <c r="B150" s="11"/>
      <c r="C150" s="11"/>
      <c r="D150" s="11"/>
      <c r="E150" s="15"/>
      <c r="F150" s="11"/>
      <c r="G150" s="11"/>
      <c r="H150" s="11"/>
      <c r="I150" s="11"/>
      <c r="J150" s="12"/>
      <c r="K150" s="13"/>
      <c r="L150" s="12"/>
      <c r="M150" s="13"/>
      <c r="N150" s="13"/>
      <c r="O150" s="13"/>
    </row>
    <row r="151">
      <c r="B151" s="11"/>
      <c r="C151" s="11"/>
      <c r="D151" s="11"/>
      <c r="E151" s="15"/>
      <c r="F151" s="11"/>
      <c r="G151" s="11"/>
      <c r="H151" s="11"/>
      <c r="I151" s="11"/>
      <c r="J151" s="12"/>
      <c r="K151" s="13"/>
      <c r="L151" s="12"/>
      <c r="M151" s="13"/>
      <c r="N151" s="13"/>
      <c r="O151" s="13"/>
    </row>
    <row r="152">
      <c r="B152" s="11"/>
      <c r="C152" s="11"/>
      <c r="D152" s="11"/>
      <c r="E152" s="15"/>
      <c r="F152" s="11"/>
      <c r="G152" s="11"/>
      <c r="H152" s="11"/>
      <c r="I152" s="11"/>
      <c r="J152" s="12"/>
      <c r="K152" s="13"/>
      <c r="L152" s="12"/>
      <c r="M152" s="13"/>
      <c r="N152" s="13"/>
      <c r="O152" s="13"/>
    </row>
    <row r="153">
      <c r="B153" s="11"/>
      <c r="C153" s="11"/>
      <c r="D153" s="11"/>
      <c r="E153" s="15"/>
      <c r="F153" s="11"/>
      <c r="G153" s="11"/>
      <c r="H153" s="11"/>
      <c r="I153" s="11"/>
      <c r="J153" s="12"/>
      <c r="K153" s="13"/>
      <c r="L153" s="12"/>
      <c r="M153" s="13"/>
      <c r="N153" s="13"/>
      <c r="O153" s="13"/>
    </row>
    <row r="154">
      <c r="B154" s="11"/>
      <c r="C154" s="11"/>
      <c r="D154" s="11"/>
      <c r="E154" s="15"/>
      <c r="F154" s="11"/>
      <c r="G154" s="11"/>
      <c r="H154" s="11"/>
      <c r="I154" s="11"/>
      <c r="J154" s="12"/>
      <c r="K154" s="13"/>
      <c r="L154" s="12"/>
      <c r="M154" s="13"/>
      <c r="N154" s="13"/>
      <c r="O154" s="13"/>
    </row>
    <row r="155">
      <c r="B155" s="11"/>
      <c r="C155" s="11"/>
      <c r="D155" s="11"/>
      <c r="E155" s="15"/>
      <c r="F155" s="11"/>
      <c r="G155" s="11"/>
      <c r="H155" s="11"/>
      <c r="I155" s="11"/>
      <c r="J155" s="12"/>
      <c r="K155" s="13"/>
      <c r="L155" s="12"/>
      <c r="M155" s="13"/>
      <c r="N155" s="13"/>
      <c r="O155" s="13"/>
    </row>
    <row r="156">
      <c r="B156" s="11"/>
      <c r="C156" s="11"/>
      <c r="D156" s="11"/>
      <c r="E156" s="15"/>
      <c r="F156" s="11"/>
      <c r="G156" s="11"/>
      <c r="H156" s="11"/>
      <c r="I156" s="11"/>
      <c r="J156" s="12"/>
      <c r="K156" s="13"/>
      <c r="L156" s="12"/>
      <c r="M156" s="13"/>
      <c r="N156" s="13"/>
      <c r="O156" s="13"/>
    </row>
    <row r="157">
      <c r="B157" s="11"/>
      <c r="C157" s="11"/>
      <c r="D157" s="11"/>
      <c r="E157" s="15"/>
      <c r="F157" s="11"/>
      <c r="G157" s="11"/>
      <c r="H157" s="11"/>
      <c r="I157" s="11"/>
      <c r="J157" s="12"/>
      <c r="K157" s="13"/>
      <c r="L157" s="12"/>
      <c r="M157" s="13"/>
      <c r="N157" s="13"/>
      <c r="O157" s="13"/>
    </row>
    <row r="158">
      <c r="B158" s="11"/>
      <c r="C158" s="11"/>
      <c r="D158" s="11"/>
      <c r="E158" s="15"/>
      <c r="F158" s="11"/>
      <c r="G158" s="11"/>
      <c r="H158" s="11"/>
      <c r="I158" s="11"/>
      <c r="J158" s="12"/>
      <c r="K158" s="13"/>
      <c r="L158" s="12"/>
      <c r="M158" s="13"/>
      <c r="N158" s="13"/>
      <c r="O158" s="13"/>
    </row>
    <row r="159">
      <c r="B159" s="11"/>
      <c r="C159" s="11"/>
      <c r="D159" s="11"/>
      <c r="E159" s="15"/>
      <c r="F159" s="11"/>
      <c r="G159" s="11"/>
      <c r="H159" s="11"/>
      <c r="I159" s="11"/>
      <c r="J159" s="12"/>
      <c r="K159" s="13"/>
      <c r="L159" s="12"/>
      <c r="M159" s="13"/>
      <c r="N159" s="13"/>
      <c r="O159" s="13"/>
    </row>
    <row r="160">
      <c r="B160" s="11"/>
      <c r="C160" s="11"/>
      <c r="D160" s="11"/>
      <c r="E160" s="15"/>
      <c r="F160" s="11"/>
      <c r="G160" s="11"/>
      <c r="H160" s="11"/>
      <c r="I160" s="11"/>
      <c r="J160" s="12"/>
      <c r="K160" s="13"/>
      <c r="L160" s="12"/>
      <c r="M160" s="13"/>
      <c r="N160" s="13"/>
      <c r="O160" s="13"/>
    </row>
    <row r="161">
      <c r="B161" s="11"/>
      <c r="C161" s="11"/>
      <c r="D161" s="11"/>
      <c r="E161" s="15"/>
      <c r="F161" s="11"/>
      <c r="G161" s="11"/>
      <c r="H161" s="11"/>
      <c r="I161" s="11"/>
      <c r="J161" s="12"/>
      <c r="K161" s="13"/>
      <c r="L161" s="12"/>
      <c r="M161" s="13"/>
      <c r="N161" s="13"/>
      <c r="O161" s="13"/>
    </row>
    <row r="162">
      <c r="B162" s="11"/>
      <c r="C162" s="11"/>
      <c r="D162" s="11"/>
      <c r="E162" s="15"/>
      <c r="F162" s="11"/>
      <c r="G162" s="11"/>
      <c r="H162" s="11"/>
      <c r="I162" s="11"/>
      <c r="J162" s="12"/>
      <c r="K162" s="13"/>
      <c r="L162" s="12"/>
      <c r="M162" s="13"/>
      <c r="N162" s="13"/>
      <c r="O162" s="13"/>
    </row>
    <row r="163">
      <c r="B163" s="11"/>
      <c r="C163" s="11"/>
      <c r="D163" s="11"/>
      <c r="E163" s="15"/>
      <c r="F163" s="11"/>
      <c r="G163" s="11"/>
      <c r="H163" s="11"/>
      <c r="I163" s="11"/>
      <c r="J163" s="12"/>
      <c r="K163" s="13"/>
      <c r="L163" s="12"/>
      <c r="M163" s="13"/>
      <c r="N163" s="13"/>
      <c r="O163" s="13"/>
    </row>
    <row r="164">
      <c r="B164" s="11"/>
      <c r="C164" s="11"/>
      <c r="D164" s="11"/>
      <c r="E164" s="15"/>
      <c r="F164" s="11"/>
      <c r="G164" s="11"/>
      <c r="H164" s="11"/>
      <c r="I164" s="11"/>
      <c r="J164" s="12"/>
      <c r="K164" s="13"/>
      <c r="L164" s="12"/>
      <c r="M164" s="13"/>
      <c r="N164" s="13"/>
      <c r="O164" s="13"/>
    </row>
    <row r="165">
      <c r="B165" s="11"/>
      <c r="C165" s="11"/>
      <c r="D165" s="11"/>
      <c r="E165" s="15"/>
      <c r="F165" s="11"/>
      <c r="G165" s="11"/>
      <c r="H165" s="11"/>
      <c r="I165" s="11"/>
      <c r="J165" s="12"/>
      <c r="K165" s="13"/>
      <c r="L165" s="12"/>
      <c r="M165" s="13"/>
      <c r="N165" s="13"/>
      <c r="O165" s="13"/>
    </row>
    <row r="166">
      <c r="B166" s="11"/>
      <c r="C166" s="11"/>
      <c r="D166" s="11"/>
      <c r="E166" s="15"/>
      <c r="F166" s="11"/>
      <c r="G166" s="11"/>
      <c r="H166" s="11"/>
      <c r="I166" s="11"/>
      <c r="J166" s="12"/>
      <c r="K166" s="13"/>
      <c r="L166" s="12"/>
      <c r="M166" s="13"/>
      <c r="N166" s="13"/>
      <c r="O166" s="13"/>
    </row>
    <row r="167">
      <c r="B167" s="11"/>
      <c r="C167" s="11"/>
      <c r="D167" s="11"/>
      <c r="E167" s="15"/>
      <c r="F167" s="11"/>
      <c r="G167" s="11"/>
      <c r="H167" s="11"/>
      <c r="I167" s="11"/>
      <c r="J167" s="12"/>
      <c r="K167" s="13"/>
      <c r="L167" s="12"/>
      <c r="M167" s="13"/>
      <c r="N167" s="13"/>
      <c r="O167" s="13"/>
    </row>
    <row r="168">
      <c r="B168" s="11"/>
      <c r="C168" s="11"/>
      <c r="D168" s="11"/>
      <c r="E168" s="15"/>
      <c r="F168" s="11"/>
      <c r="G168" s="11"/>
      <c r="H168" s="11"/>
      <c r="I168" s="11"/>
      <c r="J168" s="12"/>
      <c r="K168" s="13"/>
      <c r="L168" s="12"/>
      <c r="M168" s="13"/>
      <c r="N168" s="13"/>
      <c r="O168" s="13"/>
    </row>
    <row r="169">
      <c r="B169" s="11"/>
      <c r="C169" s="11"/>
      <c r="D169" s="11"/>
      <c r="E169" s="15"/>
      <c r="F169" s="11"/>
      <c r="G169" s="11"/>
      <c r="H169" s="11"/>
      <c r="I169" s="11"/>
      <c r="J169" s="12"/>
      <c r="K169" s="13"/>
      <c r="L169" s="12"/>
      <c r="M169" s="13"/>
      <c r="N169" s="13"/>
      <c r="O169" s="13"/>
    </row>
    <row r="170">
      <c r="B170" s="11"/>
      <c r="C170" s="11"/>
      <c r="D170" s="11"/>
      <c r="E170" s="15"/>
      <c r="F170" s="11"/>
      <c r="G170" s="11"/>
      <c r="H170" s="11"/>
      <c r="I170" s="11"/>
      <c r="J170" s="12"/>
      <c r="K170" s="13"/>
      <c r="L170" s="12"/>
      <c r="M170" s="13"/>
      <c r="N170" s="13"/>
      <c r="O170" s="13"/>
    </row>
    <row r="171">
      <c r="B171" s="11"/>
      <c r="C171" s="11"/>
      <c r="D171" s="11"/>
      <c r="E171" s="15"/>
      <c r="F171" s="11"/>
      <c r="G171" s="11"/>
      <c r="H171" s="11"/>
      <c r="I171" s="11"/>
      <c r="J171" s="12"/>
      <c r="K171" s="13"/>
      <c r="L171" s="12"/>
      <c r="M171" s="13"/>
      <c r="N171" s="13"/>
      <c r="O171" s="13"/>
    </row>
    <row r="172">
      <c r="B172" s="11"/>
      <c r="C172" s="11"/>
      <c r="D172" s="11"/>
      <c r="E172" s="15"/>
      <c r="F172" s="11"/>
      <c r="G172" s="11"/>
      <c r="H172" s="11"/>
      <c r="I172" s="11"/>
      <c r="J172" s="12"/>
      <c r="K172" s="13"/>
      <c r="L172" s="12"/>
      <c r="M172" s="13"/>
      <c r="N172" s="13"/>
      <c r="O172" s="13"/>
    </row>
    <row r="173">
      <c r="B173" s="11"/>
      <c r="C173" s="11"/>
      <c r="D173" s="11"/>
      <c r="E173" s="15"/>
      <c r="F173" s="11"/>
      <c r="G173" s="11"/>
      <c r="H173" s="11"/>
      <c r="I173" s="11"/>
      <c r="J173" s="12"/>
      <c r="K173" s="13"/>
      <c r="L173" s="12"/>
      <c r="M173" s="13"/>
      <c r="N173" s="13"/>
      <c r="O173" s="13"/>
    </row>
    <row r="174">
      <c r="B174" s="11"/>
      <c r="C174" s="11"/>
      <c r="D174" s="11"/>
      <c r="E174" s="15"/>
      <c r="F174" s="11"/>
      <c r="G174" s="11"/>
      <c r="H174" s="11"/>
      <c r="I174" s="11"/>
      <c r="J174" s="12"/>
      <c r="K174" s="13"/>
      <c r="L174" s="12"/>
      <c r="M174" s="13"/>
      <c r="N174" s="13"/>
      <c r="O174" s="13"/>
    </row>
    <row r="175">
      <c r="B175" s="11"/>
      <c r="C175" s="11"/>
      <c r="D175" s="11"/>
      <c r="E175" s="15"/>
      <c r="F175" s="11"/>
      <c r="G175" s="11"/>
      <c r="H175" s="11"/>
      <c r="I175" s="11"/>
      <c r="J175" s="12"/>
      <c r="K175" s="13"/>
      <c r="L175" s="12"/>
      <c r="M175" s="13"/>
      <c r="N175" s="13"/>
      <c r="O175" s="13"/>
    </row>
    <row r="176">
      <c r="B176" s="11"/>
      <c r="C176" s="11"/>
      <c r="D176" s="11"/>
      <c r="E176" s="15"/>
      <c r="F176" s="11"/>
      <c r="G176" s="11"/>
      <c r="H176" s="11"/>
      <c r="I176" s="11"/>
      <c r="J176" s="12"/>
      <c r="K176" s="13"/>
      <c r="L176" s="12"/>
      <c r="M176" s="13"/>
      <c r="N176" s="13"/>
      <c r="O176" s="13"/>
    </row>
    <row r="177">
      <c r="B177" s="11"/>
      <c r="C177" s="11"/>
      <c r="D177" s="11"/>
      <c r="E177" s="15"/>
      <c r="F177" s="11"/>
      <c r="G177" s="11"/>
      <c r="H177" s="11"/>
      <c r="I177" s="11"/>
      <c r="J177" s="12"/>
      <c r="K177" s="13"/>
      <c r="L177" s="12"/>
      <c r="M177" s="13"/>
      <c r="N177" s="13"/>
      <c r="O177" s="13"/>
    </row>
    <row r="178">
      <c r="B178" s="11"/>
      <c r="C178" s="11"/>
      <c r="D178" s="11"/>
      <c r="E178" s="15"/>
      <c r="F178" s="11"/>
      <c r="G178" s="11"/>
      <c r="H178" s="11"/>
      <c r="I178" s="11"/>
      <c r="J178" s="12"/>
      <c r="K178" s="13"/>
      <c r="L178" s="12"/>
      <c r="M178" s="13"/>
      <c r="N178" s="13"/>
      <c r="O178" s="13"/>
    </row>
    <row r="179">
      <c r="B179" s="11"/>
      <c r="C179" s="11"/>
      <c r="D179" s="11"/>
      <c r="E179" s="15"/>
      <c r="F179" s="11"/>
      <c r="G179" s="11"/>
      <c r="H179" s="11"/>
      <c r="I179" s="11"/>
      <c r="J179" s="12"/>
      <c r="K179" s="13"/>
      <c r="L179" s="12"/>
      <c r="M179" s="13"/>
      <c r="N179" s="13"/>
      <c r="O179" s="13"/>
    </row>
    <row r="180">
      <c r="B180" s="11"/>
      <c r="C180" s="11"/>
      <c r="D180" s="11"/>
      <c r="E180" s="15"/>
      <c r="F180" s="11"/>
      <c r="G180" s="11"/>
      <c r="H180" s="11"/>
      <c r="I180" s="11"/>
      <c r="J180" s="12"/>
      <c r="K180" s="13"/>
      <c r="L180" s="12"/>
      <c r="M180" s="13"/>
      <c r="N180" s="13"/>
      <c r="O180" s="13"/>
    </row>
    <row r="181">
      <c r="B181" s="11"/>
      <c r="C181" s="11"/>
      <c r="D181" s="11"/>
      <c r="E181" s="15"/>
      <c r="F181" s="11"/>
      <c r="G181" s="11"/>
      <c r="H181" s="11"/>
      <c r="I181" s="11"/>
      <c r="J181" s="12"/>
      <c r="K181" s="13"/>
      <c r="L181" s="12"/>
      <c r="M181" s="13"/>
      <c r="N181" s="13"/>
      <c r="O181" s="13"/>
    </row>
    <row r="182">
      <c r="B182" s="11"/>
      <c r="C182" s="11"/>
      <c r="D182" s="11"/>
      <c r="E182" s="15"/>
      <c r="F182" s="11"/>
      <c r="G182" s="11"/>
      <c r="H182" s="11"/>
      <c r="I182" s="11"/>
      <c r="J182" s="12"/>
      <c r="K182" s="13"/>
      <c r="L182" s="12"/>
      <c r="M182" s="13"/>
      <c r="N182" s="13"/>
      <c r="O182" s="13"/>
    </row>
    <row r="183">
      <c r="B183" s="11"/>
      <c r="C183" s="11"/>
      <c r="D183" s="11"/>
      <c r="E183" s="15"/>
      <c r="F183" s="11"/>
      <c r="G183" s="11"/>
      <c r="H183" s="11"/>
      <c r="I183" s="11"/>
      <c r="J183" s="12"/>
      <c r="K183" s="13"/>
      <c r="L183" s="12"/>
      <c r="M183" s="13"/>
      <c r="N183" s="13"/>
      <c r="O183" s="13"/>
    </row>
    <row r="184">
      <c r="B184" s="11"/>
      <c r="C184" s="11"/>
      <c r="D184" s="11"/>
      <c r="E184" s="15"/>
      <c r="F184" s="11"/>
      <c r="G184" s="11"/>
      <c r="H184" s="11"/>
      <c r="I184" s="11"/>
      <c r="J184" s="12"/>
      <c r="K184" s="13"/>
      <c r="L184" s="12"/>
      <c r="M184" s="13"/>
      <c r="N184" s="13"/>
      <c r="O184" s="13"/>
    </row>
    <row r="185">
      <c r="B185" s="11"/>
      <c r="C185" s="11"/>
      <c r="D185" s="11"/>
      <c r="E185" s="15"/>
      <c r="F185" s="11"/>
      <c r="G185" s="11"/>
      <c r="H185" s="11"/>
      <c r="I185" s="11"/>
      <c r="J185" s="12"/>
      <c r="K185" s="13"/>
      <c r="L185" s="12"/>
      <c r="M185" s="13"/>
      <c r="N185" s="13"/>
      <c r="O185" s="13"/>
    </row>
    <row r="186">
      <c r="B186" s="11"/>
      <c r="C186" s="11"/>
      <c r="D186" s="11"/>
      <c r="E186" s="15"/>
      <c r="F186" s="11"/>
      <c r="G186" s="11"/>
      <c r="H186" s="11"/>
      <c r="I186" s="11"/>
      <c r="J186" s="12"/>
      <c r="K186" s="13"/>
      <c r="L186" s="12"/>
      <c r="M186" s="13"/>
      <c r="N186" s="13"/>
      <c r="O186" s="13"/>
    </row>
    <row r="187">
      <c r="B187" s="11"/>
      <c r="C187" s="11"/>
      <c r="D187" s="11"/>
      <c r="E187" s="15"/>
      <c r="F187" s="11"/>
      <c r="G187" s="11"/>
      <c r="H187" s="11"/>
      <c r="I187" s="11"/>
      <c r="J187" s="12"/>
      <c r="K187" s="13"/>
      <c r="L187" s="12"/>
      <c r="M187" s="13"/>
      <c r="N187" s="13"/>
      <c r="O187" s="13"/>
    </row>
    <row r="188">
      <c r="B188" s="11"/>
      <c r="C188" s="11"/>
      <c r="D188" s="11"/>
      <c r="E188" s="15"/>
      <c r="F188" s="11"/>
      <c r="G188" s="11"/>
      <c r="H188" s="11"/>
      <c r="I188" s="11"/>
      <c r="J188" s="12"/>
      <c r="K188" s="13"/>
      <c r="L188" s="12"/>
      <c r="M188" s="13"/>
      <c r="N188" s="13"/>
      <c r="O188" s="13"/>
    </row>
    <row r="189">
      <c r="B189" s="11"/>
      <c r="C189" s="11"/>
      <c r="D189" s="11"/>
      <c r="E189" s="15"/>
      <c r="F189" s="11"/>
      <c r="G189" s="11"/>
      <c r="H189" s="11"/>
      <c r="I189" s="11"/>
      <c r="J189" s="12"/>
      <c r="K189" s="13"/>
      <c r="L189" s="12"/>
      <c r="M189" s="13"/>
      <c r="N189" s="13"/>
      <c r="O189" s="13"/>
    </row>
    <row r="190">
      <c r="B190" s="11"/>
      <c r="C190" s="11"/>
      <c r="D190" s="11"/>
      <c r="E190" s="15"/>
      <c r="F190" s="11"/>
      <c r="G190" s="11"/>
      <c r="H190" s="11"/>
      <c r="I190" s="11"/>
      <c r="J190" s="12"/>
      <c r="K190" s="13"/>
      <c r="L190" s="12"/>
      <c r="M190" s="13"/>
      <c r="N190" s="13"/>
      <c r="O190" s="13"/>
    </row>
    <row r="191">
      <c r="B191" s="11"/>
      <c r="C191" s="11"/>
      <c r="D191" s="11"/>
      <c r="E191" s="15"/>
      <c r="F191" s="11"/>
      <c r="G191" s="11"/>
      <c r="H191" s="11"/>
      <c r="I191" s="11"/>
      <c r="J191" s="12"/>
      <c r="K191" s="13"/>
      <c r="L191" s="12"/>
      <c r="M191" s="13"/>
      <c r="N191" s="13"/>
      <c r="O191" s="13"/>
    </row>
    <row r="192">
      <c r="B192" s="11"/>
      <c r="C192" s="11"/>
      <c r="D192" s="11"/>
      <c r="E192" s="15"/>
      <c r="F192" s="11"/>
      <c r="G192" s="11"/>
      <c r="H192" s="11"/>
      <c r="I192" s="11"/>
      <c r="J192" s="12"/>
      <c r="K192" s="13"/>
      <c r="L192" s="12"/>
      <c r="M192" s="13"/>
      <c r="N192" s="13"/>
      <c r="O192" s="13"/>
    </row>
    <row r="193">
      <c r="B193" s="11"/>
      <c r="C193" s="11"/>
      <c r="D193" s="11"/>
      <c r="E193" s="15"/>
      <c r="F193" s="11"/>
      <c r="G193" s="11"/>
      <c r="H193" s="11"/>
      <c r="I193" s="11"/>
      <c r="J193" s="12"/>
      <c r="K193" s="13"/>
      <c r="L193" s="12"/>
      <c r="M193" s="13"/>
      <c r="N193" s="13"/>
      <c r="O193" s="13"/>
    </row>
    <row r="194">
      <c r="B194" s="11"/>
      <c r="C194" s="11"/>
      <c r="D194" s="11"/>
      <c r="E194" s="15"/>
      <c r="F194" s="11"/>
      <c r="G194" s="11"/>
      <c r="H194" s="11"/>
      <c r="I194" s="11"/>
      <c r="J194" s="12"/>
      <c r="K194" s="13"/>
      <c r="L194" s="12"/>
      <c r="M194" s="13"/>
      <c r="N194" s="13"/>
      <c r="O194" s="13"/>
    </row>
    <row r="195">
      <c r="B195" s="11"/>
      <c r="C195" s="11"/>
      <c r="D195" s="11"/>
      <c r="E195" s="15"/>
      <c r="F195" s="11"/>
      <c r="G195" s="11"/>
      <c r="H195" s="11"/>
      <c r="I195" s="11"/>
      <c r="J195" s="12"/>
      <c r="K195" s="13"/>
      <c r="L195" s="12"/>
      <c r="M195" s="13"/>
      <c r="N195" s="13"/>
      <c r="O195" s="13"/>
    </row>
    <row r="196">
      <c r="B196" s="11"/>
      <c r="C196" s="11"/>
      <c r="D196" s="11"/>
      <c r="E196" s="15"/>
      <c r="F196" s="11"/>
      <c r="G196" s="11"/>
      <c r="H196" s="11"/>
      <c r="I196" s="11"/>
      <c r="J196" s="12"/>
      <c r="K196" s="13"/>
      <c r="L196" s="12"/>
      <c r="M196" s="13"/>
      <c r="N196" s="13"/>
      <c r="O196" s="13"/>
    </row>
    <row r="197">
      <c r="B197" s="11"/>
      <c r="C197" s="11"/>
      <c r="D197" s="11"/>
      <c r="E197" s="15"/>
      <c r="F197" s="11"/>
      <c r="G197" s="11"/>
      <c r="H197" s="11"/>
      <c r="I197" s="11"/>
      <c r="J197" s="12"/>
      <c r="K197" s="13"/>
      <c r="L197" s="12"/>
      <c r="M197" s="13"/>
      <c r="N197" s="13"/>
      <c r="O197" s="13"/>
    </row>
    <row r="198">
      <c r="B198" s="11"/>
      <c r="C198" s="11"/>
      <c r="D198" s="11"/>
      <c r="E198" s="15"/>
      <c r="F198" s="11"/>
      <c r="G198" s="11"/>
      <c r="H198" s="11"/>
      <c r="I198" s="11"/>
      <c r="J198" s="12"/>
      <c r="K198" s="13"/>
      <c r="L198" s="12"/>
      <c r="M198" s="13"/>
      <c r="N198" s="13"/>
      <c r="O198" s="13"/>
    </row>
    <row r="199">
      <c r="B199" s="11"/>
      <c r="C199" s="11"/>
      <c r="D199" s="11"/>
      <c r="E199" s="15"/>
      <c r="F199" s="11"/>
      <c r="G199" s="11"/>
      <c r="H199" s="11"/>
      <c r="I199" s="11"/>
      <c r="J199" s="12"/>
      <c r="K199" s="13"/>
      <c r="L199" s="12"/>
      <c r="M199" s="13"/>
      <c r="N199" s="13"/>
      <c r="O199" s="13"/>
    </row>
    <row r="200">
      <c r="B200" s="11"/>
      <c r="C200" s="11"/>
      <c r="D200" s="11"/>
      <c r="E200" s="15"/>
      <c r="F200" s="11"/>
      <c r="G200" s="11"/>
      <c r="H200" s="11"/>
      <c r="I200" s="11"/>
      <c r="J200" s="12"/>
      <c r="K200" s="13"/>
      <c r="L200" s="12"/>
      <c r="M200" s="13"/>
      <c r="N200" s="13"/>
      <c r="O200" s="13"/>
    </row>
    <row r="201">
      <c r="B201" s="11"/>
      <c r="C201" s="11"/>
      <c r="D201" s="11"/>
      <c r="E201" s="15"/>
      <c r="F201" s="11"/>
      <c r="G201" s="11"/>
      <c r="H201" s="11"/>
      <c r="I201" s="11"/>
      <c r="J201" s="12"/>
      <c r="K201" s="13"/>
      <c r="L201" s="12"/>
      <c r="M201" s="13"/>
      <c r="N201" s="13"/>
      <c r="O201" s="13"/>
    </row>
    <row r="202">
      <c r="B202" s="11"/>
      <c r="C202" s="11"/>
      <c r="D202" s="11"/>
      <c r="E202" s="15"/>
      <c r="F202" s="11"/>
      <c r="G202" s="11"/>
      <c r="H202" s="11"/>
      <c r="I202" s="11"/>
      <c r="J202" s="12"/>
      <c r="K202" s="13"/>
      <c r="L202" s="12"/>
      <c r="M202" s="13"/>
      <c r="N202" s="13"/>
      <c r="O202" s="13"/>
    </row>
    <row r="203">
      <c r="B203" s="11"/>
      <c r="C203" s="11"/>
      <c r="D203" s="11"/>
      <c r="E203" s="15"/>
      <c r="F203" s="11"/>
      <c r="G203" s="11"/>
      <c r="H203" s="11"/>
      <c r="I203" s="11"/>
      <c r="J203" s="12"/>
      <c r="K203" s="13"/>
      <c r="L203" s="12"/>
      <c r="M203" s="13"/>
      <c r="N203" s="13"/>
      <c r="O203" s="13"/>
    </row>
    <row r="204">
      <c r="B204" s="11"/>
      <c r="C204" s="11"/>
      <c r="D204" s="11"/>
      <c r="E204" s="15"/>
      <c r="F204" s="11"/>
      <c r="G204" s="11"/>
      <c r="H204" s="11"/>
      <c r="I204" s="11"/>
      <c r="J204" s="12"/>
      <c r="K204" s="13"/>
      <c r="L204" s="12"/>
      <c r="M204" s="13"/>
      <c r="N204" s="13"/>
      <c r="O204" s="13"/>
    </row>
    <row r="205">
      <c r="B205" s="11"/>
      <c r="C205" s="11"/>
      <c r="D205" s="11"/>
      <c r="E205" s="15"/>
      <c r="F205" s="11"/>
      <c r="G205" s="11"/>
      <c r="H205" s="11"/>
      <c r="I205" s="11"/>
      <c r="J205" s="12"/>
      <c r="K205" s="13"/>
      <c r="L205" s="12"/>
      <c r="M205" s="13"/>
      <c r="N205" s="13"/>
      <c r="O205" s="13"/>
    </row>
    <row r="206">
      <c r="B206" s="11"/>
      <c r="C206" s="11"/>
      <c r="D206" s="11"/>
      <c r="E206" s="15"/>
      <c r="F206" s="11"/>
      <c r="G206" s="11"/>
      <c r="H206" s="11"/>
      <c r="I206" s="11"/>
      <c r="J206" s="12"/>
      <c r="K206" s="13"/>
      <c r="L206" s="12"/>
      <c r="M206" s="13"/>
      <c r="N206" s="13"/>
      <c r="O206" s="13"/>
    </row>
    <row r="207">
      <c r="B207" s="11"/>
      <c r="C207" s="11"/>
      <c r="D207" s="11"/>
      <c r="E207" s="15"/>
      <c r="F207" s="11"/>
      <c r="G207" s="11"/>
      <c r="H207" s="11"/>
      <c r="I207" s="11"/>
      <c r="J207" s="12"/>
      <c r="K207" s="13"/>
      <c r="L207" s="12"/>
      <c r="M207" s="13"/>
      <c r="N207" s="13"/>
      <c r="O207" s="13"/>
    </row>
    <row r="208">
      <c r="B208" s="11"/>
      <c r="C208" s="11"/>
      <c r="D208" s="11"/>
      <c r="E208" s="15"/>
      <c r="F208" s="11"/>
      <c r="G208" s="11"/>
      <c r="H208" s="11"/>
      <c r="I208" s="11"/>
      <c r="J208" s="12"/>
      <c r="K208" s="13"/>
      <c r="L208" s="12"/>
      <c r="M208" s="13"/>
      <c r="N208" s="13"/>
      <c r="O208" s="13"/>
    </row>
    <row r="209">
      <c r="B209" s="11"/>
      <c r="C209" s="11"/>
      <c r="D209" s="11"/>
      <c r="E209" s="15"/>
      <c r="F209" s="11"/>
      <c r="G209" s="11"/>
      <c r="H209" s="11"/>
      <c r="I209" s="11"/>
      <c r="J209" s="12"/>
      <c r="K209" s="13"/>
      <c r="L209" s="12"/>
      <c r="M209" s="13"/>
      <c r="N209" s="13"/>
      <c r="O209" s="13"/>
    </row>
    <row r="210">
      <c r="B210" s="11"/>
      <c r="C210" s="11"/>
      <c r="D210" s="11"/>
      <c r="E210" s="15"/>
      <c r="F210" s="11"/>
      <c r="G210" s="11"/>
      <c r="H210" s="11"/>
      <c r="I210" s="11"/>
      <c r="J210" s="12"/>
      <c r="K210" s="13"/>
      <c r="L210" s="12"/>
      <c r="M210" s="13"/>
      <c r="N210" s="13"/>
      <c r="O210" s="13"/>
    </row>
    <row r="211">
      <c r="B211" s="11"/>
      <c r="C211" s="11"/>
      <c r="D211" s="11"/>
      <c r="E211" s="15"/>
      <c r="F211" s="11"/>
      <c r="G211" s="11"/>
      <c r="H211" s="11"/>
      <c r="I211" s="11"/>
      <c r="J211" s="12"/>
      <c r="K211" s="13"/>
      <c r="L211" s="12"/>
      <c r="M211" s="13"/>
      <c r="N211" s="13"/>
      <c r="O211" s="13"/>
    </row>
    <row r="212">
      <c r="B212" s="11"/>
      <c r="C212" s="11"/>
      <c r="D212" s="11"/>
      <c r="E212" s="15"/>
      <c r="F212" s="11"/>
      <c r="G212" s="11"/>
      <c r="H212" s="11"/>
      <c r="I212" s="11"/>
      <c r="J212" s="12"/>
      <c r="K212" s="13"/>
      <c r="L212" s="12"/>
      <c r="M212" s="13"/>
      <c r="N212" s="13"/>
      <c r="O212" s="13"/>
    </row>
    <row r="213">
      <c r="B213" s="11"/>
      <c r="C213" s="11"/>
      <c r="D213" s="11"/>
      <c r="E213" s="15"/>
      <c r="F213" s="11"/>
      <c r="G213" s="11"/>
      <c r="H213" s="11"/>
      <c r="I213" s="11"/>
      <c r="J213" s="12"/>
      <c r="K213" s="13"/>
      <c r="L213" s="12"/>
      <c r="M213" s="13"/>
      <c r="N213" s="13"/>
      <c r="O213" s="13"/>
    </row>
    <row r="214">
      <c r="B214" s="11"/>
      <c r="C214" s="11"/>
      <c r="D214" s="11"/>
      <c r="E214" s="15"/>
      <c r="F214" s="11"/>
      <c r="G214" s="11"/>
      <c r="H214" s="11"/>
      <c r="I214" s="11"/>
      <c r="J214" s="12"/>
      <c r="K214" s="13"/>
      <c r="L214" s="12"/>
      <c r="M214" s="13"/>
      <c r="N214" s="13"/>
      <c r="O214" s="13"/>
    </row>
    <row r="215">
      <c r="B215" s="11"/>
      <c r="C215" s="11"/>
      <c r="D215" s="11"/>
      <c r="E215" s="15"/>
      <c r="F215" s="11"/>
      <c r="G215" s="11"/>
      <c r="H215" s="11"/>
      <c r="I215" s="11"/>
      <c r="J215" s="12"/>
      <c r="K215" s="13"/>
      <c r="L215" s="12"/>
      <c r="M215" s="13"/>
      <c r="N215" s="13"/>
      <c r="O215" s="13"/>
    </row>
    <row r="216">
      <c r="B216" s="11"/>
      <c r="C216" s="11"/>
      <c r="D216" s="11"/>
      <c r="E216" s="15"/>
      <c r="F216" s="11"/>
      <c r="G216" s="11"/>
      <c r="H216" s="11"/>
      <c r="I216" s="11"/>
      <c r="J216" s="12"/>
      <c r="K216" s="13"/>
      <c r="L216" s="12"/>
      <c r="M216" s="13"/>
      <c r="N216" s="13"/>
      <c r="O216" s="13"/>
    </row>
    <row r="217">
      <c r="B217" s="11"/>
      <c r="C217" s="11"/>
      <c r="D217" s="11"/>
      <c r="E217" s="15"/>
      <c r="F217" s="11"/>
      <c r="G217" s="11"/>
      <c r="H217" s="11"/>
      <c r="I217" s="11"/>
      <c r="J217" s="12"/>
      <c r="K217" s="13"/>
      <c r="L217" s="12"/>
      <c r="M217" s="13"/>
      <c r="N217" s="13"/>
      <c r="O217" s="13"/>
    </row>
    <row r="218">
      <c r="B218" s="11"/>
      <c r="C218" s="11"/>
      <c r="D218" s="11"/>
      <c r="E218" s="15"/>
      <c r="F218" s="11"/>
      <c r="G218" s="11"/>
      <c r="H218" s="11"/>
      <c r="I218" s="11"/>
      <c r="J218" s="12"/>
      <c r="K218" s="13"/>
      <c r="L218" s="12"/>
      <c r="M218" s="13"/>
      <c r="N218" s="13"/>
      <c r="O218" s="13"/>
    </row>
    <row r="219">
      <c r="B219" s="11"/>
      <c r="C219" s="11"/>
      <c r="D219" s="11"/>
      <c r="E219" s="15"/>
      <c r="F219" s="11"/>
      <c r="G219" s="11"/>
      <c r="H219" s="11"/>
      <c r="I219" s="11"/>
      <c r="J219" s="12"/>
      <c r="K219" s="13"/>
      <c r="L219" s="12"/>
      <c r="M219" s="13"/>
      <c r="N219" s="13"/>
      <c r="O219" s="13"/>
    </row>
    <row r="220">
      <c r="B220" s="11"/>
      <c r="C220" s="11"/>
      <c r="D220" s="11"/>
      <c r="E220" s="15"/>
      <c r="F220" s="11"/>
      <c r="G220" s="11"/>
      <c r="H220" s="11"/>
      <c r="I220" s="11"/>
      <c r="J220" s="12"/>
      <c r="K220" s="13"/>
      <c r="L220" s="12"/>
      <c r="M220" s="13"/>
      <c r="N220" s="13"/>
      <c r="O220" s="13"/>
    </row>
    <row r="221">
      <c r="B221" s="11"/>
      <c r="C221" s="11"/>
      <c r="D221" s="11"/>
      <c r="E221" s="15"/>
      <c r="F221" s="11"/>
      <c r="G221" s="11"/>
      <c r="H221" s="11"/>
      <c r="I221" s="11"/>
      <c r="J221" s="12"/>
      <c r="K221" s="13"/>
      <c r="L221" s="12"/>
      <c r="M221" s="13"/>
      <c r="N221" s="13"/>
      <c r="O221" s="13"/>
    </row>
    <row r="222">
      <c r="B222" s="11"/>
      <c r="C222" s="11"/>
      <c r="D222" s="11"/>
      <c r="E222" s="15"/>
      <c r="F222" s="11"/>
      <c r="G222" s="11"/>
      <c r="H222" s="11"/>
      <c r="I222" s="11"/>
      <c r="J222" s="12"/>
      <c r="K222" s="13"/>
      <c r="L222" s="12"/>
      <c r="M222" s="13"/>
      <c r="N222" s="13"/>
      <c r="O222" s="13"/>
    </row>
    <row r="223">
      <c r="B223" s="11"/>
      <c r="C223" s="11"/>
      <c r="D223" s="11"/>
      <c r="E223" s="15"/>
      <c r="F223" s="11"/>
      <c r="G223" s="11"/>
      <c r="H223" s="11"/>
      <c r="I223" s="11"/>
      <c r="J223" s="12"/>
      <c r="K223" s="13"/>
      <c r="L223" s="12"/>
      <c r="M223" s="13"/>
      <c r="N223" s="13"/>
      <c r="O223" s="13"/>
    </row>
    <row r="224">
      <c r="B224" s="11"/>
      <c r="C224" s="11"/>
      <c r="D224" s="11"/>
      <c r="E224" s="15"/>
      <c r="F224" s="11"/>
      <c r="G224" s="11"/>
      <c r="H224" s="11"/>
      <c r="I224" s="11"/>
      <c r="J224" s="12"/>
      <c r="K224" s="13"/>
      <c r="L224" s="12"/>
      <c r="M224" s="13"/>
      <c r="N224" s="13"/>
      <c r="O224" s="13"/>
    </row>
    <row r="225">
      <c r="B225" s="11"/>
      <c r="C225" s="11"/>
      <c r="D225" s="11"/>
      <c r="E225" s="15"/>
      <c r="F225" s="11"/>
      <c r="G225" s="11"/>
      <c r="H225" s="11"/>
      <c r="I225" s="11"/>
      <c r="J225" s="12"/>
      <c r="K225" s="13"/>
      <c r="L225" s="12"/>
      <c r="M225" s="13"/>
      <c r="N225" s="13"/>
      <c r="O225" s="13"/>
    </row>
    <row r="226">
      <c r="B226" s="11"/>
      <c r="C226" s="11"/>
      <c r="D226" s="11"/>
      <c r="E226" s="15"/>
      <c r="F226" s="11"/>
      <c r="G226" s="11"/>
      <c r="H226" s="11"/>
      <c r="I226" s="11"/>
      <c r="J226" s="12"/>
      <c r="K226" s="13"/>
      <c r="L226" s="12"/>
      <c r="M226" s="13"/>
      <c r="N226" s="13"/>
      <c r="O226" s="13"/>
    </row>
    <row r="227">
      <c r="B227" s="11"/>
      <c r="C227" s="11"/>
      <c r="D227" s="11"/>
      <c r="E227" s="15"/>
      <c r="F227" s="11"/>
      <c r="G227" s="11"/>
      <c r="H227" s="11"/>
      <c r="I227" s="11"/>
      <c r="J227" s="12"/>
      <c r="K227" s="13"/>
      <c r="L227" s="12"/>
      <c r="M227" s="13"/>
      <c r="N227" s="13"/>
      <c r="O227" s="13"/>
    </row>
    <row r="228">
      <c r="B228" s="11"/>
      <c r="C228" s="11"/>
      <c r="D228" s="11"/>
      <c r="E228" s="15"/>
      <c r="F228" s="11"/>
      <c r="G228" s="11"/>
      <c r="H228" s="11"/>
      <c r="I228" s="11"/>
      <c r="J228" s="12"/>
      <c r="K228" s="13"/>
      <c r="L228" s="12"/>
      <c r="M228" s="13"/>
      <c r="N228" s="13"/>
      <c r="O228" s="13"/>
    </row>
    <row r="229">
      <c r="B229" s="11"/>
      <c r="C229" s="11"/>
      <c r="D229" s="11"/>
      <c r="E229" s="15"/>
      <c r="F229" s="11"/>
      <c r="G229" s="11"/>
      <c r="H229" s="11"/>
      <c r="I229" s="11"/>
      <c r="J229" s="12"/>
      <c r="K229" s="13"/>
      <c r="L229" s="12"/>
      <c r="M229" s="13"/>
      <c r="N229" s="13"/>
      <c r="O229" s="13"/>
    </row>
    <row r="230">
      <c r="B230" s="11"/>
      <c r="C230" s="11"/>
      <c r="D230" s="11"/>
      <c r="E230" s="15"/>
      <c r="F230" s="11"/>
      <c r="G230" s="11"/>
      <c r="H230" s="11"/>
      <c r="I230" s="11"/>
      <c r="J230" s="12"/>
      <c r="K230" s="13"/>
      <c r="L230" s="12"/>
      <c r="M230" s="13"/>
      <c r="N230" s="13"/>
      <c r="O230" s="13"/>
    </row>
    <row r="231">
      <c r="B231" s="11"/>
      <c r="C231" s="11"/>
      <c r="D231" s="11"/>
      <c r="E231" s="15"/>
      <c r="F231" s="11"/>
      <c r="G231" s="11"/>
      <c r="H231" s="11"/>
      <c r="I231" s="11"/>
      <c r="J231" s="12"/>
      <c r="K231" s="13"/>
      <c r="L231" s="12"/>
      <c r="M231" s="13"/>
      <c r="N231" s="13"/>
      <c r="O231" s="13"/>
    </row>
    <row r="232">
      <c r="B232" s="11"/>
      <c r="C232" s="11"/>
      <c r="D232" s="11"/>
      <c r="E232" s="15"/>
      <c r="F232" s="11"/>
      <c r="G232" s="11"/>
      <c r="H232" s="11"/>
      <c r="I232" s="11"/>
      <c r="J232" s="12"/>
      <c r="K232" s="13"/>
      <c r="L232" s="12"/>
      <c r="M232" s="13"/>
      <c r="N232" s="13"/>
      <c r="O232" s="13"/>
    </row>
    <row r="233">
      <c r="B233" s="11"/>
      <c r="C233" s="11"/>
      <c r="D233" s="11"/>
      <c r="E233" s="15"/>
      <c r="F233" s="11"/>
      <c r="G233" s="11"/>
      <c r="H233" s="11"/>
      <c r="I233" s="11"/>
      <c r="J233" s="12"/>
      <c r="K233" s="13"/>
      <c r="L233" s="12"/>
      <c r="M233" s="13"/>
      <c r="N233" s="13"/>
      <c r="O233" s="13"/>
    </row>
    <row r="234">
      <c r="B234" s="11"/>
      <c r="C234" s="11"/>
      <c r="D234" s="11"/>
      <c r="E234" s="15"/>
      <c r="F234" s="11"/>
      <c r="G234" s="11"/>
      <c r="H234" s="11"/>
      <c r="I234" s="11"/>
      <c r="J234" s="12"/>
      <c r="K234" s="13"/>
      <c r="L234" s="12"/>
      <c r="M234" s="13"/>
      <c r="N234" s="13"/>
      <c r="O234" s="13"/>
    </row>
    <row r="235">
      <c r="B235" s="11"/>
      <c r="C235" s="11"/>
      <c r="D235" s="11"/>
      <c r="E235" s="15"/>
      <c r="F235" s="11"/>
      <c r="G235" s="11"/>
      <c r="H235" s="11"/>
      <c r="I235" s="11"/>
      <c r="J235" s="12"/>
      <c r="K235" s="13"/>
      <c r="L235" s="12"/>
      <c r="M235" s="13"/>
      <c r="N235" s="13"/>
      <c r="O235" s="13"/>
    </row>
    <row r="236">
      <c r="B236" s="11"/>
      <c r="C236" s="11"/>
      <c r="D236" s="11"/>
      <c r="E236" s="15"/>
      <c r="F236" s="11"/>
      <c r="G236" s="11"/>
      <c r="H236" s="11"/>
      <c r="I236" s="11"/>
      <c r="J236" s="12"/>
      <c r="K236" s="13"/>
      <c r="L236" s="12"/>
      <c r="M236" s="13"/>
      <c r="N236" s="13"/>
      <c r="O236" s="13"/>
    </row>
    <row r="237">
      <c r="B237" s="11"/>
      <c r="C237" s="11"/>
      <c r="D237" s="11"/>
      <c r="E237" s="15"/>
      <c r="F237" s="11"/>
      <c r="G237" s="11"/>
      <c r="H237" s="11"/>
      <c r="I237" s="11"/>
      <c r="J237" s="12"/>
      <c r="K237" s="13"/>
      <c r="L237" s="12"/>
      <c r="M237" s="13"/>
      <c r="N237" s="13"/>
      <c r="O237" s="13"/>
    </row>
    <row r="238">
      <c r="B238" s="11"/>
      <c r="C238" s="11"/>
      <c r="D238" s="11"/>
      <c r="E238" s="15"/>
      <c r="F238" s="11"/>
      <c r="G238" s="11"/>
      <c r="H238" s="11"/>
      <c r="I238" s="11"/>
      <c r="J238" s="12"/>
      <c r="K238" s="13"/>
      <c r="L238" s="12"/>
      <c r="M238" s="13"/>
      <c r="N238" s="13"/>
      <c r="O238" s="13"/>
    </row>
    <row r="239">
      <c r="B239" s="11"/>
      <c r="C239" s="11"/>
      <c r="D239" s="11"/>
      <c r="E239" s="15"/>
      <c r="F239" s="11"/>
      <c r="G239" s="11"/>
      <c r="H239" s="11"/>
      <c r="I239" s="11"/>
      <c r="J239" s="12"/>
      <c r="K239" s="13"/>
      <c r="L239" s="12"/>
      <c r="M239" s="13"/>
      <c r="N239" s="13"/>
      <c r="O239" s="13"/>
    </row>
    <row r="240">
      <c r="B240" s="11"/>
      <c r="C240" s="11"/>
      <c r="D240" s="11"/>
      <c r="E240" s="15"/>
      <c r="F240" s="11"/>
      <c r="G240" s="11"/>
      <c r="H240" s="11"/>
      <c r="I240" s="11"/>
      <c r="J240" s="12"/>
      <c r="K240" s="13"/>
      <c r="L240" s="12"/>
      <c r="M240" s="13"/>
      <c r="N240" s="13"/>
      <c r="O240" s="13"/>
    </row>
    <row r="241">
      <c r="B241" s="11"/>
      <c r="C241" s="11"/>
      <c r="D241" s="11"/>
      <c r="E241" s="15"/>
      <c r="F241" s="11"/>
      <c r="G241" s="11"/>
      <c r="H241" s="11"/>
      <c r="I241" s="11"/>
      <c r="J241" s="12"/>
      <c r="K241" s="13"/>
      <c r="L241" s="12"/>
      <c r="M241" s="13"/>
      <c r="N241" s="13"/>
      <c r="O241" s="13"/>
    </row>
    <row r="242">
      <c r="B242" s="11"/>
      <c r="C242" s="11"/>
      <c r="D242" s="11"/>
      <c r="E242" s="15"/>
      <c r="F242" s="11"/>
      <c r="G242" s="11"/>
      <c r="H242" s="11"/>
      <c r="I242" s="11"/>
      <c r="J242" s="12"/>
      <c r="K242" s="13"/>
      <c r="L242" s="12"/>
      <c r="M242" s="13"/>
      <c r="N242" s="13"/>
      <c r="O242" s="13"/>
    </row>
    <row r="243">
      <c r="B243" s="11"/>
      <c r="C243" s="11"/>
      <c r="D243" s="11"/>
      <c r="E243" s="15"/>
      <c r="F243" s="11"/>
      <c r="G243" s="11"/>
      <c r="H243" s="11"/>
      <c r="I243" s="11"/>
      <c r="J243" s="12"/>
      <c r="K243" s="13"/>
      <c r="L243" s="12"/>
      <c r="M243" s="13"/>
      <c r="N243" s="13"/>
      <c r="O243" s="13"/>
    </row>
    <row r="244">
      <c r="B244" s="11"/>
      <c r="C244" s="11"/>
      <c r="D244" s="11"/>
      <c r="E244" s="15"/>
      <c r="F244" s="11"/>
      <c r="G244" s="11"/>
      <c r="H244" s="11"/>
      <c r="I244" s="11"/>
      <c r="J244" s="12"/>
      <c r="K244" s="13"/>
      <c r="L244" s="12"/>
      <c r="M244" s="13"/>
      <c r="N244" s="13"/>
      <c r="O244" s="13"/>
    </row>
    <row r="245">
      <c r="B245" s="11"/>
      <c r="C245" s="11"/>
      <c r="D245" s="11"/>
      <c r="E245" s="15"/>
      <c r="F245" s="11"/>
      <c r="G245" s="11"/>
      <c r="H245" s="11"/>
      <c r="I245" s="11"/>
      <c r="J245" s="12"/>
      <c r="K245" s="13"/>
      <c r="L245" s="12"/>
      <c r="M245" s="13"/>
      <c r="N245" s="13"/>
      <c r="O245" s="13"/>
    </row>
    <row r="246">
      <c r="B246" s="11"/>
      <c r="C246" s="11"/>
      <c r="D246" s="11"/>
      <c r="E246" s="15"/>
      <c r="F246" s="11"/>
      <c r="G246" s="11"/>
      <c r="H246" s="11"/>
      <c r="I246" s="11"/>
      <c r="J246" s="12"/>
      <c r="K246" s="13"/>
      <c r="L246" s="12"/>
      <c r="M246" s="13"/>
      <c r="N246" s="13"/>
      <c r="O246" s="13"/>
    </row>
    <row r="247">
      <c r="B247" s="11"/>
      <c r="C247" s="11"/>
      <c r="D247" s="11"/>
      <c r="E247" s="15"/>
      <c r="F247" s="11"/>
      <c r="G247" s="11"/>
      <c r="H247" s="11"/>
      <c r="I247" s="11"/>
      <c r="J247" s="12"/>
      <c r="K247" s="13"/>
      <c r="L247" s="12"/>
      <c r="M247" s="13"/>
      <c r="N247" s="13"/>
      <c r="O247" s="13"/>
    </row>
    <row r="248">
      <c r="B248" s="11"/>
      <c r="C248" s="11"/>
      <c r="D248" s="11"/>
      <c r="E248" s="15"/>
      <c r="F248" s="11"/>
      <c r="G248" s="11"/>
      <c r="H248" s="11"/>
      <c r="I248" s="11"/>
      <c r="J248" s="12"/>
      <c r="K248" s="13"/>
      <c r="L248" s="12"/>
      <c r="M248" s="13"/>
      <c r="N248" s="13"/>
      <c r="O248" s="13"/>
    </row>
    <row r="249">
      <c r="B249" s="11"/>
      <c r="C249" s="11"/>
      <c r="D249" s="11"/>
      <c r="E249" s="15"/>
      <c r="F249" s="11"/>
      <c r="G249" s="11"/>
      <c r="H249" s="11"/>
      <c r="I249" s="11"/>
      <c r="J249" s="12"/>
      <c r="K249" s="13"/>
      <c r="L249" s="12"/>
      <c r="M249" s="13"/>
      <c r="N249" s="13"/>
      <c r="O249" s="13"/>
    </row>
    <row r="250">
      <c r="B250" s="11"/>
      <c r="C250" s="11"/>
      <c r="D250" s="11"/>
      <c r="E250" s="15"/>
      <c r="F250" s="11"/>
      <c r="G250" s="11"/>
      <c r="H250" s="11"/>
      <c r="I250" s="11"/>
      <c r="J250" s="12"/>
      <c r="K250" s="13"/>
      <c r="L250" s="12"/>
      <c r="M250" s="13"/>
      <c r="N250" s="13"/>
      <c r="O250" s="13"/>
    </row>
    <row r="251">
      <c r="B251" s="11"/>
      <c r="C251" s="11"/>
      <c r="D251" s="11"/>
      <c r="E251" s="15"/>
      <c r="F251" s="11"/>
      <c r="G251" s="11"/>
      <c r="H251" s="11"/>
      <c r="I251" s="11"/>
      <c r="J251" s="12"/>
      <c r="K251" s="13"/>
      <c r="L251" s="12"/>
      <c r="M251" s="13"/>
      <c r="N251" s="13"/>
      <c r="O251" s="13"/>
    </row>
    <row r="252">
      <c r="B252" s="11"/>
      <c r="C252" s="11"/>
      <c r="D252" s="11"/>
      <c r="E252" s="15"/>
      <c r="F252" s="11"/>
      <c r="G252" s="11"/>
      <c r="H252" s="11"/>
      <c r="I252" s="11"/>
      <c r="J252" s="12"/>
      <c r="K252" s="13"/>
      <c r="L252" s="12"/>
      <c r="M252" s="13"/>
      <c r="N252" s="13"/>
      <c r="O252" s="13"/>
    </row>
    <row r="253">
      <c r="B253" s="11"/>
      <c r="C253" s="11"/>
      <c r="D253" s="11"/>
      <c r="E253" s="15"/>
      <c r="F253" s="11"/>
      <c r="G253" s="11"/>
      <c r="H253" s="11"/>
      <c r="I253" s="11"/>
      <c r="J253" s="12"/>
      <c r="K253" s="13"/>
      <c r="L253" s="12"/>
      <c r="M253" s="13"/>
      <c r="N253" s="13"/>
      <c r="O253" s="13"/>
    </row>
    <row r="254">
      <c r="B254" s="11"/>
      <c r="C254" s="11"/>
      <c r="D254" s="11"/>
      <c r="E254" s="15"/>
      <c r="F254" s="11"/>
      <c r="G254" s="11"/>
      <c r="H254" s="11"/>
      <c r="I254" s="11"/>
      <c r="J254" s="12"/>
      <c r="K254" s="13"/>
      <c r="L254" s="12"/>
      <c r="M254" s="13"/>
      <c r="N254" s="13"/>
      <c r="O254" s="13"/>
    </row>
    <row r="255">
      <c r="B255" s="11"/>
      <c r="C255" s="11"/>
      <c r="D255" s="11"/>
      <c r="E255" s="15"/>
      <c r="F255" s="11"/>
      <c r="G255" s="11"/>
      <c r="H255" s="11"/>
      <c r="I255" s="11"/>
      <c r="J255" s="12"/>
      <c r="K255" s="13"/>
      <c r="L255" s="12"/>
      <c r="M255" s="13"/>
      <c r="N255" s="13"/>
      <c r="O255" s="13"/>
    </row>
    <row r="256">
      <c r="B256" s="11"/>
      <c r="C256" s="11"/>
      <c r="D256" s="11"/>
      <c r="E256" s="15"/>
      <c r="F256" s="11"/>
      <c r="G256" s="11"/>
      <c r="H256" s="11"/>
      <c r="I256" s="11"/>
      <c r="J256" s="12"/>
      <c r="K256" s="13"/>
      <c r="L256" s="12"/>
      <c r="M256" s="13"/>
      <c r="N256" s="13"/>
      <c r="O256" s="13"/>
    </row>
    <row r="257">
      <c r="B257" s="11"/>
      <c r="C257" s="11"/>
      <c r="D257" s="11"/>
      <c r="E257" s="15"/>
      <c r="F257" s="11"/>
      <c r="G257" s="11"/>
      <c r="H257" s="11"/>
      <c r="I257" s="11"/>
      <c r="J257" s="12"/>
      <c r="K257" s="13"/>
      <c r="L257" s="12"/>
      <c r="M257" s="13"/>
      <c r="N257" s="13"/>
      <c r="O257" s="13"/>
    </row>
    <row r="258">
      <c r="B258" s="11"/>
      <c r="C258" s="11"/>
      <c r="D258" s="11"/>
      <c r="E258" s="15"/>
      <c r="F258" s="11"/>
      <c r="G258" s="11"/>
      <c r="H258" s="11"/>
      <c r="I258" s="11"/>
      <c r="J258" s="12"/>
      <c r="K258" s="13"/>
      <c r="L258" s="12"/>
      <c r="M258" s="13"/>
      <c r="N258" s="13"/>
      <c r="O258" s="13"/>
    </row>
    <row r="259">
      <c r="B259" s="11"/>
      <c r="C259" s="11"/>
      <c r="D259" s="11"/>
      <c r="E259" s="15"/>
      <c r="F259" s="11"/>
      <c r="G259" s="11"/>
      <c r="H259" s="11"/>
      <c r="I259" s="11"/>
      <c r="J259" s="12"/>
      <c r="K259" s="13"/>
      <c r="L259" s="12"/>
      <c r="M259" s="13"/>
      <c r="N259" s="13"/>
      <c r="O259" s="13"/>
    </row>
    <row r="260">
      <c r="B260" s="11"/>
      <c r="C260" s="11"/>
      <c r="D260" s="11"/>
      <c r="E260" s="15"/>
      <c r="F260" s="11"/>
      <c r="G260" s="11"/>
      <c r="H260" s="11"/>
      <c r="I260" s="11"/>
      <c r="J260" s="12"/>
      <c r="K260" s="13"/>
      <c r="L260" s="12"/>
      <c r="M260" s="13"/>
      <c r="N260" s="13"/>
      <c r="O260" s="13"/>
    </row>
    <row r="261">
      <c r="B261" s="11"/>
      <c r="C261" s="11"/>
      <c r="D261" s="11"/>
      <c r="E261" s="15"/>
      <c r="F261" s="11"/>
      <c r="G261" s="11"/>
      <c r="H261" s="11"/>
      <c r="I261" s="11"/>
      <c r="J261" s="12"/>
      <c r="K261" s="13"/>
      <c r="L261" s="12"/>
      <c r="M261" s="13"/>
      <c r="N261" s="13"/>
      <c r="O261" s="13"/>
    </row>
    <row r="262">
      <c r="B262" s="11"/>
      <c r="C262" s="11"/>
      <c r="D262" s="11"/>
      <c r="E262" s="15"/>
      <c r="F262" s="11"/>
      <c r="G262" s="11"/>
      <c r="H262" s="11"/>
      <c r="I262" s="11"/>
      <c r="J262" s="12"/>
      <c r="K262" s="13"/>
      <c r="L262" s="12"/>
      <c r="M262" s="13"/>
      <c r="N262" s="13"/>
      <c r="O262" s="13"/>
    </row>
    <row r="263">
      <c r="B263" s="11"/>
      <c r="C263" s="11"/>
      <c r="D263" s="11"/>
      <c r="E263" s="15"/>
      <c r="F263" s="11"/>
      <c r="G263" s="11"/>
      <c r="H263" s="11"/>
      <c r="I263" s="11"/>
      <c r="J263" s="12"/>
      <c r="K263" s="13"/>
      <c r="L263" s="12"/>
      <c r="M263" s="13"/>
      <c r="N263" s="13"/>
      <c r="O263" s="13"/>
    </row>
    <row r="264">
      <c r="B264" s="11"/>
      <c r="C264" s="11"/>
      <c r="D264" s="11"/>
      <c r="E264" s="15"/>
      <c r="F264" s="11"/>
      <c r="G264" s="11"/>
      <c r="H264" s="11"/>
      <c r="I264" s="11"/>
      <c r="J264" s="12"/>
      <c r="K264" s="13"/>
      <c r="L264" s="12"/>
      <c r="M264" s="13"/>
      <c r="N264" s="13"/>
      <c r="O264" s="13"/>
    </row>
    <row r="265">
      <c r="B265" s="11"/>
      <c r="C265" s="11"/>
      <c r="D265" s="11"/>
      <c r="E265" s="15"/>
      <c r="F265" s="11"/>
      <c r="G265" s="11"/>
      <c r="H265" s="11"/>
      <c r="I265" s="11"/>
      <c r="J265" s="12"/>
      <c r="K265" s="13"/>
      <c r="L265" s="12"/>
      <c r="M265" s="13"/>
      <c r="N265" s="13"/>
      <c r="O265" s="13"/>
    </row>
    <row r="266">
      <c r="B266" s="11"/>
      <c r="C266" s="11"/>
      <c r="D266" s="11"/>
      <c r="E266" s="15"/>
      <c r="F266" s="11"/>
      <c r="G266" s="11"/>
      <c r="H266" s="11"/>
      <c r="I266" s="11"/>
      <c r="J266" s="12"/>
      <c r="K266" s="13"/>
      <c r="L266" s="12"/>
      <c r="M266" s="13"/>
      <c r="N266" s="13"/>
      <c r="O266" s="13"/>
    </row>
    <row r="267">
      <c r="B267" s="11"/>
      <c r="C267" s="11"/>
      <c r="D267" s="11"/>
      <c r="E267" s="15"/>
      <c r="F267" s="11"/>
      <c r="G267" s="11"/>
      <c r="H267" s="11"/>
      <c r="I267" s="11"/>
      <c r="J267" s="12"/>
      <c r="K267" s="13"/>
      <c r="L267" s="12"/>
      <c r="M267" s="13"/>
      <c r="N267" s="13"/>
      <c r="O267" s="13"/>
    </row>
    <row r="268">
      <c r="B268" s="11"/>
      <c r="C268" s="11"/>
      <c r="D268" s="11"/>
      <c r="E268" s="15"/>
      <c r="F268" s="11"/>
      <c r="G268" s="11"/>
      <c r="H268" s="11"/>
      <c r="I268" s="11"/>
      <c r="J268" s="12"/>
      <c r="K268" s="13"/>
      <c r="L268" s="12"/>
      <c r="M268" s="13"/>
      <c r="N268" s="13"/>
      <c r="O268" s="13"/>
    </row>
    <row r="269">
      <c r="B269" s="11"/>
      <c r="C269" s="11"/>
      <c r="D269" s="11"/>
      <c r="E269" s="15"/>
      <c r="F269" s="11"/>
      <c r="G269" s="11"/>
      <c r="H269" s="11"/>
      <c r="I269" s="11"/>
      <c r="J269" s="12"/>
      <c r="K269" s="13"/>
      <c r="L269" s="12"/>
      <c r="M269" s="13"/>
      <c r="N269" s="13"/>
      <c r="O269" s="13"/>
    </row>
    <row r="270">
      <c r="B270" s="11"/>
      <c r="C270" s="11"/>
      <c r="D270" s="11"/>
      <c r="E270" s="15"/>
      <c r="F270" s="11"/>
      <c r="G270" s="11"/>
      <c r="H270" s="11"/>
      <c r="I270" s="11"/>
      <c r="J270" s="12"/>
      <c r="K270" s="13"/>
      <c r="L270" s="12"/>
      <c r="M270" s="13"/>
      <c r="N270" s="13"/>
      <c r="O270" s="13"/>
    </row>
    <row r="271">
      <c r="B271" s="11"/>
      <c r="C271" s="11"/>
      <c r="D271" s="11"/>
      <c r="E271" s="15"/>
      <c r="F271" s="11"/>
      <c r="G271" s="11"/>
      <c r="H271" s="11"/>
      <c r="I271" s="11"/>
      <c r="J271" s="12"/>
      <c r="K271" s="13"/>
      <c r="L271" s="12"/>
      <c r="M271" s="13"/>
      <c r="N271" s="13"/>
      <c r="O271" s="13"/>
    </row>
    <row r="272">
      <c r="B272" s="11"/>
      <c r="C272" s="11"/>
      <c r="D272" s="11"/>
      <c r="E272" s="15"/>
      <c r="F272" s="11"/>
      <c r="G272" s="11"/>
      <c r="H272" s="11"/>
      <c r="I272" s="11"/>
      <c r="J272" s="12"/>
      <c r="K272" s="13"/>
      <c r="L272" s="12"/>
      <c r="M272" s="13"/>
      <c r="N272" s="13"/>
      <c r="O272" s="13"/>
    </row>
    <row r="273">
      <c r="B273" s="11"/>
      <c r="C273" s="11"/>
      <c r="D273" s="11"/>
      <c r="E273" s="15"/>
      <c r="F273" s="11"/>
      <c r="G273" s="11"/>
      <c r="H273" s="11"/>
      <c r="I273" s="11"/>
      <c r="J273" s="12"/>
      <c r="K273" s="13"/>
      <c r="L273" s="12"/>
      <c r="M273" s="13"/>
      <c r="N273" s="13"/>
      <c r="O273" s="13"/>
    </row>
    <row r="274">
      <c r="B274" s="11"/>
      <c r="C274" s="11"/>
      <c r="D274" s="11"/>
      <c r="E274" s="15"/>
      <c r="F274" s="11"/>
      <c r="G274" s="11"/>
      <c r="H274" s="11"/>
      <c r="I274" s="11"/>
      <c r="J274" s="12"/>
      <c r="K274" s="13"/>
      <c r="L274" s="12"/>
      <c r="M274" s="13"/>
      <c r="N274" s="13"/>
      <c r="O274" s="13"/>
    </row>
    <row r="275">
      <c r="B275" s="11"/>
      <c r="C275" s="11"/>
      <c r="D275" s="11"/>
      <c r="E275" s="15"/>
      <c r="F275" s="11"/>
      <c r="G275" s="11"/>
      <c r="H275" s="11"/>
      <c r="I275" s="11"/>
      <c r="J275" s="12"/>
      <c r="K275" s="13"/>
      <c r="L275" s="12"/>
      <c r="M275" s="13"/>
      <c r="N275" s="13"/>
      <c r="O275" s="13"/>
    </row>
    <row r="276">
      <c r="B276" s="11"/>
      <c r="C276" s="11"/>
      <c r="D276" s="11"/>
      <c r="E276" s="15"/>
      <c r="F276" s="11"/>
      <c r="G276" s="11"/>
      <c r="H276" s="11"/>
      <c r="I276" s="11"/>
      <c r="J276" s="12"/>
      <c r="K276" s="13"/>
      <c r="L276" s="12"/>
      <c r="M276" s="13"/>
      <c r="N276" s="13"/>
      <c r="O276" s="13"/>
    </row>
    <row r="277">
      <c r="B277" s="11"/>
      <c r="C277" s="11"/>
      <c r="D277" s="11"/>
      <c r="E277" s="15"/>
      <c r="F277" s="11"/>
      <c r="G277" s="11"/>
      <c r="H277" s="11"/>
      <c r="I277" s="11"/>
      <c r="J277" s="12"/>
      <c r="K277" s="13"/>
      <c r="L277" s="12"/>
      <c r="M277" s="13"/>
      <c r="N277" s="13"/>
      <c r="O277" s="13"/>
    </row>
    <row r="278">
      <c r="B278" s="11"/>
      <c r="C278" s="11"/>
      <c r="D278" s="11"/>
      <c r="E278" s="15"/>
      <c r="F278" s="11"/>
      <c r="G278" s="11"/>
      <c r="H278" s="11"/>
      <c r="I278" s="11"/>
      <c r="J278" s="12"/>
      <c r="K278" s="13"/>
      <c r="L278" s="12"/>
      <c r="M278" s="13"/>
      <c r="N278" s="13"/>
      <c r="O278" s="13"/>
    </row>
    <row r="279">
      <c r="B279" s="11"/>
      <c r="C279" s="11"/>
      <c r="D279" s="11"/>
      <c r="E279" s="15"/>
      <c r="F279" s="11"/>
      <c r="G279" s="11"/>
      <c r="H279" s="11"/>
      <c r="I279" s="11"/>
      <c r="J279" s="12"/>
      <c r="K279" s="13"/>
      <c r="L279" s="12"/>
      <c r="M279" s="13"/>
      <c r="N279" s="13"/>
      <c r="O279" s="13"/>
    </row>
    <row r="280">
      <c r="B280" s="11"/>
      <c r="C280" s="11"/>
      <c r="D280" s="11"/>
      <c r="E280" s="15"/>
      <c r="F280" s="11"/>
      <c r="G280" s="11"/>
      <c r="H280" s="11"/>
      <c r="I280" s="11"/>
      <c r="J280" s="12"/>
      <c r="K280" s="13"/>
      <c r="L280" s="12"/>
      <c r="M280" s="13"/>
      <c r="N280" s="13"/>
      <c r="O280" s="13"/>
    </row>
    <row r="281">
      <c r="B281" s="11"/>
      <c r="C281" s="11"/>
      <c r="D281" s="11"/>
      <c r="E281" s="15"/>
      <c r="F281" s="11"/>
      <c r="G281" s="11"/>
      <c r="H281" s="11"/>
      <c r="I281" s="11"/>
      <c r="J281" s="12"/>
      <c r="K281" s="13"/>
      <c r="L281" s="12"/>
      <c r="M281" s="13"/>
      <c r="N281" s="13"/>
      <c r="O281" s="13"/>
    </row>
    <row r="282">
      <c r="B282" s="11"/>
      <c r="C282" s="11"/>
      <c r="D282" s="11"/>
      <c r="E282" s="15"/>
      <c r="F282" s="11"/>
      <c r="G282" s="11"/>
      <c r="H282" s="11"/>
      <c r="I282" s="11"/>
      <c r="J282" s="12"/>
      <c r="K282" s="13"/>
      <c r="L282" s="12"/>
      <c r="M282" s="13"/>
      <c r="N282" s="13"/>
      <c r="O282" s="13"/>
    </row>
    <row r="283">
      <c r="B283" s="11"/>
      <c r="C283" s="11"/>
      <c r="D283" s="11"/>
      <c r="E283" s="15"/>
      <c r="F283" s="11"/>
      <c r="G283" s="11"/>
      <c r="H283" s="11"/>
      <c r="I283" s="11"/>
      <c r="J283" s="12"/>
      <c r="K283" s="13"/>
      <c r="L283" s="12"/>
      <c r="M283" s="13"/>
      <c r="N283" s="13"/>
      <c r="O283" s="13"/>
    </row>
    <row r="284">
      <c r="B284" s="11"/>
      <c r="C284" s="11"/>
      <c r="D284" s="11"/>
      <c r="E284" s="15"/>
      <c r="F284" s="11"/>
      <c r="G284" s="11"/>
      <c r="H284" s="11"/>
      <c r="I284" s="11"/>
      <c r="J284" s="12"/>
      <c r="K284" s="13"/>
      <c r="L284" s="12"/>
      <c r="M284" s="13"/>
      <c r="N284" s="13"/>
      <c r="O284" s="13"/>
    </row>
    <row r="285">
      <c r="B285" s="11"/>
      <c r="C285" s="11"/>
      <c r="D285" s="11"/>
      <c r="E285" s="15"/>
      <c r="F285" s="11"/>
      <c r="G285" s="11"/>
      <c r="H285" s="11"/>
      <c r="I285" s="11"/>
      <c r="J285" s="12"/>
      <c r="K285" s="13"/>
      <c r="L285" s="12"/>
      <c r="M285" s="13"/>
      <c r="N285" s="13"/>
      <c r="O285" s="13"/>
    </row>
    <row r="286">
      <c r="B286" s="11"/>
      <c r="C286" s="11"/>
      <c r="D286" s="11"/>
      <c r="E286" s="15"/>
      <c r="F286" s="11"/>
      <c r="G286" s="11"/>
      <c r="H286" s="11"/>
      <c r="I286" s="11"/>
      <c r="J286" s="12"/>
      <c r="K286" s="13"/>
      <c r="L286" s="12"/>
      <c r="M286" s="13"/>
      <c r="N286" s="13"/>
      <c r="O286" s="13"/>
    </row>
    <row r="287">
      <c r="B287" s="11"/>
      <c r="C287" s="11"/>
      <c r="D287" s="11"/>
      <c r="E287" s="15"/>
      <c r="F287" s="11"/>
      <c r="G287" s="11"/>
      <c r="H287" s="11"/>
      <c r="I287" s="11"/>
      <c r="J287" s="12"/>
      <c r="K287" s="13"/>
      <c r="L287" s="12"/>
      <c r="M287" s="13"/>
      <c r="N287" s="13"/>
      <c r="O287" s="13"/>
    </row>
    <row r="288">
      <c r="B288" s="11"/>
      <c r="C288" s="11"/>
      <c r="D288" s="11"/>
      <c r="E288" s="15"/>
      <c r="F288" s="11"/>
      <c r="G288" s="11"/>
      <c r="H288" s="11"/>
      <c r="I288" s="11"/>
      <c r="J288" s="12"/>
      <c r="K288" s="13"/>
      <c r="L288" s="12"/>
      <c r="M288" s="13"/>
      <c r="N288" s="13"/>
      <c r="O288" s="13"/>
    </row>
    <row r="289">
      <c r="B289" s="11"/>
      <c r="C289" s="11"/>
      <c r="D289" s="11"/>
      <c r="E289" s="15"/>
      <c r="F289" s="11"/>
      <c r="G289" s="11"/>
      <c r="H289" s="11"/>
      <c r="I289" s="11"/>
      <c r="J289" s="12"/>
      <c r="K289" s="13"/>
      <c r="L289" s="12"/>
      <c r="M289" s="13"/>
      <c r="N289" s="13"/>
      <c r="O289" s="13"/>
    </row>
    <row r="290">
      <c r="B290" s="11"/>
      <c r="C290" s="11"/>
      <c r="D290" s="11"/>
      <c r="E290" s="15"/>
      <c r="F290" s="11"/>
      <c r="G290" s="11"/>
      <c r="H290" s="11"/>
      <c r="I290" s="11"/>
      <c r="J290" s="12"/>
      <c r="K290" s="13"/>
      <c r="L290" s="12"/>
      <c r="M290" s="13"/>
      <c r="N290" s="13"/>
      <c r="O290" s="13"/>
    </row>
    <row r="291">
      <c r="B291" s="11"/>
      <c r="C291" s="11"/>
      <c r="D291" s="11"/>
      <c r="E291" s="15"/>
      <c r="F291" s="11"/>
      <c r="G291" s="11"/>
      <c r="H291" s="11"/>
      <c r="I291" s="11"/>
      <c r="J291" s="12"/>
      <c r="K291" s="13"/>
      <c r="L291" s="12"/>
      <c r="M291" s="13"/>
      <c r="N291" s="13"/>
      <c r="O291" s="13"/>
    </row>
    <row r="292">
      <c r="B292" s="11"/>
      <c r="C292" s="11"/>
      <c r="D292" s="11"/>
      <c r="E292" s="15"/>
      <c r="F292" s="11"/>
      <c r="G292" s="11"/>
      <c r="H292" s="11"/>
      <c r="I292" s="11"/>
      <c r="J292" s="12"/>
      <c r="K292" s="13"/>
      <c r="L292" s="12"/>
      <c r="M292" s="13"/>
      <c r="N292" s="13"/>
      <c r="O292" s="13"/>
    </row>
    <row r="293">
      <c r="B293" s="11"/>
      <c r="C293" s="11"/>
      <c r="D293" s="11"/>
      <c r="E293" s="15"/>
      <c r="F293" s="11"/>
      <c r="G293" s="11"/>
      <c r="H293" s="11"/>
      <c r="I293" s="11"/>
      <c r="J293" s="12"/>
      <c r="K293" s="13"/>
      <c r="L293" s="12"/>
      <c r="M293" s="13"/>
      <c r="N293" s="13"/>
      <c r="O293" s="13"/>
    </row>
    <row r="294">
      <c r="B294" s="11"/>
      <c r="C294" s="11"/>
      <c r="D294" s="11"/>
      <c r="E294" s="15"/>
      <c r="F294" s="11"/>
      <c r="G294" s="11"/>
      <c r="H294" s="11"/>
      <c r="I294" s="11"/>
      <c r="J294" s="12"/>
      <c r="K294" s="13"/>
      <c r="L294" s="12"/>
      <c r="M294" s="13"/>
      <c r="N294" s="13"/>
      <c r="O294" s="13"/>
    </row>
    <row r="295">
      <c r="B295" s="11"/>
      <c r="C295" s="11"/>
      <c r="D295" s="11"/>
      <c r="E295" s="15"/>
      <c r="F295" s="11"/>
      <c r="G295" s="11"/>
      <c r="H295" s="11"/>
      <c r="I295" s="11"/>
      <c r="J295" s="12"/>
      <c r="K295" s="13"/>
      <c r="L295" s="12"/>
      <c r="M295" s="13"/>
      <c r="N295" s="13"/>
      <c r="O295" s="13"/>
    </row>
    <row r="296">
      <c r="B296" s="11"/>
      <c r="C296" s="11"/>
      <c r="D296" s="11"/>
      <c r="E296" s="15"/>
      <c r="F296" s="11"/>
      <c r="G296" s="11"/>
      <c r="H296" s="11"/>
      <c r="I296" s="11"/>
      <c r="J296" s="12"/>
      <c r="K296" s="13"/>
      <c r="L296" s="12"/>
      <c r="M296" s="13"/>
      <c r="N296" s="13"/>
      <c r="O296" s="13"/>
    </row>
    <row r="297">
      <c r="B297" s="11"/>
      <c r="C297" s="11"/>
      <c r="D297" s="11"/>
      <c r="E297" s="15"/>
      <c r="F297" s="11"/>
      <c r="G297" s="11"/>
      <c r="H297" s="11"/>
      <c r="I297" s="11"/>
      <c r="J297" s="12"/>
      <c r="K297" s="13"/>
      <c r="L297" s="12"/>
      <c r="M297" s="13"/>
      <c r="N297" s="13"/>
      <c r="O297" s="13"/>
    </row>
    <row r="298">
      <c r="B298" s="11"/>
      <c r="C298" s="11"/>
      <c r="D298" s="11"/>
      <c r="E298" s="15"/>
      <c r="F298" s="11"/>
      <c r="G298" s="11"/>
      <c r="H298" s="11"/>
      <c r="I298" s="11"/>
      <c r="J298" s="12"/>
      <c r="K298" s="13"/>
      <c r="L298" s="12"/>
      <c r="M298" s="13"/>
      <c r="N298" s="13"/>
      <c r="O298" s="13"/>
    </row>
    <row r="299">
      <c r="B299" s="11"/>
      <c r="C299" s="11"/>
      <c r="D299" s="11"/>
      <c r="E299" s="15"/>
      <c r="F299" s="11"/>
      <c r="G299" s="11"/>
      <c r="H299" s="11"/>
      <c r="I299" s="11"/>
      <c r="J299" s="12"/>
      <c r="K299" s="13"/>
      <c r="L299" s="12"/>
      <c r="M299" s="13"/>
      <c r="N299" s="13"/>
      <c r="O299" s="13"/>
    </row>
    <row r="300">
      <c r="B300" s="11"/>
      <c r="C300" s="11"/>
      <c r="D300" s="11"/>
      <c r="E300" s="15"/>
      <c r="F300" s="11"/>
      <c r="G300" s="11"/>
      <c r="H300" s="11"/>
      <c r="I300" s="11"/>
      <c r="J300" s="12"/>
      <c r="K300" s="13"/>
      <c r="L300" s="12"/>
      <c r="M300" s="13"/>
      <c r="N300" s="13"/>
      <c r="O300" s="13"/>
    </row>
    <row r="301">
      <c r="B301" s="11"/>
      <c r="C301" s="11"/>
      <c r="D301" s="11"/>
      <c r="E301" s="15"/>
      <c r="F301" s="11"/>
      <c r="G301" s="11"/>
      <c r="H301" s="11"/>
      <c r="I301" s="11"/>
      <c r="J301" s="12"/>
      <c r="K301" s="13"/>
      <c r="L301" s="12"/>
      <c r="M301" s="13"/>
      <c r="N301" s="13"/>
      <c r="O301" s="13"/>
    </row>
    <row r="302">
      <c r="B302" s="11"/>
      <c r="C302" s="11"/>
      <c r="D302" s="11"/>
      <c r="E302" s="15"/>
      <c r="F302" s="11"/>
      <c r="G302" s="11"/>
      <c r="H302" s="11"/>
      <c r="I302" s="11"/>
      <c r="J302" s="12"/>
      <c r="K302" s="13"/>
      <c r="L302" s="12"/>
      <c r="M302" s="13"/>
      <c r="N302" s="13"/>
      <c r="O302" s="13"/>
    </row>
    <row r="303">
      <c r="B303" s="11"/>
      <c r="C303" s="11"/>
      <c r="D303" s="11"/>
      <c r="E303" s="15"/>
      <c r="F303" s="11"/>
      <c r="G303" s="11"/>
      <c r="H303" s="11"/>
      <c r="I303" s="11"/>
      <c r="J303" s="12"/>
      <c r="K303" s="13"/>
      <c r="L303" s="12"/>
      <c r="M303" s="13"/>
      <c r="N303" s="13"/>
      <c r="O303" s="13"/>
    </row>
    <row r="304">
      <c r="B304" s="11"/>
      <c r="C304" s="11"/>
      <c r="D304" s="11"/>
      <c r="E304" s="15"/>
      <c r="F304" s="11"/>
      <c r="G304" s="11"/>
      <c r="H304" s="11"/>
      <c r="I304" s="11"/>
      <c r="J304" s="12"/>
      <c r="K304" s="13"/>
      <c r="L304" s="12"/>
      <c r="M304" s="13"/>
      <c r="N304" s="13"/>
      <c r="O304" s="13"/>
    </row>
    <row r="305">
      <c r="B305" s="11"/>
      <c r="C305" s="11"/>
      <c r="D305" s="11"/>
      <c r="E305" s="15"/>
      <c r="F305" s="11"/>
      <c r="G305" s="11"/>
      <c r="H305" s="11"/>
      <c r="I305" s="11"/>
      <c r="J305" s="12"/>
      <c r="K305" s="13"/>
      <c r="L305" s="12"/>
      <c r="M305" s="13"/>
      <c r="N305" s="13"/>
      <c r="O305" s="13"/>
    </row>
    <row r="306">
      <c r="B306" s="11"/>
      <c r="C306" s="11"/>
      <c r="D306" s="11"/>
      <c r="E306" s="15"/>
      <c r="F306" s="11"/>
      <c r="G306" s="11"/>
      <c r="H306" s="11"/>
      <c r="I306" s="11"/>
      <c r="J306" s="12"/>
      <c r="K306" s="13"/>
      <c r="L306" s="12"/>
      <c r="M306" s="13"/>
      <c r="N306" s="13"/>
      <c r="O306" s="13"/>
    </row>
    <row r="307">
      <c r="B307" s="11"/>
      <c r="C307" s="11"/>
      <c r="D307" s="11"/>
      <c r="E307" s="15"/>
      <c r="F307" s="11"/>
      <c r="G307" s="11"/>
      <c r="H307" s="11"/>
      <c r="I307" s="11"/>
      <c r="J307" s="12"/>
      <c r="K307" s="13"/>
      <c r="L307" s="12"/>
      <c r="M307" s="13"/>
      <c r="N307" s="13"/>
      <c r="O307" s="13"/>
    </row>
    <row r="308">
      <c r="B308" s="11"/>
      <c r="C308" s="11"/>
      <c r="D308" s="11"/>
      <c r="E308" s="15"/>
      <c r="F308" s="11"/>
      <c r="G308" s="11"/>
      <c r="H308" s="11"/>
      <c r="I308" s="11"/>
      <c r="J308" s="12"/>
      <c r="K308" s="13"/>
      <c r="L308" s="12"/>
      <c r="M308" s="13"/>
      <c r="N308" s="13"/>
      <c r="O308" s="13"/>
    </row>
    <row r="309">
      <c r="B309" s="11"/>
      <c r="C309" s="11"/>
      <c r="D309" s="11"/>
      <c r="E309" s="15"/>
      <c r="F309" s="11"/>
      <c r="G309" s="11"/>
      <c r="H309" s="11"/>
      <c r="I309" s="11"/>
      <c r="J309" s="12"/>
      <c r="K309" s="13"/>
      <c r="L309" s="12"/>
      <c r="M309" s="13"/>
      <c r="N309" s="13"/>
      <c r="O309" s="13"/>
    </row>
    <row r="310">
      <c r="B310" s="11"/>
      <c r="C310" s="11"/>
      <c r="D310" s="11"/>
      <c r="E310" s="15"/>
      <c r="F310" s="11"/>
      <c r="G310" s="11"/>
      <c r="H310" s="11"/>
      <c r="I310" s="11"/>
      <c r="J310" s="12"/>
      <c r="K310" s="13"/>
      <c r="L310" s="12"/>
      <c r="M310" s="13"/>
      <c r="N310" s="13"/>
      <c r="O310" s="13"/>
    </row>
    <row r="311">
      <c r="B311" s="11"/>
      <c r="C311" s="11"/>
      <c r="D311" s="11"/>
      <c r="E311" s="15"/>
      <c r="F311" s="11"/>
      <c r="G311" s="11"/>
      <c r="H311" s="11"/>
      <c r="I311" s="11"/>
      <c r="J311" s="12"/>
      <c r="K311" s="13"/>
      <c r="L311" s="12"/>
      <c r="M311" s="13"/>
      <c r="N311" s="13"/>
      <c r="O311" s="13"/>
    </row>
    <row r="312">
      <c r="B312" s="11"/>
      <c r="C312" s="11"/>
      <c r="D312" s="11"/>
      <c r="E312" s="15"/>
      <c r="F312" s="11"/>
      <c r="G312" s="11"/>
      <c r="H312" s="11"/>
      <c r="I312" s="11"/>
      <c r="J312" s="12"/>
      <c r="K312" s="13"/>
      <c r="L312" s="12"/>
      <c r="M312" s="13"/>
      <c r="N312" s="13"/>
      <c r="O312" s="13"/>
    </row>
    <row r="313">
      <c r="B313" s="11"/>
      <c r="C313" s="11"/>
      <c r="D313" s="11"/>
      <c r="E313" s="15"/>
      <c r="F313" s="11"/>
      <c r="G313" s="11"/>
      <c r="H313" s="11"/>
      <c r="I313" s="11"/>
      <c r="J313" s="12"/>
      <c r="K313" s="13"/>
      <c r="L313" s="12"/>
      <c r="M313" s="13"/>
      <c r="N313" s="13"/>
      <c r="O313" s="13"/>
    </row>
    <row r="314">
      <c r="B314" s="11"/>
      <c r="C314" s="11"/>
      <c r="D314" s="11"/>
      <c r="E314" s="15"/>
      <c r="F314" s="11"/>
      <c r="G314" s="11"/>
      <c r="H314" s="11"/>
      <c r="I314" s="11"/>
      <c r="J314" s="12"/>
      <c r="K314" s="13"/>
      <c r="L314" s="12"/>
      <c r="M314" s="13"/>
      <c r="N314" s="13"/>
      <c r="O314" s="13"/>
    </row>
    <row r="315">
      <c r="B315" s="11"/>
      <c r="C315" s="11"/>
      <c r="D315" s="11"/>
      <c r="E315" s="15"/>
      <c r="F315" s="11"/>
      <c r="G315" s="11"/>
      <c r="H315" s="11"/>
      <c r="I315" s="11"/>
      <c r="J315" s="12"/>
      <c r="K315" s="13"/>
      <c r="L315" s="12"/>
      <c r="M315" s="13"/>
      <c r="N315" s="13"/>
      <c r="O315" s="13"/>
    </row>
    <row r="316">
      <c r="B316" s="11"/>
      <c r="C316" s="11"/>
      <c r="D316" s="11"/>
      <c r="E316" s="15"/>
      <c r="F316" s="11"/>
      <c r="G316" s="11"/>
      <c r="H316" s="11"/>
      <c r="I316" s="11"/>
      <c r="J316" s="12"/>
      <c r="K316" s="13"/>
      <c r="L316" s="12"/>
      <c r="M316" s="13"/>
      <c r="N316" s="13"/>
      <c r="O316" s="13"/>
    </row>
    <row r="317">
      <c r="B317" s="11"/>
      <c r="C317" s="11"/>
      <c r="D317" s="11"/>
      <c r="E317" s="15"/>
      <c r="F317" s="11"/>
      <c r="G317" s="11"/>
      <c r="H317" s="11"/>
      <c r="I317" s="11"/>
      <c r="J317" s="12"/>
      <c r="K317" s="13"/>
      <c r="L317" s="12"/>
      <c r="M317" s="13"/>
      <c r="N317" s="13"/>
      <c r="O317" s="13"/>
    </row>
    <row r="318">
      <c r="B318" s="11"/>
      <c r="C318" s="11"/>
      <c r="D318" s="11"/>
      <c r="E318" s="15"/>
      <c r="F318" s="11"/>
      <c r="G318" s="11"/>
      <c r="H318" s="11"/>
      <c r="I318" s="11"/>
      <c r="J318" s="12"/>
      <c r="K318" s="13"/>
      <c r="L318" s="12"/>
      <c r="M318" s="13"/>
      <c r="N318" s="13"/>
      <c r="O318" s="13"/>
    </row>
    <row r="319">
      <c r="B319" s="11"/>
      <c r="C319" s="11"/>
      <c r="D319" s="11"/>
      <c r="E319" s="15"/>
      <c r="F319" s="11"/>
      <c r="G319" s="11"/>
      <c r="H319" s="11"/>
      <c r="I319" s="11"/>
      <c r="J319" s="12"/>
      <c r="K319" s="13"/>
      <c r="L319" s="12"/>
      <c r="M319" s="13"/>
      <c r="N319" s="13"/>
      <c r="O319" s="13"/>
    </row>
    <row r="320">
      <c r="B320" s="11"/>
      <c r="C320" s="11"/>
      <c r="D320" s="11"/>
      <c r="E320" s="15"/>
      <c r="F320" s="11"/>
      <c r="G320" s="11"/>
      <c r="H320" s="11"/>
      <c r="I320" s="11"/>
      <c r="J320" s="12"/>
      <c r="K320" s="13"/>
      <c r="L320" s="12"/>
      <c r="M320" s="13"/>
      <c r="N320" s="13"/>
      <c r="O320" s="13"/>
    </row>
    <row r="321">
      <c r="B321" s="11"/>
      <c r="C321" s="11"/>
      <c r="D321" s="11"/>
      <c r="E321" s="15"/>
      <c r="F321" s="11"/>
      <c r="G321" s="11"/>
      <c r="H321" s="11"/>
      <c r="I321" s="11"/>
      <c r="J321" s="12"/>
      <c r="K321" s="13"/>
      <c r="L321" s="12"/>
      <c r="M321" s="13"/>
      <c r="N321" s="13"/>
      <c r="O321" s="13"/>
    </row>
    <row r="322">
      <c r="B322" s="11"/>
      <c r="C322" s="11"/>
      <c r="D322" s="11"/>
      <c r="E322" s="15"/>
      <c r="F322" s="11"/>
      <c r="G322" s="11"/>
      <c r="H322" s="11"/>
      <c r="I322" s="11"/>
      <c r="J322" s="12"/>
      <c r="K322" s="13"/>
      <c r="L322" s="12"/>
      <c r="M322" s="13"/>
      <c r="N322" s="13"/>
      <c r="O322" s="13"/>
    </row>
    <row r="323">
      <c r="B323" s="11"/>
      <c r="C323" s="11"/>
      <c r="D323" s="11"/>
      <c r="E323" s="15"/>
      <c r="F323" s="11"/>
      <c r="G323" s="11"/>
      <c r="H323" s="11"/>
      <c r="I323" s="11"/>
      <c r="J323" s="12"/>
      <c r="K323" s="13"/>
      <c r="L323" s="12"/>
      <c r="M323" s="13"/>
      <c r="N323" s="13"/>
      <c r="O323" s="13"/>
    </row>
    <row r="324">
      <c r="B324" s="11"/>
      <c r="C324" s="11"/>
      <c r="D324" s="11"/>
      <c r="E324" s="15"/>
      <c r="F324" s="11"/>
      <c r="G324" s="11"/>
      <c r="H324" s="11"/>
      <c r="I324" s="11"/>
      <c r="J324" s="12"/>
      <c r="K324" s="13"/>
      <c r="L324" s="12"/>
      <c r="M324" s="13"/>
      <c r="N324" s="13"/>
      <c r="O324" s="13"/>
    </row>
    <row r="325">
      <c r="B325" s="11"/>
      <c r="C325" s="11"/>
      <c r="D325" s="11"/>
      <c r="E325" s="15"/>
      <c r="F325" s="11"/>
      <c r="G325" s="11"/>
      <c r="H325" s="11"/>
      <c r="I325" s="11"/>
      <c r="J325" s="12"/>
      <c r="K325" s="13"/>
      <c r="L325" s="12"/>
      <c r="M325" s="13"/>
      <c r="N325" s="13"/>
      <c r="O325" s="13"/>
    </row>
    <row r="326">
      <c r="B326" s="11"/>
      <c r="C326" s="11"/>
      <c r="D326" s="11"/>
      <c r="E326" s="15"/>
      <c r="F326" s="11"/>
      <c r="G326" s="11"/>
      <c r="H326" s="11"/>
      <c r="I326" s="11"/>
      <c r="J326" s="12"/>
      <c r="K326" s="13"/>
      <c r="L326" s="12"/>
      <c r="M326" s="13"/>
      <c r="N326" s="13"/>
      <c r="O326" s="13"/>
    </row>
    <row r="327">
      <c r="B327" s="11"/>
      <c r="C327" s="11"/>
      <c r="D327" s="11"/>
      <c r="E327" s="15"/>
      <c r="F327" s="11"/>
      <c r="G327" s="11"/>
      <c r="H327" s="11"/>
      <c r="I327" s="11"/>
      <c r="J327" s="12"/>
      <c r="K327" s="13"/>
      <c r="L327" s="12"/>
      <c r="M327" s="13"/>
      <c r="N327" s="13"/>
      <c r="O327" s="13"/>
    </row>
    <row r="328">
      <c r="B328" s="11"/>
      <c r="C328" s="11"/>
      <c r="D328" s="11"/>
      <c r="E328" s="15"/>
      <c r="F328" s="11"/>
      <c r="G328" s="11"/>
      <c r="H328" s="11"/>
      <c r="I328" s="11"/>
      <c r="J328" s="12"/>
      <c r="K328" s="13"/>
      <c r="L328" s="12"/>
      <c r="M328" s="13"/>
      <c r="N328" s="13"/>
      <c r="O328" s="13"/>
    </row>
    <row r="329">
      <c r="B329" s="11"/>
      <c r="C329" s="11"/>
      <c r="D329" s="11"/>
      <c r="E329" s="15"/>
      <c r="F329" s="11"/>
      <c r="G329" s="11"/>
      <c r="H329" s="11"/>
      <c r="I329" s="11"/>
      <c r="J329" s="12"/>
      <c r="K329" s="13"/>
      <c r="L329" s="12"/>
      <c r="M329" s="13"/>
      <c r="N329" s="13"/>
      <c r="O329" s="13"/>
    </row>
    <row r="330">
      <c r="B330" s="11"/>
      <c r="C330" s="11"/>
      <c r="D330" s="11"/>
      <c r="E330" s="15"/>
      <c r="F330" s="11"/>
      <c r="G330" s="11"/>
      <c r="H330" s="11"/>
      <c r="I330" s="11"/>
      <c r="J330" s="12"/>
      <c r="K330" s="13"/>
      <c r="L330" s="12"/>
      <c r="M330" s="13"/>
      <c r="N330" s="13"/>
      <c r="O330" s="13"/>
    </row>
    <row r="331">
      <c r="B331" s="11"/>
      <c r="C331" s="11"/>
      <c r="D331" s="11"/>
      <c r="E331" s="15"/>
      <c r="F331" s="11"/>
      <c r="G331" s="11"/>
      <c r="H331" s="11"/>
      <c r="I331" s="11"/>
      <c r="J331" s="12"/>
      <c r="K331" s="13"/>
      <c r="L331" s="12"/>
      <c r="M331" s="13"/>
      <c r="N331" s="13"/>
      <c r="O331" s="13"/>
    </row>
    <row r="332">
      <c r="B332" s="11"/>
      <c r="C332" s="11"/>
      <c r="D332" s="11"/>
      <c r="E332" s="15"/>
      <c r="F332" s="11"/>
      <c r="G332" s="11"/>
      <c r="H332" s="11"/>
      <c r="I332" s="11"/>
      <c r="J332" s="12"/>
      <c r="K332" s="13"/>
      <c r="L332" s="12"/>
      <c r="M332" s="13"/>
      <c r="N332" s="13"/>
      <c r="O332" s="13"/>
    </row>
    <row r="333">
      <c r="B333" s="11"/>
      <c r="C333" s="11"/>
      <c r="D333" s="11"/>
      <c r="E333" s="15"/>
      <c r="F333" s="11"/>
      <c r="G333" s="11"/>
      <c r="H333" s="11"/>
      <c r="I333" s="11"/>
      <c r="J333" s="12"/>
      <c r="K333" s="13"/>
      <c r="L333" s="12"/>
      <c r="M333" s="13"/>
      <c r="N333" s="13"/>
      <c r="O333" s="13"/>
    </row>
    <row r="334">
      <c r="B334" s="11"/>
      <c r="C334" s="11"/>
      <c r="D334" s="11"/>
      <c r="E334" s="15"/>
      <c r="F334" s="11"/>
      <c r="G334" s="11"/>
      <c r="H334" s="11"/>
      <c r="I334" s="11"/>
      <c r="J334" s="12"/>
      <c r="K334" s="13"/>
      <c r="L334" s="12"/>
      <c r="M334" s="13"/>
      <c r="N334" s="13"/>
      <c r="O334" s="13"/>
    </row>
    <row r="335">
      <c r="B335" s="11"/>
      <c r="C335" s="11"/>
      <c r="D335" s="11"/>
      <c r="E335" s="15"/>
      <c r="F335" s="11"/>
      <c r="G335" s="11"/>
      <c r="H335" s="11"/>
      <c r="I335" s="11"/>
      <c r="J335" s="12"/>
      <c r="K335" s="13"/>
      <c r="L335" s="12"/>
      <c r="M335" s="13"/>
      <c r="N335" s="13"/>
      <c r="O335" s="13"/>
    </row>
    <row r="336">
      <c r="B336" s="11"/>
      <c r="C336" s="11"/>
      <c r="D336" s="11"/>
      <c r="E336" s="15"/>
      <c r="F336" s="11"/>
      <c r="G336" s="11"/>
      <c r="H336" s="11"/>
      <c r="I336" s="11"/>
      <c r="J336" s="12"/>
      <c r="K336" s="13"/>
      <c r="L336" s="12"/>
      <c r="M336" s="13"/>
      <c r="N336" s="13"/>
      <c r="O336" s="13"/>
    </row>
    <row r="337">
      <c r="B337" s="11"/>
      <c r="C337" s="11"/>
      <c r="D337" s="11"/>
      <c r="E337" s="15"/>
      <c r="F337" s="11"/>
      <c r="G337" s="11"/>
      <c r="H337" s="11"/>
      <c r="I337" s="11"/>
      <c r="J337" s="12"/>
      <c r="K337" s="13"/>
      <c r="L337" s="12"/>
      <c r="M337" s="13"/>
      <c r="N337" s="13"/>
      <c r="O337" s="13"/>
    </row>
    <row r="338">
      <c r="B338" s="11"/>
      <c r="C338" s="11"/>
      <c r="D338" s="11"/>
      <c r="E338" s="15"/>
      <c r="F338" s="11"/>
      <c r="G338" s="11"/>
      <c r="H338" s="11"/>
      <c r="I338" s="11"/>
      <c r="J338" s="12"/>
      <c r="K338" s="13"/>
      <c r="L338" s="12"/>
      <c r="M338" s="13"/>
      <c r="N338" s="13"/>
      <c r="O338" s="13"/>
    </row>
    <row r="339">
      <c r="B339" s="11"/>
      <c r="C339" s="11"/>
      <c r="D339" s="11"/>
      <c r="E339" s="15"/>
      <c r="F339" s="11"/>
      <c r="G339" s="11"/>
      <c r="H339" s="11"/>
      <c r="I339" s="11"/>
      <c r="J339" s="12"/>
      <c r="K339" s="13"/>
      <c r="L339" s="12"/>
      <c r="M339" s="13"/>
      <c r="N339" s="13"/>
      <c r="O339" s="13"/>
    </row>
    <row r="340">
      <c r="B340" s="11"/>
      <c r="C340" s="11"/>
      <c r="D340" s="11"/>
      <c r="E340" s="15"/>
      <c r="F340" s="11"/>
      <c r="G340" s="11"/>
      <c r="H340" s="11"/>
      <c r="I340" s="11"/>
      <c r="J340" s="12"/>
      <c r="K340" s="13"/>
      <c r="L340" s="12"/>
      <c r="M340" s="13"/>
      <c r="N340" s="13"/>
      <c r="O340" s="13"/>
    </row>
    <row r="341">
      <c r="B341" s="11"/>
      <c r="C341" s="11"/>
      <c r="D341" s="11"/>
      <c r="E341" s="15"/>
      <c r="F341" s="11"/>
      <c r="G341" s="11"/>
      <c r="H341" s="11"/>
      <c r="I341" s="11"/>
      <c r="J341" s="12"/>
      <c r="K341" s="13"/>
      <c r="L341" s="12"/>
      <c r="M341" s="13"/>
      <c r="N341" s="13"/>
      <c r="O341" s="13"/>
    </row>
    <row r="342">
      <c r="B342" s="11"/>
      <c r="C342" s="11"/>
      <c r="D342" s="11"/>
      <c r="E342" s="15"/>
      <c r="F342" s="11"/>
      <c r="G342" s="11"/>
      <c r="H342" s="11"/>
      <c r="I342" s="11"/>
      <c r="J342" s="12"/>
      <c r="K342" s="13"/>
      <c r="L342" s="12"/>
      <c r="M342" s="13"/>
      <c r="N342" s="13"/>
      <c r="O342" s="13"/>
    </row>
    <row r="343">
      <c r="B343" s="11"/>
      <c r="C343" s="11"/>
      <c r="D343" s="11"/>
      <c r="E343" s="15"/>
      <c r="F343" s="11"/>
      <c r="G343" s="11"/>
      <c r="H343" s="11"/>
      <c r="I343" s="11"/>
      <c r="J343" s="12"/>
      <c r="K343" s="13"/>
      <c r="L343" s="12"/>
      <c r="M343" s="13"/>
      <c r="N343" s="13"/>
      <c r="O343" s="13"/>
    </row>
    <row r="344">
      <c r="B344" s="11"/>
      <c r="C344" s="11"/>
      <c r="D344" s="11"/>
      <c r="E344" s="15"/>
      <c r="F344" s="11"/>
      <c r="G344" s="11"/>
      <c r="H344" s="11"/>
      <c r="I344" s="11"/>
      <c r="J344" s="12"/>
      <c r="K344" s="13"/>
      <c r="L344" s="12"/>
      <c r="M344" s="13"/>
      <c r="N344" s="13"/>
      <c r="O344" s="13"/>
    </row>
    <row r="345">
      <c r="B345" s="11"/>
      <c r="C345" s="11"/>
      <c r="D345" s="11"/>
      <c r="E345" s="15"/>
      <c r="F345" s="11"/>
      <c r="G345" s="11"/>
      <c r="H345" s="11"/>
      <c r="I345" s="11"/>
      <c r="J345" s="12"/>
      <c r="K345" s="13"/>
      <c r="L345" s="12"/>
      <c r="M345" s="13"/>
      <c r="N345" s="13"/>
      <c r="O345" s="13"/>
    </row>
    <row r="346">
      <c r="B346" s="11"/>
      <c r="C346" s="11"/>
      <c r="D346" s="11"/>
      <c r="E346" s="15"/>
      <c r="F346" s="11"/>
      <c r="G346" s="11"/>
      <c r="H346" s="11"/>
      <c r="I346" s="11"/>
      <c r="J346" s="12"/>
      <c r="K346" s="13"/>
      <c r="L346" s="12"/>
      <c r="M346" s="13"/>
      <c r="N346" s="13"/>
      <c r="O346" s="13"/>
    </row>
    <row r="347">
      <c r="B347" s="11"/>
      <c r="C347" s="11"/>
      <c r="D347" s="11"/>
      <c r="E347" s="15"/>
      <c r="F347" s="11"/>
      <c r="G347" s="11"/>
      <c r="H347" s="11"/>
      <c r="I347" s="11"/>
      <c r="J347" s="12"/>
      <c r="K347" s="13"/>
      <c r="L347" s="12"/>
      <c r="M347" s="13"/>
      <c r="N347" s="13"/>
      <c r="O347" s="13"/>
    </row>
    <row r="348">
      <c r="B348" s="11"/>
      <c r="C348" s="11"/>
      <c r="D348" s="11"/>
      <c r="E348" s="15"/>
      <c r="F348" s="11"/>
      <c r="G348" s="11"/>
      <c r="H348" s="11"/>
      <c r="I348" s="11"/>
      <c r="J348" s="12"/>
      <c r="K348" s="13"/>
      <c r="L348" s="12"/>
      <c r="M348" s="13"/>
      <c r="N348" s="13"/>
      <c r="O348" s="13"/>
    </row>
    <row r="349">
      <c r="B349" s="11"/>
      <c r="C349" s="11"/>
      <c r="D349" s="11"/>
      <c r="E349" s="15"/>
      <c r="F349" s="11"/>
      <c r="G349" s="11"/>
      <c r="H349" s="11"/>
      <c r="I349" s="11"/>
      <c r="J349" s="12"/>
      <c r="K349" s="13"/>
      <c r="L349" s="12"/>
      <c r="M349" s="13"/>
      <c r="N349" s="13"/>
      <c r="O349" s="13"/>
    </row>
    <row r="350">
      <c r="B350" s="11"/>
      <c r="C350" s="11"/>
      <c r="D350" s="11"/>
      <c r="E350" s="15"/>
      <c r="F350" s="11"/>
      <c r="G350" s="11"/>
      <c r="H350" s="11"/>
      <c r="I350" s="11"/>
      <c r="J350" s="12"/>
      <c r="K350" s="13"/>
      <c r="L350" s="12"/>
      <c r="M350" s="13"/>
      <c r="N350" s="13"/>
      <c r="O350" s="13"/>
    </row>
    <row r="351">
      <c r="B351" s="11"/>
      <c r="C351" s="11"/>
      <c r="D351" s="11"/>
      <c r="E351" s="15"/>
      <c r="F351" s="11"/>
      <c r="G351" s="11"/>
      <c r="H351" s="11"/>
      <c r="I351" s="11"/>
      <c r="J351" s="12"/>
      <c r="K351" s="13"/>
      <c r="L351" s="12"/>
      <c r="M351" s="13"/>
      <c r="N351" s="13"/>
      <c r="O351" s="13"/>
    </row>
    <row r="352">
      <c r="B352" s="11"/>
      <c r="C352" s="11"/>
      <c r="D352" s="11"/>
      <c r="E352" s="15"/>
      <c r="F352" s="11"/>
      <c r="G352" s="11"/>
      <c r="H352" s="11"/>
      <c r="I352" s="11"/>
      <c r="J352" s="12"/>
      <c r="K352" s="13"/>
      <c r="L352" s="12"/>
      <c r="M352" s="13"/>
      <c r="N352" s="13"/>
      <c r="O352" s="13"/>
    </row>
    <row r="353">
      <c r="B353" s="11"/>
      <c r="C353" s="11"/>
      <c r="D353" s="11"/>
      <c r="E353" s="15"/>
      <c r="F353" s="11"/>
      <c r="G353" s="11"/>
      <c r="H353" s="11"/>
      <c r="I353" s="11"/>
      <c r="J353" s="12"/>
      <c r="K353" s="13"/>
      <c r="L353" s="12"/>
      <c r="M353" s="13"/>
      <c r="N353" s="13"/>
      <c r="O353" s="13"/>
    </row>
    <row r="354">
      <c r="B354" s="11"/>
      <c r="C354" s="11"/>
      <c r="D354" s="11"/>
      <c r="E354" s="15"/>
      <c r="F354" s="11"/>
      <c r="G354" s="11"/>
      <c r="H354" s="11"/>
      <c r="I354" s="11"/>
      <c r="J354" s="12"/>
      <c r="K354" s="13"/>
      <c r="L354" s="12"/>
      <c r="M354" s="13"/>
      <c r="N354" s="13"/>
      <c r="O354" s="13"/>
    </row>
    <row r="355">
      <c r="B355" s="11"/>
      <c r="C355" s="11"/>
      <c r="D355" s="11"/>
      <c r="E355" s="15"/>
      <c r="F355" s="11"/>
      <c r="G355" s="11"/>
      <c r="H355" s="11"/>
      <c r="I355" s="11"/>
      <c r="J355" s="12"/>
      <c r="K355" s="13"/>
      <c r="L355" s="12"/>
      <c r="M355" s="13"/>
      <c r="N355" s="13"/>
      <c r="O355" s="13"/>
    </row>
    <row r="356">
      <c r="B356" s="11"/>
      <c r="C356" s="11"/>
      <c r="D356" s="11"/>
      <c r="E356" s="15"/>
      <c r="F356" s="11"/>
      <c r="G356" s="11"/>
      <c r="H356" s="11"/>
      <c r="I356" s="11"/>
      <c r="J356" s="12"/>
      <c r="K356" s="13"/>
      <c r="L356" s="12"/>
      <c r="M356" s="13"/>
      <c r="N356" s="13"/>
      <c r="O356" s="13"/>
    </row>
    <row r="357">
      <c r="B357" s="11"/>
      <c r="C357" s="11"/>
      <c r="D357" s="11"/>
      <c r="E357" s="15"/>
      <c r="F357" s="11"/>
      <c r="G357" s="11"/>
      <c r="H357" s="11"/>
      <c r="I357" s="11"/>
      <c r="J357" s="12"/>
      <c r="K357" s="13"/>
      <c r="L357" s="12"/>
      <c r="M357" s="13"/>
      <c r="N357" s="13"/>
      <c r="O357" s="13"/>
    </row>
    <row r="358">
      <c r="B358" s="11"/>
      <c r="C358" s="11"/>
      <c r="D358" s="11"/>
      <c r="E358" s="15"/>
      <c r="F358" s="11"/>
      <c r="G358" s="11"/>
      <c r="H358" s="11"/>
      <c r="I358" s="11"/>
      <c r="J358" s="12"/>
      <c r="K358" s="13"/>
      <c r="L358" s="12"/>
      <c r="M358" s="13"/>
      <c r="N358" s="13"/>
      <c r="O358" s="13"/>
    </row>
    <row r="359">
      <c r="B359" s="11"/>
      <c r="C359" s="11"/>
      <c r="D359" s="11"/>
      <c r="E359" s="15"/>
      <c r="F359" s="11"/>
      <c r="G359" s="11"/>
      <c r="H359" s="11"/>
      <c r="I359" s="11"/>
      <c r="J359" s="12"/>
      <c r="K359" s="13"/>
      <c r="L359" s="12"/>
      <c r="M359" s="13"/>
      <c r="N359" s="13"/>
      <c r="O359" s="13"/>
    </row>
    <row r="360">
      <c r="B360" s="11"/>
      <c r="C360" s="11"/>
      <c r="D360" s="11"/>
      <c r="E360" s="15"/>
      <c r="F360" s="11"/>
      <c r="G360" s="11"/>
      <c r="H360" s="11"/>
      <c r="I360" s="11"/>
      <c r="J360" s="12"/>
      <c r="K360" s="13"/>
      <c r="L360" s="12"/>
      <c r="M360" s="13"/>
      <c r="N360" s="13"/>
      <c r="O360" s="13"/>
    </row>
    <row r="361">
      <c r="B361" s="11"/>
      <c r="C361" s="11"/>
      <c r="D361" s="11"/>
      <c r="E361" s="15"/>
      <c r="F361" s="11"/>
      <c r="G361" s="11"/>
      <c r="H361" s="11"/>
      <c r="I361" s="11"/>
      <c r="J361" s="12"/>
      <c r="K361" s="13"/>
      <c r="L361" s="12"/>
      <c r="M361" s="13"/>
      <c r="N361" s="13"/>
      <c r="O361" s="13"/>
    </row>
    <row r="362">
      <c r="B362" s="11"/>
      <c r="C362" s="11"/>
      <c r="D362" s="11"/>
      <c r="E362" s="15"/>
      <c r="F362" s="11"/>
      <c r="G362" s="11"/>
      <c r="H362" s="11"/>
      <c r="I362" s="11"/>
      <c r="J362" s="12"/>
      <c r="K362" s="13"/>
      <c r="L362" s="12"/>
      <c r="M362" s="13"/>
      <c r="N362" s="13"/>
      <c r="O362" s="13"/>
    </row>
    <row r="363">
      <c r="B363" s="11"/>
      <c r="C363" s="11"/>
      <c r="D363" s="11"/>
      <c r="E363" s="15"/>
      <c r="F363" s="11"/>
      <c r="G363" s="11"/>
      <c r="H363" s="11"/>
      <c r="I363" s="11"/>
      <c r="J363" s="12"/>
      <c r="K363" s="13"/>
      <c r="L363" s="12"/>
      <c r="M363" s="13"/>
      <c r="N363" s="13"/>
      <c r="O363" s="13"/>
    </row>
    <row r="364">
      <c r="B364" s="11"/>
      <c r="C364" s="11"/>
      <c r="D364" s="11"/>
      <c r="E364" s="15"/>
      <c r="F364" s="11"/>
      <c r="G364" s="11"/>
      <c r="H364" s="11"/>
      <c r="I364" s="11"/>
      <c r="J364" s="12"/>
      <c r="K364" s="13"/>
      <c r="L364" s="12"/>
      <c r="M364" s="13"/>
      <c r="N364" s="13"/>
      <c r="O364" s="13"/>
    </row>
    <row r="365">
      <c r="B365" s="11"/>
      <c r="C365" s="11"/>
      <c r="D365" s="11"/>
      <c r="E365" s="15"/>
      <c r="F365" s="11"/>
      <c r="G365" s="11"/>
      <c r="H365" s="11"/>
      <c r="I365" s="11"/>
      <c r="J365" s="12"/>
      <c r="K365" s="13"/>
      <c r="L365" s="12"/>
      <c r="M365" s="13"/>
      <c r="N365" s="13"/>
      <c r="O365" s="13"/>
    </row>
    <row r="366">
      <c r="B366" s="11"/>
      <c r="C366" s="11"/>
      <c r="D366" s="11"/>
      <c r="E366" s="15"/>
      <c r="F366" s="11"/>
      <c r="G366" s="11"/>
      <c r="H366" s="11"/>
      <c r="I366" s="11"/>
      <c r="J366" s="12"/>
      <c r="K366" s="13"/>
      <c r="L366" s="12"/>
      <c r="M366" s="13"/>
      <c r="N366" s="13"/>
      <c r="O366" s="13"/>
    </row>
    <row r="367">
      <c r="B367" s="11"/>
      <c r="C367" s="11"/>
      <c r="D367" s="11"/>
      <c r="E367" s="15"/>
      <c r="F367" s="11"/>
      <c r="G367" s="11"/>
      <c r="H367" s="11"/>
      <c r="I367" s="11"/>
      <c r="J367" s="12"/>
      <c r="K367" s="13"/>
      <c r="L367" s="12"/>
      <c r="M367" s="13"/>
      <c r="N367" s="13"/>
      <c r="O367" s="13"/>
    </row>
    <row r="368">
      <c r="B368" s="11"/>
      <c r="C368" s="11"/>
      <c r="D368" s="11"/>
      <c r="E368" s="15"/>
      <c r="F368" s="11"/>
      <c r="G368" s="11"/>
      <c r="H368" s="11"/>
      <c r="I368" s="11"/>
      <c r="J368" s="12"/>
      <c r="K368" s="13"/>
      <c r="L368" s="12"/>
      <c r="M368" s="13"/>
      <c r="N368" s="13"/>
      <c r="O368" s="13"/>
    </row>
    <row r="369">
      <c r="B369" s="11"/>
      <c r="C369" s="11"/>
      <c r="D369" s="11"/>
      <c r="E369" s="15"/>
      <c r="F369" s="11"/>
      <c r="G369" s="11"/>
      <c r="H369" s="11"/>
      <c r="I369" s="11"/>
      <c r="J369" s="12"/>
      <c r="K369" s="13"/>
      <c r="L369" s="12"/>
      <c r="M369" s="13"/>
      <c r="N369" s="13"/>
      <c r="O369" s="13"/>
    </row>
    <row r="370">
      <c r="B370" s="11"/>
      <c r="C370" s="11"/>
      <c r="D370" s="11"/>
      <c r="E370" s="15"/>
      <c r="F370" s="11"/>
      <c r="G370" s="11"/>
      <c r="H370" s="11"/>
      <c r="I370" s="11"/>
      <c r="J370" s="12"/>
      <c r="K370" s="13"/>
      <c r="L370" s="12"/>
      <c r="M370" s="13"/>
      <c r="N370" s="13"/>
      <c r="O370" s="13"/>
    </row>
    <row r="371">
      <c r="B371" s="11"/>
      <c r="C371" s="11"/>
      <c r="D371" s="11"/>
      <c r="E371" s="15"/>
      <c r="F371" s="11"/>
      <c r="G371" s="11"/>
      <c r="H371" s="11"/>
      <c r="I371" s="11"/>
      <c r="J371" s="12"/>
      <c r="K371" s="13"/>
      <c r="L371" s="12"/>
      <c r="M371" s="13"/>
      <c r="N371" s="13"/>
      <c r="O371" s="13"/>
    </row>
    <row r="372">
      <c r="B372" s="11"/>
      <c r="C372" s="11"/>
      <c r="D372" s="11"/>
      <c r="E372" s="15"/>
      <c r="F372" s="11"/>
      <c r="G372" s="11"/>
      <c r="H372" s="11"/>
      <c r="I372" s="11"/>
      <c r="J372" s="12"/>
      <c r="K372" s="13"/>
      <c r="L372" s="12"/>
      <c r="M372" s="13"/>
      <c r="N372" s="13"/>
      <c r="O372" s="13"/>
    </row>
    <row r="373">
      <c r="B373" s="11"/>
      <c r="C373" s="11"/>
      <c r="D373" s="11"/>
      <c r="E373" s="15"/>
      <c r="F373" s="11"/>
      <c r="G373" s="11"/>
      <c r="H373" s="11"/>
      <c r="I373" s="11"/>
      <c r="J373" s="12"/>
      <c r="K373" s="13"/>
      <c r="L373" s="12"/>
      <c r="M373" s="13"/>
      <c r="N373" s="13"/>
      <c r="O373" s="13"/>
    </row>
    <row r="374">
      <c r="B374" s="11"/>
      <c r="C374" s="11"/>
      <c r="D374" s="11"/>
      <c r="E374" s="15"/>
      <c r="F374" s="11"/>
      <c r="G374" s="11"/>
      <c r="H374" s="11"/>
      <c r="I374" s="11"/>
      <c r="J374" s="12"/>
      <c r="K374" s="13"/>
      <c r="L374" s="12"/>
      <c r="M374" s="13"/>
      <c r="N374" s="13"/>
      <c r="O374" s="13"/>
    </row>
    <row r="375">
      <c r="B375" s="11"/>
      <c r="C375" s="11"/>
      <c r="D375" s="11"/>
      <c r="E375" s="15"/>
      <c r="F375" s="11"/>
      <c r="G375" s="11"/>
      <c r="H375" s="11"/>
      <c r="I375" s="11"/>
      <c r="J375" s="12"/>
      <c r="K375" s="13"/>
      <c r="L375" s="12"/>
      <c r="M375" s="13"/>
      <c r="N375" s="13"/>
      <c r="O375" s="13"/>
    </row>
    <row r="376">
      <c r="B376" s="11"/>
      <c r="C376" s="11"/>
      <c r="D376" s="11"/>
      <c r="E376" s="15"/>
      <c r="F376" s="11"/>
      <c r="G376" s="11"/>
      <c r="H376" s="11"/>
      <c r="I376" s="11"/>
      <c r="J376" s="12"/>
      <c r="K376" s="13"/>
      <c r="L376" s="12"/>
      <c r="M376" s="13"/>
      <c r="N376" s="13"/>
      <c r="O376" s="13"/>
    </row>
    <row r="377">
      <c r="B377" s="11"/>
      <c r="C377" s="11"/>
      <c r="D377" s="11"/>
      <c r="E377" s="15"/>
      <c r="F377" s="11"/>
      <c r="G377" s="11"/>
      <c r="H377" s="11"/>
      <c r="I377" s="11"/>
      <c r="J377" s="12"/>
      <c r="K377" s="13"/>
      <c r="L377" s="12"/>
      <c r="M377" s="13"/>
      <c r="N377" s="13"/>
      <c r="O377" s="13"/>
    </row>
    <row r="378">
      <c r="B378" s="11"/>
      <c r="C378" s="11"/>
      <c r="D378" s="11"/>
      <c r="E378" s="15"/>
      <c r="F378" s="11"/>
      <c r="G378" s="11"/>
      <c r="H378" s="11"/>
      <c r="I378" s="11"/>
      <c r="J378" s="12"/>
      <c r="K378" s="13"/>
      <c r="L378" s="12"/>
      <c r="M378" s="13"/>
      <c r="N378" s="13"/>
      <c r="O378" s="13"/>
    </row>
    <row r="379">
      <c r="B379" s="11"/>
      <c r="C379" s="11"/>
      <c r="D379" s="11"/>
      <c r="E379" s="15"/>
      <c r="F379" s="11"/>
      <c r="G379" s="11"/>
      <c r="H379" s="11"/>
      <c r="I379" s="11"/>
      <c r="J379" s="12"/>
      <c r="K379" s="13"/>
      <c r="L379" s="12"/>
      <c r="M379" s="13"/>
      <c r="N379" s="13"/>
      <c r="O379" s="13"/>
    </row>
    <row r="380">
      <c r="B380" s="11"/>
      <c r="C380" s="11"/>
      <c r="D380" s="11"/>
      <c r="E380" s="15"/>
      <c r="F380" s="11"/>
      <c r="G380" s="11"/>
      <c r="H380" s="11"/>
      <c r="I380" s="11"/>
      <c r="J380" s="12"/>
      <c r="K380" s="13"/>
      <c r="L380" s="12"/>
      <c r="M380" s="13"/>
      <c r="N380" s="13"/>
      <c r="O380" s="13"/>
    </row>
    <row r="381">
      <c r="B381" s="11"/>
      <c r="C381" s="11"/>
      <c r="D381" s="11"/>
      <c r="E381" s="15"/>
      <c r="F381" s="11"/>
      <c r="G381" s="11"/>
      <c r="H381" s="11"/>
      <c r="I381" s="11"/>
      <c r="J381" s="12"/>
      <c r="K381" s="13"/>
      <c r="L381" s="12"/>
      <c r="M381" s="13"/>
      <c r="N381" s="13"/>
      <c r="O381" s="13"/>
    </row>
    <row r="382">
      <c r="B382" s="11"/>
      <c r="C382" s="11"/>
      <c r="D382" s="11"/>
      <c r="E382" s="15"/>
      <c r="F382" s="11"/>
      <c r="G382" s="11"/>
      <c r="H382" s="11"/>
      <c r="I382" s="11"/>
      <c r="J382" s="12"/>
      <c r="K382" s="13"/>
      <c r="L382" s="12"/>
      <c r="M382" s="13"/>
      <c r="N382" s="13"/>
      <c r="O382" s="13"/>
    </row>
    <row r="383">
      <c r="B383" s="11"/>
      <c r="C383" s="11"/>
      <c r="D383" s="11"/>
      <c r="E383" s="15"/>
      <c r="F383" s="11"/>
      <c r="G383" s="11"/>
      <c r="H383" s="11"/>
      <c r="I383" s="11"/>
      <c r="J383" s="12"/>
      <c r="K383" s="13"/>
      <c r="L383" s="12"/>
      <c r="M383" s="13"/>
      <c r="N383" s="13"/>
      <c r="O383" s="13"/>
    </row>
    <row r="384">
      <c r="B384" s="11"/>
      <c r="C384" s="11"/>
      <c r="D384" s="11"/>
      <c r="E384" s="15"/>
      <c r="F384" s="11"/>
      <c r="G384" s="11"/>
      <c r="H384" s="11"/>
      <c r="I384" s="11"/>
      <c r="J384" s="12"/>
      <c r="K384" s="13"/>
      <c r="L384" s="12"/>
      <c r="M384" s="13"/>
      <c r="N384" s="13"/>
      <c r="O384" s="13"/>
    </row>
    <row r="385">
      <c r="B385" s="11"/>
      <c r="C385" s="11"/>
      <c r="D385" s="11"/>
      <c r="E385" s="15"/>
      <c r="F385" s="11"/>
      <c r="G385" s="11"/>
      <c r="H385" s="11"/>
      <c r="I385" s="11"/>
      <c r="J385" s="12"/>
      <c r="K385" s="13"/>
      <c r="L385" s="12"/>
      <c r="M385" s="13"/>
      <c r="N385" s="13"/>
      <c r="O385" s="13"/>
    </row>
    <row r="386">
      <c r="B386" s="11"/>
      <c r="C386" s="11"/>
      <c r="D386" s="11"/>
      <c r="E386" s="15"/>
      <c r="F386" s="11"/>
      <c r="G386" s="11"/>
      <c r="H386" s="11"/>
      <c r="I386" s="11"/>
      <c r="J386" s="12"/>
      <c r="K386" s="13"/>
      <c r="L386" s="12"/>
      <c r="M386" s="13"/>
      <c r="N386" s="13"/>
      <c r="O386" s="13"/>
    </row>
    <row r="387">
      <c r="B387" s="11"/>
      <c r="C387" s="11"/>
      <c r="D387" s="11"/>
      <c r="E387" s="15"/>
      <c r="F387" s="11"/>
      <c r="G387" s="11"/>
      <c r="H387" s="11"/>
      <c r="I387" s="11"/>
      <c r="J387" s="12"/>
      <c r="K387" s="13"/>
      <c r="L387" s="12"/>
      <c r="M387" s="13"/>
      <c r="N387" s="13"/>
      <c r="O387" s="13"/>
    </row>
    <row r="388">
      <c r="B388" s="11"/>
      <c r="C388" s="11"/>
      <c r="D388" s="11"/>
      <c r="E388" s="15"/>
      <c r="F388" s="11"/>
      <c r="G388" s="11"/>
      <c r="H388" s="11"/>
      <c r="I388" s="11"/>
      <c r="J388" s="12"/>
      <c r="K388" s="13"/>
      <c r="L388" s="12"/>
      <c r="M388" s="13"/>
      <c r="N388" s="13"/>
      <c r="O388" s="13"/>
    </row>
    <row r="389">
      <c r="B389" s="11"/>
      <c r="C389" s="11"/>
      <c r="D389" s="11"/>
      <c r="E389" s="15"/>
      <c r="F389" s="11"/>
      <c r="G389" s="11"/>
      <c r="H389" s="11"/>
      <c r="I389" s="11"/>
      <c r="J389" s="12"/>
      <c r="K389" s="13"/>
      <c r="L389" s="12"/>
      <c r="M389" s="13"/>
      <c r="N389" s="13"/>
      <c r="O389" s="13"/>
    </row>
    <row r="390">
      <c r="B390" s="11"/>
      <c r="C390" s="11"/>
      <c r="D390" s="11"/>
      <c r="E390" s="15"/>
      <c r="F390" s="11"/>
      <c r="G390" s="11"/>
      <c r="H390" s="11"/>
      <c r="I390" s="11"/>
      <c r="J390" s="12"/>
      <c r="K390" s="13"/>
      <c r="L390" s="12"/>
      <c r="M390" s="13"/>
      <c r="N390" s="13"/>
      <c r="O390" s="13"/>
    </row>
    <row r="391">
      <c r="B391" s="11"/>
      <c r="C391" s="11"/>
      <c r="D391" s="11"/>
      <c r="E391" s="15"/>
      <c r="F391" s="11"/>
      <c r="G391" s="11"/>
      <c r="H391" s="11"/>
      <c r="I391" s="11"/>
      <c r="J391" s="12"/>
      <c r="K391" s="13"/>
      <c r="L391" s="12"/>
      <c r="M391" s="13"/>
      <c r="N391" s="13"/>
      <c r="O391" s="13"/>
    </row>
    <row r="392">
      <c r="B392" s="11"/>
      <c r="C392" s="11"/>
      <c r="D392" s="11"/>
      <c r="E392" s="15"/>
      <c r="F392" s="11"/>
      <c r="G392" s="11"/>
      <c r="H392" s="11"/>
      <c r="I392" s="11"/>
      <c r="J392" s="12"/>
      <c r="K392" s="13"/>
      <c r="L392" s="12"/>
      <c r="M392" s="13"/>
      <c r="N392" s="13"/>
      <c r="O392" s="13"/>
    </row>
    <row r="393">
      <c r="B393" s="11"/>
      <c r="C393" s="11"/>
      <c r="D393" s="11"/>
      <c r="E393" s="15"/>
      <c r="F393" s="11"/>
      <c r="G393" s="11"/>
      <c r="H393" s="11"/>
      <c r="I393" s="11"/>
      <c r="J393" s="12"/>
      <c r="K393" s="13"/>
      <c r="L393" s="12"/>
      <c r="M393" s="13"/>
      <c r="N393" s="13"/>
      <c r="O393" s="13"/>
    </row>
    <row r="394">
      <c r="B394" s="11"/>
      <c r="C394" s="11"/>
      <c r="D394" s="11"/>
      <c r="E394" s="15"/>
      <c r="F394" s="11"/>
      <c r="G394" s="11"/>
      <c r="H394" s="11"/>
      <c r="I394" s="11"/>
      <c r="J394" s="12"/>
      <c r="K394" s="13"/>
      <c r="L394" s="12"/>
      <c r="M394" s="13"/>
      <c r="N394" s="13"/>
      <c r="O394" s="13"/>
    </row>
    <row r="395">
      <c r="B395" s="11"/>
      <c r="C395" s="11"/>
      <c r="D395" s="11"/>
      <c r="E395" s="15"/>
      <c r="F395" s="11"/>
      <c r="G395" s="11"/>
      <c r="H395" s="11"/>
      <c r="I395" s="11"/>
      <c r="J395" s="12"/>
      <c r="K395" s="13"/>
      <c r="L395" s="12"/>
      <c r="M395" s="13"/>
      <c r="N395" s="13"/>
      <c r="O395" s="13"/>
    </row>
    <row r="396">
      <c r="B396" s="11"/>
      <c r="C396" s="11"/>
      <c r="D396" s="11"/>
      <c r="E396" s="15"/>
      <c r="F396" s="11"/>
      <c r="G396" s="11"/>
      <c r="H396" s="11"/>
      <c r="I396" s="11"/>
      <c r="J396" s="12"/>
      <c r="K396" s="13"/>
      <c r="L396" s="12"/>
      <c r="M396" s="13"/>
      <c r="N396" s="13"/>
      <c r="O396" s="13"/>
    </row>
    <row r="397">
      <c r="B397" s="11"/>
      <c r="C397" s="11"/>
      <c r="D397" s="11"/>
      <c r="E397" s="15"/>
      <c r="F397" s="11"/>
      <c r="G397" s="11"/>
      <c r="H397" s="11"/>
      <c r="I397" s="11"/>
      <c r="J397" s="12"/>
      <c r="K397" s="13"/>
      <c r="L397" s="12"/>
      <c r="M397" s="13"/>
      <c r="N397" s="13"/>
      <c r="O397" s="13"/>
    </row>
    <row r="398">
      <c r="B398" s="11"/>
      <c r="C398" s="11"/>
      <c r="D398" s="11"/>
      <c r="E398" s="15"/>
      <c r="F398" s="11"/>
      <c r="G398" s="11"/>
      <c r="H398" s="11"/>
      <c r="I398" s="11"/>
      <c r="J398" s="12"/>
      <c r="K398" s="13"/>
      <c r="L398" s="12"/>
      <c r="M398" s="13"/>
      <c r="N398" s="13"/>
      <c r="O398" s="13"/>
    </row>
    <row r="399">
      <c r="B399" s="11"/>
      <c r="C399" s="11"/>
      <c r="D399" s="11"/>
      <c r="E399" s="15"/>
      <c r="F399" s="11"/>
      <c r="G399" s="11"/>
      <c r="H399" s="11"/>
      <c r="I399" s="11"/>
      <c r="J399" s="12"/>
      <c r="K399" s="13"/>
      <c r="L399" s="12"/>
      <c r="M399" s="13"/>
      <c r="N399" s="13"/>
      <c r="O399" s="13"/>
    </row>
    <row r="400">
      <c r="B400" s="11"/>
      <c r="C400" s="11"/>
      <c r="D400" s="11"/>
      <c r="E400" s="15"/>
      <c r="F400" s="11"/>
      <c r="G400" s="11"/>
      <c r="H400" s="11"/>
      <c r="I400" s="11"/>
      <c r="J400" s="12"/>
      <c r="K400" s="13"/>
      <c r="L400" s="12"/>
      <c r="M400" s="13"/>
      <c r="N400" s="13"/>
      <c r="O400" s="13"/>
    </row>
    <row r="401">
      <c r="B401" s="11"/>
      <c r="C401" s="11"/>
      <c r="D401" s="11"/>
      <c r="E401" s="15"/>
      <c r="F401" s="11"/>
      <c r="G401" s="11"/>
      <c r="H401" s="11"/>
      <c r="I401" s="11"/>
      <c r="J401" s="12"/>
      <c r="K401" s="13"/>
      <c r="L401" s="12"/>
      <c r="M401" s="13"/>
      <c r="N401" s="13"/>
      <c r="O401" s="13"/>
    </row>
    <row r="402">
      <c r="B402" s="11"/>
      <c r="C402" s="11"/>
      <c r="D402" s="11"/>
      <c r="E402" s="15"/>
      <c r="F402" s="11"/>
      <c r="G402" s="11"/>
      <c r="H402" s="11"/>
      <c r="I402" s="11"/>
      <c r="J402" s="12"/>
      <c r="K402" s="13"/>
      <c r="L402" s="12"/>
      <c r="M402" s="13"/>
      <c r="N402" s="13"/>
      <c r="O402" s="13"/>
    </row>
    <row r="403">
      <c r="B403" s="11"/>
      <c r="C403" s="11"/>
      <c r="D403" s="11"/>
      <c r="E403" s="15"/>
      <c r="F403" s="11"/>
      <c r="G403" s="11"/>
      <c r="H403" s="11"/>
      <c r="I403" s="11"/>
      <c r="J403" s="12"/>
      <c r="K403" s="13"/>
      <c r="L403" s="12"/>
      <c r="M403" s="13"/>
      <c r="N403" s="13"/>
      <c r="O403" s="13"/>
    </row>
    <row r="404">
      <c r="B404" s="11"/>
      <c r="C404" s="11"/>
      <c r="D404" s="11"/>
      <c r="E404" s="15"/>
      <c r="F404" s="11"/>
      <c r="G404" s="11"/>
      <c r="H404" s="11"/>
      <c r="I404" s="11"/>
      <c r="J404" s="12"/>
      <c r="K404" s="13"/>
      <c r="L404" s="12"/>
      <c r="M404" s="13"/>
      <c r="N404" s="13"/>
      <c r="O404" s="13"/>
    </row>
    <row r="405">
      <c r="B405" s="11"/>
      <c r="C405" s="11"/>
      <c r="D405" s="11"/>
      <c r="E405" s="15"/>
      <c r="F405" s="11"/>
      <c r="G405" s="11"/>
      <c r="H405" s="11"/>
      <c r="I405" s="11"/>
      <c r="J405" s="12"/>
      <c r="K405" s="13"/>
      <c r="L405" s="12"/>
      <c r="M405" s="13"/>
      <c r="N405" s="13"/>
      <c r="O405" s="13"/>
    </row>
    <row r="406">
      <c r="B406" s="11"/>
      <c r="C406" s="11"/>
      <c r="D406" s="11"/>
      <c r="E406" s="15"/>
      <c r="F406" s="11"/>
      <c r="G406" s="11"/>
      <c r="H406" s="11"/>
      <c r="I406" s="11"/>
      <c r="J406" s="12"/>
      <c r="K406" s="13"/>
      <c r="L406" s="12"/>
      <c r="M406" s="13"/>
      <c r="N406" s="13"/>
      <c r="O406" s="13"/>
    </row>
    <row r="407">
      <c r="B407" s="11"/>
      <c r="C407" s="11"/>
      <c r="D407" s="11"/>
      <c r="E407" s="15"/>
      <c r="F407" s="11"/>
      <c r="G407" s="11"/>
      <c r="H407" s="11"/>
      <c r="I407" s="11"/>
      <c r="J407" s="12"/>
      <c r="K407" s="13"/>
      <c r="L407" s="12"/>
      <c r="M407" s="13"/>
      <c r="N407" s="13"/>
      <c r="O407" s="13"/>
    </row>
    <row r="408">
      <c r="B408" s="11"/>
      <c r="C408" s="11"/>
      <c r="D408" s="11"/>
      <c r="E408" s="15"/>
      <c r="F408" s="11"/>
      <c r="G408" s="11"/>
      <c r="H408" s="11"/>
      <c r="I408" s="11"/>
      <c r="J408" s="12"/>
      <c r="K408" s="13"/>
      <c r="L408" s="12"/>
      <c r="M408" s="13"/>
      <c r="N408" s="13"/>
      <c r="O408" s="13"/>
    </row>
    <row r="409">
      <c r="B409" s="11"/>
      <c r="C409" s="11"/>
      <c r="D409" s="11"/>
      <c r="E409" s="15"/>
      <c r="F409" s="11"/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B410" s="11"/>
      <c r="C410" s="11"/>
      <c r="D410" s="11"/>
      <c r="E410" s="15"/>
      <c r="F410" s="11"/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B411" s="11"/>
      <c r="C411" s="11"/>
      <c r="D411" s="11"/>
      <c r="E411" s="15"/>
      <c r="F411" s="11"/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B412" s="11"/>
      <c r="C412" s="11"/>
      <c r="D412" s="11"/>
      <c r="E412" s="15"/>
      <c r="F412" s="11"/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B413" s="11"/>
      <c r="C413" s="11"/>
      <c r="D413" s="11"/>
      <c r="E413" s="15"/>
      <c r="F413" s="11"/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B414" s="11"/>
      <c r="C414" s="11"/>
      <c r="D414" s="11"/>
      <c r="E414" s="15"/>
      <c r="F414" s="11"/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B415" s="11"/>
      <c r="C415" s="11"/>
      <c r="D415" s="11"/>
      <c r="E415" s="15"/>
      <c r="F415" s="11"/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B416" s="11"/>
      <c r="C416" s="11"/>
      <c r="D416" s="11"/>
      <c r="E416" s="15"/>
      <c r="F416" s="11"/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B417" s="11"/>
      <c r="C417" s="11"/>
      <c r="D417" s="11"/>
      <c r="E417" s="15"/>
      <c r="F417" s="11"/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B418" s="11"/>
      <c r="C418" s="11"/>
      <c r="D418" s="11"/>
      <c r="E418" s="15"/>
      <c r="F418" s="11"/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B419" s="11"/>
      <c r="C419" s="11"/>
      <c r="D419" s="11"/>
      <c r="E419" s="15"/>
      <c r="F419" s="11"/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B420" s="11"/>
      <c r="C420" s="11"/>
      <c r="D420" s="11"/>
      <c r="E420" s="15"/>
      <c r="F420" s="11"/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B421" s="11"/>
      <c r="C421" s="11"/>
      <c r="D421" s="11"/>
      <c r="E421" s="15"/>
      <c r="F421" s="11"/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B422" s="11"/>
      <c r="C422" s="11"/>
      <c r="D422" s="11"/>
      <c r="E422" s="15"/>
      <c r="F422" s="11"/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B423" s="11"/>
      <c r="C423" s="11"/>
      <c r="D423" s="11"/>
      <c r="E423" s="15"/>
      <c r="F423" s="11"/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B424" s="11"/>
      <c r="C424" s="11"/>
      <c r="D424" s="11"/>
      <c r="E424" s="15"/>
      <c r="F424" s="11"/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B425" s="11"/>
      <c r="C425" s="11"/>
      <c r="D425" s="11"/>
      <c r="E425" s="15"/>
      <c r="F425" s="11"/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B426" s="11"/>
      <c r="C426" s="11"/>
      <c r="D426" s="11"/>
      <c r="E426" s="15"/>
      <c r="F426" s="11"/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B427" s="11"/>
      <c r="C427" s="11"/>
      <c r="D427" s="11"/>
      <c r="E427" s="15"/>
      <c r="F427" s="11"/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B428" s="11"/>
      <c r="C428" s="11"/>
      <c r="D428" s="11"/>
      <c r="E428" s="15"/>
      <c r="F428" s="11"/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B429" s="11"/>
      <c r="C429" s="11"/>
      <c r="D429" s="11"/>
      <c r="E429" s="15"/>
      <c r="F429" s="11"/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B430" s="11"/>
      <c r="C430" s="11"/>
      <c r="D430" s="11"/>
      <c r="E430" s="15"/>
      <c r="F430" s="11"/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B431" s="11"/>
      <c r="C431" s="11"/>
      <c r="D431" s="11"/>
      <c r="E431" s="15"/>
      <c r="F431" s="11"/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B432" s="11"/>
      <c r="C432" s="11"/>
      <c r="D432" s="11"/>
      <c r="E432" s="15"/>
      <c r="F432" s="11"/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B433" s="11"/>
      <c r="C433" s="11"/>
      <c r="D433" s="11"/>
      <c r="E433" s="15"/>
      <c r="F433" s="11"/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B434" s="11"/>
      <c r="C434" s="11"/>
      <c r="D434" s="11"/>
      <c r="E434" s="15"/>
      <c r="F434" s="11"/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B435" s="11"/>
      <c r="C435" s="11"/>
      <c r="D435" s="11"/>
      <c r="E435" s="15"/>
      <c r="F435" s="11"/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B436" s="11"/>
      <c r="C436" s="11"/>
      <c r="D436" s="11"/>
      <c r="E436" s="15"/>
      <c r="F436" s="11"/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B437" s="11"/>
      <c r="C437" s="11"/>
      <c r="D437" s="11"/>
      <c r="E437" s="15"/>
      <c r="F437" s="11"/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B438" s="11"/>
      <c r="C438" s="11"/>
      <c r="D438" s="11"/>
      <c r="E438" s="15"/>
      <c r="F438" s="11"/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B439" s="11"/>
      <c r="C439" s="11"/>
      <c r="D439" s="11"/>
      <c r="E439" s="15"/>
      <c r="F439" s="11"/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B440" s="11"/>
      <c r="C440" s="11"/>
      <c r="D440" s="11"/>
      <c r="E440" s="15"/>
      <c r="F440" s="11"/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B441" s="11"/>
      <c r="C441" s="11"/>
      <c r="D441" s="11"/>
      <c r="E441" s="15"/>
      <c r="F441" s="11"/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B442" s="11"/>
      <c r="C442" s="11"/>
      <c r="D442" s="11"/>
      <c r="E442" s="15"/>
      <c r="F442" s="11"/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B443" s="11"/>
      <c r="C443" s="11"/>
      <c r="D443" s="11"/>
      <c r="E443" s="15"/>
      <c r="F443" s="11"/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B444" s="11"/>
      <c r="C444" s="11"/>
      <c r="D444" s="11"/>
      <c r="E444" s="15"/>
      <c r="F444" s="11"/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B445" s="11"/>
      <c r="C445" s="11"/>
      <c r="D445" s="11"/>
      <c r="E445" s="15"/>
      <c r="F445" s="11"/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B446" s="11"/>
      <c r="C446" s="11"/>
      <c r="D446" s="11"/>
      <c r="E446" s="15"/>
      <c r="F446" s="11"/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B447" s="11"/>
      <c r="C447" s="11"/>
      <c r="D447" s="11"/>
      <c r="E447" s="15"/>
      <c r="F447" s="11"/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B448" s="11"/>
      <c r="C448" s="11"/>
      <c r="D448" s="11"/>
      <c r="E448" s="15"/>
      <c r="F448" s="11"/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B449" s="11"/>
      <c r="C449" s="11"/>
      <c r="D449" s="11"/>
      <c r="E449" s="15"/>
      <c r="F449" s="11"/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B450" s="11"/>
      <c r="C450" s="11"/>
      <c r="D450" s="11"/>
      <c r="E450" s="15"/>
      <c r="F450" s="11"/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B451" s="11"/>
      <c r="C451" s="11"/>
      <c r="D451" s="11"/>
      <c r="E451" s="15"/>
      <c r="F451" s="11"/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B452" s="11"/>
      <c r="C452" s="11"/>
      <c r="D452" s="11"/>
      <c r="E452" s="15"/>
      <c r="F452" s="11"/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B453" s="11"/>
      <c r="C453" s="11"/>
      <c r="D453" s="11"/>
      <c r="E453" s="15"/>
      <c r="F453" s="11"/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B454" s="11"/>
      <c r="C454" s="11"/>
      <c r="D454" s="11"/>
      <c r="E454" s="15"/>
      <c r="F454" s="11"/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B455" s="11"/>
      <c r="C455" s="11"/>
      <c r="D455" s="11"/>
      <c r="E455" s="15"/>
      <c r="F455" s="11"/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B456" s="11"/>
      <c r="C456" s="11"/>
      <c r="D456" s="11"/>
      <c r="E456" s="15"/>
      <c r="F456" s="11"/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B457" s="11"/>
      <c r="C457" s="11"/>
      <c r="D457" s="11"/>
      <c r="E457" s="15"/>
      <c r="F457" s="11"/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B458" s="11"/>
      <c r="C458" s="11"/>
      <c r="D458" s="11"/>
      <c r="E458" s="15"/>
      <c r="F458" s="11"/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B459" s="11"/>
      <c r="C459" s="11"/>
      <c r="D459" s="11"/>
      <c r="E459" s="15"/>
      <c r="F459" s="11"/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B460" s="11"/>
      <c r="C460" s="11"/>
      <c r="D460" s="11"/>
      <c r="E460" s="15"/>
      <c r="F460" s="11"/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B461" s="11"/>
      <c r="C461" s="11"/>
      <c r="D461" s="11"/>
      <c r="E461" s="15"/>
      <c r="F461" s="11"/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B462" s="11"/>
      <c r="C462" s="11"/>
      <c r="D462" s="11"/>
      <c r="E462" s="15"/>
      <c r="F462" s="11"/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B463" s="11"/>
      <c r="C463" s="11"/>
      <c r="D463" s="11"/>
      <c r="E463" s="15"/>
      <c r="F463" s="11"/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B464" s="11"/>
      <c r="C464" s="11"/>
      <c r="D464" s="11"/>
      <c r="E464" s="15"/>
      <c r="F464" s="11"/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B465" s="11"/>
      <c r="C465" s="11"/>
      <c r="D465" s="11"/>
      <c r="E465" s="15"/>
      <c r="F465" s="11"/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B466" s="11"/>
      <c r="C466" s="11"/>
      <c r="D466" s="11"/>
      <c r="E466" s="15"/>
      <c r="F466" s="11"/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B467" s="11"/>
      <c r="C467" s="11"/>
      <c r="D467" s="11"/>
      <c r="E467" s="15"/>
      <c r="F467" s="11"/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B468" s="11"/>
      <c r="C468" s="11"/>
      <c r="D468" s="11"/>
      <c r="E468" s="15"/>
      <c r="F468" s="11"/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B469" s="11"/>
      <c r="C469" s="11"/>
      <c r="D469" s="11"/>
      <c r="E469" s="15"/>
      <c r="F469" s="11"/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B470" s="11"/>
      <c r="C470" s="11"/>
      <c r="D470" s="11"/>
      <c r="E470" s="15"/>
      <c r="F470" s="11"/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B471" s="11"/>
      <c r="C471" s="11"/>
      <c r="D471" s="11"/>
      <c r="E471" s="15"/>
      <c r="F471" s="11"/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B472" s="11"/>
      <c r="C472" s="11"/>
      <c r="D472" s="11"/>
      <c r="E472" s="15"/>
      <c r="F472" s="11"/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B473" s="11"/>
      <c r="C473" s="11"/>
      <c r="D473" s="11"/>
      <c r="E473" s="15"/>
      <c r="F473" s="11"/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B474" s="11"/>
      <c r="C474" s="11"/>
      <c r="D474" s="11"/>
      <c r="E474" s="15"/>
      <c r="F474" s="11"/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B475" s="11"/>
      <c r="C475" s="11"/>
      <c r="D475" s="11"/>
      <c r="E475" s="15"/>
      <c r="F475" s="11"/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B476" s="11"/>
      <c r="C476" s="11"/>
      <c r="D476" s="11"/>
      <c r="E476" s="15"/>
      <c r="F476" s="11"/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B477" s="11"/>
      <c r="C477" s="11"/>
      <c r="D477" s="11"/>
      <c r="E477" s="15"/>
      <c r="F477" s="11"/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B478" s="11"/>
      <c r="C478" s="11"/>
      <c r="D478" s="11"/>
      <c r="E478" s="15"/>
      <c r="F478" s="11"/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B479" s="11"/>
      <c r="C479" s="11"/>
      <c r="D479" s="11"/>
      <c r="E479" s="15"/>
      <c r="F479" s="11"/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B480" s="11"/>
      <c r="C480" s="11"/>
      <c r="D480" s="11"/>
      <c r="E480" s="15"/>
      <c r="F480" s="11"/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B481" s="11"/>
      <c r="C481" s="11"/>
      <c r="D481" s="11"/>
      <c r="E481" s="15"/>
      <c r="F481" s="11"/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B482" s="11"/>
      <c r="C482" s="11"/>
      <c r="D482" s="11"/>
      <c r="E482" s="15"/>
      <c r="F482" s="11"/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B483" s="11"/>
      <c r="C483" s="11"/>
      <c r="D483" s="11"/>
      <c r="E483" s="15"/>
      <c r="F483" s="11"/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B484" s="11"/>
      <c r="C484" s="11"/>
      <c r="D484" s="11"/>
      <c r="E484" s="15"/>
      <c r="F484" s="11"/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B485" s="11"/>
      <c r="C485" s="11"/>
      <c r="D485" s="11"/>
      <c r="E485" s="15"/>
      <c r="F485" s="11"/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B486" s="11"/>
      <c r="C486" s="11"/>
      <c r="D486" s="11"/>
      <c r="E486" s="15"/>
      <c r="F486" s="11"/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B487" s="11"/>
      <c r="C487" s="11"/>
      <c r="D487" s="11"/>
      <c r="E487" s="15"/>
      <c r="F487" s="11"/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B488" s="11"/>
      <c r="C488" s="11"/>
      <c r="D488" s="11"/>
      <c r="E488" s="15"/>
      <c r="F488" s="11"/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B489" s="11"/>
      <c r="C489" s="11"/>
      <c r="D489" s="11"/>
      <c r="E489" s="15"/>
      <c r="F489" s="11"/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B490" s="11"/>
      <c r="C490" s="11"/>
      <c r="D490" s="11"/>
      <c r="E490" s="15"/>
      <c r="F490" s="11"/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B491" s="11"/>
      <c r="C491" s="11"/>
      <c r="D491" s="11"/>
      <c r="E491" s="15"/>
      <c r="F491" s="11"/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B492" s="11"/>
      <c r="C492" s="11"/>
      <c r="D492" s="11"/>
      <c r="E492" s="15"/>
      <c r="F492" s="11"/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B493" s="11"/>
      <c r="C493" s="11"/>
      <c r="D493" s="11"/>
      <c r="E493" s="15"/>
      <c r="F493" s="11"/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B494" s="11"/>
      <c r="C494" s="11"/>
      <c r="D494" s="11"/>
      <c r="E494" s="15"/>
      <c r="F494" s="11"/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B495" s="11"/>
      <c r="C495" s="11"/>
      <c r="D495" s="11"/>
      <c r="E495" s="15"/>
      <c r="F495" s="11"/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B496" s="11"/>
      <c r="C496" s="11"/>
      <c r="D496" s="11"/>
      <c r="E496" s="15"/>
      <c r="F496" s="11"/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B497" s="11"/>
      <c r="C497" s="11"/>
      <c r="D497" s="11"/>
      <c r="E497" s="15"/>
      <c r="F497" s="11"/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B498" s="11"/>
      <c r="C498" s="11"/>
      <c r="D498" s="11"/>
      <c r="E498" s="15"/>
      <c r="F498" s="11"/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B499" s="11"/>
      <c r="C499" s="11"/>
      <c r="D499" s="11"/>
      <c r="E499" s="15"/>
      <c r="F499" s="11"/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B500" s="11"/>
      <c r="C500" s="11"/>
      <c r="D500" s="11"/>
      <c r="E500" s="15"/>
      <c r="F500" s="11"/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B501" s="11"/>
      <c r="C501" s="11"/>
      <c r="D501" s="11"/>
      <c r="E501" s="15"/>
      <c r="F501" s="11"/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B502" s="11"/>
      <c r="C502" s="11"/>
      <c r="D502" s="11"/>
      <c r="E502" s="15"/>
      <c r="F502" s="11"/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B503" s="11"/>
      <c r="C503" s="11"/>
      <c r="D503" s="11"/>
      <c r="E503" s="15"/>
      <c r="F503" s="11"/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B504" s="11"/>
      <c r="C504" s="11"/>
      <c r="D504" s="11"/>
      <c r="E504" s="15"/>
      <c r="F504" s="11"/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B505" s="11"/>
      <c r="C505" s="11"/>
      <c r="D505" s="11"/>
      <c r="E505" s="15"/>
      <c r="F505" s="11"/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B506" s="11"/>
      <c r="C506" s="11"/>
      <c r="D506" s="11"/>
      <c r="E506" s="15"/>
      <c r="F506" s="11"/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B507" s="11"/>
      <c r="C507" s="11"/>
      <c r="D507" s="11"/>
      <c r="E507" s="15"/>
      <c r="F507" s="11"/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B508" s="11"/>
      <c r="C508" s="11"/>
      <c r="D508" s="11"/>
      <c r="E508" s="15"/>
      <c r="F508" s="11"/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B509" s="11"/>
      <c r="C509" s="11"/>
      <c r="D509" s="11"/>
      <c r="E509" s="15"/>
      <c r="F509" s="11"/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B510" s="11"/>
      <c r="C510" s="11"/>
      <c r="D510" s="11"/>
      <c r="E510" s="15"/>
      <c r="F510" s="11"/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B511" s="11"/>
      <c r="C511" s="11"/>
      <c r="D511" s="11"/>
      <c r="E511" s="15"/>
      <c r="F511" s="11"/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B512" s="11"/>
      <c r="C512" s="11"/>
      <c r="D512" s="11"/>
      <c r="E512" s="15"/>
      <c r="F512" s="11"/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B513" s="11"/>
      <c r="C513" s="11"/>
      <c r="D513" s="11"/>
      <c r="E513" s="15"/>
      <c r="F513" s="11"/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B514" s="11"/>
      <c r="C514" s="11"/>
      <c r="D514" s="11"/>
      <c r="E514" s="15"/>
      <c r="F514" s="11"/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B515" s="11"/>
      <c r="C515" s="11"/>
      <c r="D515" s="11"/>
      <c r="E515" s="15"/>
      <c r="F515" s="11"/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B516" s="11"/>
      <c r="C516" s="11"/>
      <c r="D516" s="11"/>
      <c r="E516" s="15"/>
      <c r="F516" s="11"/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B517" s="11"/>
      <c r="C517" s="11"/>
      <c r="D517" s="11"/>
      <c r="E517" s="15"/>
      <c r="F517" s="11"/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B518" s="11"/>
      <c r="C518" s="11"/>
      <c r="D518" s="11"/>
      <c r="E518" s="15"/>
      <c r="F518" s="11"/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B519" s="11"/>
      <c r="C519" s="11"/>
      <c r="D519" s="11"/>
      <c r="E519" s="15"/>
      <c r="F519" s="11"/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B520" s="11"/>
      <c r="C520" s="11"/>
      <c r="D520" s="11"/>
      <c r="E520" s="15"/>
      <c r="F520" s="11"/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B521" s="11"/>
      <c r="C521" s="11"/>
      <c r="D521" s="11"/>
      <c r="E521" s="15"/>
      <c r="F521" s="11"/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B522" s="11"/>
      <c r="C522" s="11"/>
      <c r="D522" s="11"/>
      <c r="E522" s="15"/>
      <c r="F522" s="11"/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B523" s="11"/>
      <c r="C523" s="11"/>
      <c r="D523" s="11"/>
      <c r="E523" s="15"/>
      <c r="F523" s="11"/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B524" s="11"/>
      <c r="C524" s="11"/>
      <c r="D524" s="11"/>
      <c r="E524" s="15"/>
      <c r="F524" s="11"/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B525" s="11"/>
      <c r="C525" s="11"/>
      <c r="D525" s="11"/>
      <c r="E525" s="15"/>
      <c r="F525" s="11"/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B526" s="11"/>
      <c r="C526" s="11"/>
      <c r="D526" s="11"/>
      <c r="E526" s="15"/>
      <c r="F526" s="11"/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B527" s="11"/>
      <c r="C527" s="11"/>
      <c r="D527" s="11"/>
      <c r="E527" s="15"/>
      <c r="F527" s="11"/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B528" s="11"/>
      <c r="C528" s="11"/>
      <c r="D528" s="11"/>
      <c r="E528" s="15"/>
      <c r="F528" s="11"/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B529" s="11"/>
      <c r="C529" s="11"/>
      <c r="D529" s="11"/>
      <c r="E529" s="15"/>
      <c r="F529" s="11"/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B530" s="11"/>
      <c r="C530" s="11"/>
      <c r="D530" s="11"/>
      <c r="E530" s="15"/>
      <c r="F530" s="11"/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B531" s="11"/>
      <c r="C531" s="11"/>
      <c r="D531" s="11"/>
      <c r="E531" s="15"/>
      <c r="F531" s="11"/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B532" s="11"/>
      <c r="C532" s="11"/>
      <c r="D532" s="11"/>
      <c r="E532" s="15"/>
      <c r="F532" s="11"/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B533" s="11"/>
      <c r="C533" s="11"/>
      <c r="D533" s="11"/>
      <c r="E533" s="15"/>
      <c r="F533" s="11"/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B534" s="11"/>
      <c r="C534" s="11"/>
      <c r="D534" s="11"/>
      <c r="E534" s="15"/>
      <c r="F534" s="11"/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B535" s="11"/>
      <c r="C535" s="11"/>
      <c r="D535" s="11"/>
      <c r="E535" s="15"/>
      <c r="F535" s="11"/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B536" s="11"/>
      <c r="C536" s="11"/>
      <c r="D536" s="11"/>
      <c r="E536" s="15"/>
      <c r="F536" s="11"/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B537" s="11"/>
      <c r="C537" s="11"/>
      <c r="D537" s="11"/>
      <c r="E537" s="15"/>
      <c r="F537" s="11"/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B538" s="11"/>
      <c r="C538" s="11"/>
      <c r="D538" s="11"/>
      <c r="E538" s="15"/>
      <c r="F538" s="11"/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B539" s="11"/>
      <c r="C539" s="11"/>
      <c r="D539" s="11"/>
      <c r="E539" s="15"/>
      <c r="F539" s="11"/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B540" s="11"/>
      <c r="C540" s="11"/>
      <c r="D540" s="11"/>
      <c r="E540" s="15"/>
      <c r="F540" s="11"/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B541" s="11"/>
      <c r="C541" s="11"/>
      <c r="D541" s="11"/>
      <c r="E541" s="15"/>
      <c r="F541" s="11"/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B542" s="11"/>
      <c r="C542" s="11"/>
      <c r="D542" s="11"/>
      <c r="E542" s="15"/>
      <c r="F542" s="11"/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B543" s="11"/>
      <c r="C543" s="11"/>
      <c r="D543" s="11"/>
      <c r="E543" s="15"/>
      <c r="F543" s="11"/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B544" s="11"/>
      <c r="C544" s="11"/>
      <c r="D544" s="11"/>
      <c r="E544" s="15"/>
      <c r="F544" s="11"/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B545" s="11"/>
      <c r="C545" s="11"/>
      <c r="D545" s="11"/>
      <c r="E545" s="15"/>
      <c r="F545" s="11"/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B546" s="11"/>
      <c r="C546" s="11"/>
      <c r="D546" s="11"/>
      <c r="E546" s="15"/>
      <c r="F546" s="11"/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B547" s="11"/>
      <c r="C547" s="11"/>
      <c r="D547" s="11"/>
      <c r="E547" s="15"/>
      <c r="F547" s="11"/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B548" s="11"/>
      <c r="C548" s="11"/>
      <c r="D548" s="11"/>
      <c r="E548" s="15"/>
      <c r="F548" s="11"/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B549" s="11"/>
      <c r="C549" s="11"/>
      <c r="D549" s="11"/>
      <c r="E549" s="15"/>
      <c r="F549" s="11"/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B550" s="11"/>
      <c r="C550" s="11"/>
      <c r="D550" s="11"/>
      <c r="E550" s="15"/>
      <c r="F550" s="11"/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B551" s="11"/>
      <c r="C551" s="11"/>
      <c r="D551" s="11"/>
      <c r="E551" s="15"/>
      <c r="F551" s="11"/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B552" s="11"/>
      <c r="C552" s="11"/>
      <c r="D552" s="11"/>
      <c r="E552" s="15"/>
      <c r="F552" s="11"/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B553" s="11"/>
      <c r="C553" s="11"/>
      <c r="D553" s="11"/>
      <c r="E553" s="15"/>
      <c r="F553" s="11"/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B554" s="11"/>
      <c r="C554" s="11"/>
      <c r="D554" s="11"/>
      <c r="E554" s="15"/>
      <c r="F554" s="11"/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B555" s="11"/>
      <c r="C555" s="11"/>
      <c r="D555" s="11"/>
      <c r="E555" s="15"/>
      <c r="F555" s="11"/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B556" s="11"/>
      <c r="C556" s="11"/>
      <c r="D556" s="11"/>
      <c r="E556" s="15"/>
      <c r="F556" s="11"/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B557" s="11"/>
      <c r="C557" s="11"/>
      <c r="D557" s="11"/>
      <c r="E557" s="15"/>
      <c r="F557" s="11"/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B558" s="11"/>
      <c r="C558" s="11"/>
      <c r="D558" s="11"/>
      <c r="E558" s="15"/>
      <c r="F558" s="11"/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B559" s="11"/>
      <c r="C559" s="11"/>
      <c r="D559" s="11"/>
      <c r="E559" s="15"/>
      <c r="F559" s="11"/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B560" s="11"/>
      <c r="C560" s="11"/>
      <c r="D560" s="11"/>
      <c r="E560" s="15"/>
      <c r="F560" s="11"/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B561" s="11"/>
      <c r="C561" s="11"/>
      <c r="D561" s="11"/>
      <c r="E561" s="15"/>
      <c r="F561" s="11"/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B562" s="11"/>
      <c r="C562" s="11"/>
      <c r="D562" s="11"/>
      <c r="E562" s="15"/>
      <c r="F562" s="11"/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B563" s="11"/>
      <c r="C563" s="11"/>
      <c r="D563" s="11"/>
      <c r="E563" s="15"/>
      <c r="F563" s="11"/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B564" s="11"/>
      <c r="C564" s="11"/>
      <c r="D564" s="11"/>
      <c r="E564" s="15"/>
      <c r="F564" s="11"/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B565" s="11"/>
      <c r="C565" s="11"/>
      <c r="D565" s="11"/>
      <c r="E565" s="15"/>
      <c r="F565" s="11"/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B566" s="11"/>
      <c r="C566" s="11"/>
      <c r="D566" s="11"/>
      <c r="E566" s="15"/>
      <c r="F566" s="11"/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B567" s="11"/>
      <c r="C567" s="11"/>
      <c r="D567" s="11"/>
      <c r="E567" s="15"/>
      <c r="F567" s="11"/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B568" s="11"/>
      <c r="C568" s="11"/>
      <c r="D568" s="11"/>
      <c r="E568" s="15"/>
      <c r="F568" s="11"/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B569" s="11"/>
      <c r="C569" s="11"/>
      <c r="D569" s="11"/>
      <c r="E569" s="15"/>
      <c r="F569" s="11"/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B570" s="11"/>
      <c r="C570" s="11"/>
      <c r="D570" s="11"/>
      <c r="E570" s="15"/>
      <c r="F570" s="11"/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B571" s="11"/>
      <c r="C571" s="11"/>
      <c r="D571" s="11"/>
      <c r="E571" s="15"/>
      <c r="F571" s="11"/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B572" s="11"/>
      <c r="C572" s="11"/>
      <c r="D572" s="11"/>
      <c r="E572" s="15"/>
      <c r="F572" s="11"/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B573" s="11"/>
      <c r="C573" s="11"/>
      <c r="D573" s="11"/>
      <c r="E573" s="15"/>
      <c r="F573" s="11"/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B574" s="11"/>
      <c r="C574" s="11"/>
      <c r="D574" s="11"/>
      <c r="E574" s="15"/>
      <c r="F574" s="11"/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B575" s="11"/>
      <c r="C575" s="11"/>
      <c r="D575" s="11"/>
      <c r="E575" s="15"/>
      <c r="F575" s="11"/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B576" s="11"/>
      <c r="C576" s="11"/>
      <c r="D576" s="11"/>
      <c r="E576" s="15"/>
      <c r="F576" s="11"/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B577" s="11"/>
      <c r="C577" s="11"/>
      <c r="D577" s="11"/>
      <c r="E577" s="15"/>
      <c r="F577" s="11"/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B578" s="11"/>
      <c r="C578" s="11"/>
      <c r="D578" s="11"/>
      <c r="E578" s="15"/>
      <c r="F578" s="11"/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B579" s="11"/>
      <c r="C579" s="11"/>
      <c r="D579" s="11"/>
      <c r="E579" s="15"/>
      <c r="F579" s="11"/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B580" s="11"/>
      <c r="C580" s="11"/>
      <c r="D580" s="11"/>
      <c r="E580" s="15"/>
      <c r="F580" s="11"/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B581" s="11"/>
      <c r="C581" s="11"/>
      <c r="D581" s="11"/>
      <c r="E581" s="15"/>
      <c r="F581" s="11"/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B582" s="11"/>
      <c r="C582" s="11"/>
      <c r="D582" s="11"/>
      <c r="E582" s="15"/>
      <c r="F582" s="11"/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B583" s="11"/>
      <c r="C583" s="11"/>
      <c r="D583" s="11"/>
      <c r="E583" s="15"/>
      <c r="F583" s="11"/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B584" s="11"/>
      <c r="C584" s="11"/>
      <c r="D584" s="11"/>
      <c r="E584" s="15"/>
      <c r="F584" s="11"/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B585" s="11"/>
      <c r="C585" s="11"/>
      <c r="D585" s="11"/>
      <c r="E585" s="15"/>
      <c r="F585" s="11"/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B586" s="11"/>
      <c r="C586" s="11"/>
      <c r="D586" s="11"/>
      <c r="E586" s="15"/>
      <c r="F586" s="11"/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B587" s="11"/>
      <c r="C587" s="11"/>
      <c r="D587" s="11"/>
      <c r="E587" s="15"/>
      <c r="F587" s="11"/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B588" s="11"/>
      <c r="C588" s="11"/>
      <c r="D588" s="11"/>
      <c r="E588" s="15"/>
      <c r="F588" s="11"/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B589" s="11"/>
      <c r="C589" s="11"/>
      <c r="D589" s="11"/>
      <c r="E589" s="15"/>
      <c r="F589" s="11"/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B590" s="11"/>
      <c r="C590" s="11"/>
      <c r="D590" s="11"/>
      <c r="E590" s="15"/>
      <c r="F590" s="11"/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B591" s="11"/>
      <c r="C591" s="11"/>
      <c r="D591" s="11"/>
      <c r="E591" s="15"/>
      <c r="F591" s="11"/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B592" s="11"/>
      <c r="C592" s="11"/>
      <c r="D592" s="11"/>
      <c r="E592" s="15"/>
      <c r="F592" s="11"/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B593" s="11"/>
      <c r="C593" s="11"/>
      <c r="D593" s="11"/>
      <c r="E593" s="15"/>
      <c r="F593" s="11"/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B594" s="11"/>
      <c r="C594" s="11"/>
      <c r="D594" s="11"/>
      <c r="E594" s="15"/>
      <c r="F594" s="11"/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B595" s="11"/>
      <c r="C595" s="11"/>
      <c r="D595" s="11"/>
      <c r="E595" s="15"/>
      <c r="F595" s="11"/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B596" s="11"/>
      <c r="C596" s="11"/>
      <c r="D596" s="11"/>
      <c r="E596" s="15"/>
      <c r="F596" s="11"/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B597" s="11"/>
      <c r="C597" s="11"/>
      <c r="D597" s="11"/>
      <c r="E597" s="15"/>
      <c r="F597" s="11"/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B598" s="11"/>
      <c r="C598" s="11"/>
      <c r="D598" s="11"/>
      <c r="E598" s="15"/>
      <c r="F598" s="11"/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B599" s="11"/>
      <c r="C599" s="11"/>
      <c r="D599" s="11"/>
      <c r="E599" s="15"/>
      <c r="F599" s="11"/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B600" s="11"/>
      <c r="C600" s="11"/>
      <c r="D600" s="11"/>
      <c r="E600" s="15"/>
      <c r="F600" s="11"/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B601" s="11"/>
      <c r="C601" s="11"/>
      <c r="D601" s="11"/>
      <c r="E601" s="15"/>
      <c r="F601" s="11"/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B602" s="11"/>
      <c r="C602" s="11"/>
      <c r="D602" s="11"/>
      <c r="E602" s="15"/>
      <c r="F602" s="11"/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B603" s="11"/>
      <c r="C603" s="11"/>
      <c r="D603" s="11"/>
      <c r="E603" s="15"/>
      <c r="F603" s="11"/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B604" s="11"/>
      <c r="C604" s="11"/>
      <c r="D604" s="11"/>
      <c r="E604" s="15"/>
      <c r="F604" s="11"/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B605" s="11"/>
      <c r="C605" s="11"/>
      <c r="D605" s="11"/>
      <c r="E605" s="15"/>
      <c r="F605" s="11"/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B606" s="11"/>
      <c r="C606" s="11"/>
      <c r="D606" s="11"/>
      <c r="E606" s="15"/>
      <c r="F606" s="11"/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B607" s="11"/>
      <c r="C607" s="11"/>
      <c r="D607" s="11"/>
      <c r="E607" s="15"/>
      <c r="F607" s="11"/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B608" s="11"/>
      <c r="C608" s="11"/>
      <c r="D608" s="11"/>
      <c r="E608" s="15"/>
      <c r="F608" s="11"/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B609" s="11"/>
      <c r="C609" s="11"/>
      <c r="D609" s="11"/>
      <c r="E609" s="15"/>
      <c r="F609" s="11"/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B610" s="11"/>
      <c r="C610" s="11"/>
      <c r="D610" s="11"/>
      <c r="E610" s="15"/>
      <c r="F610" s="11"/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B611" s="11"/>
      <c r="C611" s="11"/>
      <c r="D611" s="11"/>
      <c r="E611" s="15"/>
      <c r="F611" s="11"/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B612" s="11"/>
      <c r="C612" s="11"/>
      <c r="D612" s="11"/>
      <c r="E612" s="15"/>
      <c r="F612" s="11"/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B613" s="11"/>
      <c r="C613" s="11"/>
      <c r="D613" s="11"/>
      <c r="E613" s="15"/>
      <c r="F613" s="11"/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B614" s="11"/>
      <c r="C614" s="11"/>
      <c r="D614" s="11"/>
      <c r="E614" s="15"/>
      <c r="F614" s="11"/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B615" s="11"/>
      <c r="C615" s="11"/>
      <c r="D615" s="11"/>
      <c r="E615" s="15"/>
      <c r="F615" s="11"/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B616" s="11"/>
      <c r="C616" s="11"/>
      <c r="D616" s="11"/>
      <c r="E616" s="15"/>
      <c r="F616" s="11"/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B617" s="11"/>
      <c r="C617" s="11"/>
      <c r="D617" s="11"/>
      <c r="E617" s="15"/>
      <c r="F617" s="11"/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B618" s="11"/>
      <c r="C618" s="11"/>
      <c r="D618" s="11"/>
      <c r="E618" s="15"/>
      <c r="F618" s="11"/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B619" s="11"/>
      <c r="C619" s="11"/>
      <c r="D619" s="11"/>
      <c r="E619" s="15"/>
      <c r="F619" s="11"/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B620" s="11"/>
      <c r="C620" s="11"/>
      <c r="D620" s="11"/>
      <c r="E620" s="15"/>
      <c r="F620" s="11"/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B621" s="11"/>
      <c r="C621" s="11"/>
      <c r="D621" s="11"/>
      <c r="E621" s="15"/>
      <c r="F621" s="11"/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B622" s="11"/>
      <c r="C622" s="11"/>
      <c r="D622" s="11"/>
      <c r="E622" s="15"/>
      <c r="F622" s="11"/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B623" s="11"/>
      <c r="C623" s="11"/>
      <c r="D623" s="11"/>
      <c r="E623" s="15"/>
      <c r="F623" s="11"/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B624" s="11"/>
      <c r="C624" s="11"/>
      <c r="D624" s="11"/>
      <c r="E624" s="15"/>
      <c r="F624" s="11"/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B625" s="11"/>
      <c r="C625" s="11"/>
      <c r="D625" s="11"/>
      <c r="E625" s="15"/>
      <c r="F625" s="11"/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B626" s="11"/>
      <c r="C626" s="11"/>
      <c r="D626" s="11"/>
      <c r="E626" s="15"/>
      <c r="F626" s="11"/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B627" s="11"/>
      <c r="C627" s="11"/>
      <c r="D627" s="11"/>
      <c r="E627" s="15"/>
      <c r="F627" s="11"/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B628" s="11"/>
      <c r="C628" s="11"/>
      <c r="D628" s="11"/>
      <c r="E628" s="15"/>
      <c r="F628" s="11"/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B629" s="11"/>
      <c r="C629" s="11"/>
      <c r="D629" s="11"/>
      <c r="E629" s="15"/>
      <c r="F629" s="11"/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B630" s="11"/>
      <c r="C630" s="11"/>
      <c r="D630" s="11"/>
      <c r="E630" s="15"/>
      <c r="F630" s="11"/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B631" s="11"/>
      <c r="C631" s="11"/>
      <c r="D631" s="11"/>
      <c r="E631" s="15"/>
      <c r="F631" s="11"/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B632" s="11"/>
      <c r="C632" s="11"/>
      <c r="D632" s="11"/>
      <c r="E632" s="15"/>
      <c r="F632" s="11"/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B633" s="11"/>
      <c r="C633" s="11"/>
      <c r="D633" s="11"/>
      <c r="E633" s="15"/>
      <c r="F633" s="11"/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B634" s="11"/>
      <c r="C634" s="11"/>
      <c r="D634" s="11"/>
      <c r="E634" s="15"/>
      <c r="F634" s="11"/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B635" s="11"/>
      <c r="C635" s="11"/>
      <c r="D635" s="11"/>
      <c r="E635" s="15"/>
      <c r="F635" s="11"/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B636" s="11"/>
      <c r="C636" s="11"/>
      <c r="D636" s="11"/>
      <c r="E636" s="15"/>
      <c r="F636" s="11"/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B637" s="11"/>
      <c r="C637" s="11"/>
      <c r="D637" s="11"/>
      <c r="E637" s="15"/>
      <c r="F637" s="11"/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B638" s="11"/>
      <c r="C638" s="11"/>
      <c r="D638" s="11"/>
      <c r="E638" s="15"/>
      <c r="F638" s="11"/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B639" s="11"/>
      <c r="C639" s="11"/>
      <c r="D639" s="11"/>
      <c r="E639" s="15"/>
      <c r="F639" s="11"/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B640" s="11"/>
      <c r="C640" s="11"/>
      <c r="D640" s="11"/>
      <c r="E640" s="15"/>
      <c r="F640" s="11"/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B641" s="11"/>
      <c r="C641" s="11"/>
      <c r="D641" s="11"/>
      <c r="E641" s="15"/>
      <c r="F641" s="11"/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B642" s="11"/>
      <c r="C642" s="11"/>
      <c r="D642" s="11"/>
      <c r="E642" s="15"/>
      <c r="F642" s="11"/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B643" s="11"/>
      <c r="C643" s="11"/>
      <c r="D643" s="11"/>
      <c r="E643" s="15"/>
      <c r="F643" s="11"/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B644" s="11"/>
      <c r="C644" s="11"/>
      <c r="D644" s="11"/>
      <c r="E644" s="15"/>
      <c r="F644" s="11"/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B645" s="11"/>
      <c r="C645" s="11"/>
      <c r="D645" s="11"/>
      <c r="E645" s="15"/>
      <c r="F645" s="11"/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B646" s="11"/>
      <c r="C646" s="11"/>
      <c r="D646" s="11"/>
      <c r="E646" s="15"/>
      <c r="F646" s="11"/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B647" s="11"/>
      <c r="C647" s="11"/>
      <c r="D647" s="11"/>
      <c r="E647" s="15"/>
      <c r="F647" s="11"/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B648" s="11"/>
      <c r="C648" s="11"/>
      <c r="D648" s="11"/>
      <c r="E648" s="15"/>
      <c r="F648" s="11"/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B649" s="11"/>
      <c r="C649" s="11"/>
      <c r="D649" s="11"/>
      <c r="E649" s="15"/>
      <c r="F649" s="11"/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B650" s="11"/>
      <c r="C650" s="11"/>
      <c r="D650" s="11"/>
      <c r="E650" s="15"/>
      <c r="F650" s="11"/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B651" s="11"/>
      <c r="C651" s="11"/>
      <c r="D651" s="11"/>
      <c r="E651" s="15"/>
      <c r="F651" s="11"/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B652" s="11"/>
      <c r="C652" s="11"/>
      <c r="D652" s="11"/>
      <c r="E652" s="15"/>
      <c r="F652" s="11"/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B653" s="11"/>
      <c r="C653" s="11"/>
      <c r="D653" s="11"/>
      <c r="E653" s="15"/>
      <c r="F653" s="11"/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B654" s="11"/>
      <c r="C654" s="11"/>
      <c r="D654" s="11"/>
      <c r="E654" s="15"/>
      <c r="F654" s="11"/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B655" s="11"/>
      <c r="C655" s="11"/>
      <c r="D655" s="11"/>
      <c r="E655" s="15"/>
      <c r="F655" s="11"/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B656" s="11"/>
      <c r="C656" s="11"/>
      <c r="D656" s="11"/>
      <c r="E656" s="15"/>
      <c r="F656" s="11"/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B657" s="11"/>
      <c r="C657" s="11"/>
      <c r="D657" s="11"/>
      <c r="E657" s="15"/>
      <c r="F657" s="11"/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B658" s="11"/>
      <c r="C658" s="11"/>
      <c r="D658" s="11"/>
      <c r="E658" s="15"/>
      <c r="F658" s="11"/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B659" s="11"/>
      <c r="C659" s="11"/>
      <c r="D659" s="11"/>
      <c r="E659" s="15"/>
      <c r="F659" s="11"/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B660" s="11"/>
      <c r="C660" s="11"/>
      <c r="D660" s="11"/>
      <c r="E660" s="15"/>
      <c r="F660" s="11"/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B661" s="11"/>
      <c r="C661" s="11"/>
      <c r="D661" s="11"/>
      <c r="E661" s="15"/>
      <c r="F661" s="11"/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B662" s="11"/>
      <c r="C662" s="11"/>
      <c r="D662" s="11"/>
      <c r="E662" s="15"/>
      <c r="F662" s="11"/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B663" s="11"/>
      <c r="C663" s="11"/>
      <c r="D663" s="11"/>
      <c r="E663" s="15"/>
      <c r="F663" s="11"/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B664" s="11"/>
      <c r="C664" s="11"/>
      <c r="D664" s="11"/>
      <c r="E664" s="15"/>
      <c r="F664" s="11"/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B665" s="11"/>
      <c r="C665" s="11"/>
      <c r="D665" s="11"/>
      <c r="E665" s="15"/>
      <c r="F665" s="11"/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B666" s="11"/>
      <c r="C666" s="11"/>
      <c r="D666" s="11"/>
      <c r="E666" s="15"/>
      <c r="F666" s="11"/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B667" s="11"/>
      <c r="C667" s="11"/>
      <c r="D667" s="11"/>
      <c r="E667" s="15"/>
      <c r="F667" s="11"/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B668" s="11"/>
      <c r="C668" s="11"/>
      <c r="D668" s="11"/>
      <c r="E668" s="15"/>
      <c r="F668" s="11"/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B669" s="11"/>
      <c r="C669" s="11"/>
      <c r="D669" s="11"/>
      <c r="E669" s="15"/>
      <c r="F669" s="11"/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B670" s="11"/>
      <c r="C670" s="11"/>
      <c r="D670" s="11"/>
      <c r="E670" s="15"/>
      <c r="F670" s="11"/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B671" s="11"/>
      <c r="C671" s="11"/>
      <c r="D671" s="11"/>
      <c r="E671" s="15"/>
      <c r="F671" s="11"/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B672" s="11"/>
      <c r="C672" s="11"/>
      <c r="D672" s="11"/>
      <c r="E672" s="15"/>
      <c r="F672" s="11"/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B673" s="11"/>
      <c r="C673" s="11"/>
      <c r="D673" s="11"/>
      <c r="E673" s="15"/>
      <c r="F673" s="11"/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B674" s="11"/>
      <c r="C674" s="11"/>
      <c r="D674" s="11"/>
      <c r="E674" s="15"/>
      <c r="F674" s="11"/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B675" s="11"/>
      <c r="C675" s="11"/>
      <c r="D675" s="11"/>
      <c r="E675" s="15"/>
      <c r="F675" s="11"/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B676" s="11"/>
      <c r="C676" s="11"/>
      <c r="D676" s="11"/>
      <c r="E676" s="15"/>
      <c r="F676" s="11"/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B677" s="11"/>
      <c r="C677" s="11"/>
      <c r="D677" s="11"/>
      <c r="E677" s="15"/>
      <c r="F677" s="11"/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695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1.0</v>
      </c>
      <c r="H3" s="9">
        <v>0.0</v>
      </c>
      <c r="I3" s="9">
        <v>0.0</v>
      </c>
      <c r="J3" s="17">
        <v>-555.0</v>
      </c>
      <c r="K3" s="18">
        <v>-691.357</v>
      </c>
      <c r="L3" s="17">
        <v>-604.0</v>
      </c>
      <c r="M3" s="18">
        <v>-604.0</v>
      </c>
      <c r="N3" s="18">
        <v>0.0</v>
      </c>
      <c r="O3" s="18">
        <v>0.864</v>
      </c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1.0</v>
      </c>
      <c r="H4" s="9">
        <v>0.0</v>
      </c>
      <c r="I4" s="9">
        <v>0.0</v>
      </c>
      <c r="J4" s="17">
        <v>-643.0</v>
      </c>
      <c r="K4" s="18">
        <v>-771.008</v>
      </c>
      <c r="L4" s="17">
        <v>-665.0</v>
      </c>
      <c r="M4" s="18">
        <v>-665.0</v>
      </c>
      <c r="N4" s="18">
        <v>0.0</v>
      </c>
      <c r="O4" s="18">
        <v>1.143</v>
      </c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1.0</v>
      </c>
      <c r="H5" s="9">
        <v>0.0</v>
      </c>
      <c r="I5" s="9">
        <v>0.0</v>
      </c>
      <c r="J5" s="17">
        <v>-727.0</v>
      </c>
      <c r="K5" s="18">
        <v>-828.765</v>
      </c>
      <c r="L5" s="17">
        <v>-730.0</v>
      </c>
      <c r="M5" s="18">
        <v>-730.0</v>
      </c>
      <c r="N5" s="18">
        <v>0.0</v>
      </c>
      <c r="O5" s="18">
        <v>0.86</v>
      </c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1.0</v>
      </c>
      <c r="H6" s="9">
        <v>0.0</v>
      </c>
      <c r="I6" s="9">
        <v>0.0</v>
      </c>
      <c r="J6" s="17">
        <v>-563.0</v>
      </c>
      <c r="K6" s="18">
        <v>-756.477</v>
      </c>
      <c r="L6" s="17">
        <v>-634.0</v>
      </c>
      <c r="M6" s="18">
        <v>-634.0</v>
      </c>
      <c r="N6" s="18">
        <v>0.0</v>
      </c>
      <c r="O6" s="18">
        <v>1.206</v>
      </c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1.0</v>
      </c>
      <c r="H7" s="9">
        <v>0.0</v>
      </c>
      <c r="I7" s="9">
        <v>0.0</v>
      </c>
      <c r="J7" s="17">
        <v>-653.0</v>
      </c>
      <c r="K7" s="18">
        <v>-751.55</v>
      </c>
      <c r="L7" s="17">
        <v>-653.0</v>
      </c>
      <c r="M7" s="18">
        <v>-653.0</v>
      </c>
      <c r="N7" s="18">
        <v>0.0</v>
      </c>
      <c r="O7" s="18">
        <v>1.343</v>
      </c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1.0</v>
      </c>
      <c r="H8" s="9">
        <v>0.0</v>
      </c>
      <c r="I8" s="9">
        <v>0.0</v>
      </c>
      <c r="J8" s="17">
        <v>-372.0</v>
      </c>
      <c r="K8" s="18">
        <v>-547.136</v>
      </c>
      <c r="L8" s="17">
        <v>-442.0</v>
      </c>
      <c r="M8" s="18">
        <v>-442.0</v>
      </c>
      <c r="N8" s="18">
        <v>0.0</v>
      </c>
      <c r="O8" s="18">
        <v>2.372</v>
      </c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1.0</v>
      </c>
      <c r="H9" s="9">
        <v>0.0</v>
      </c>
      <c r="I9" s="9">
        <v>0.0</v>
      </c>
      <c r="J9" s="17">
        <v>-497.0</v>
      </c>
      <c r="K9" s="18">
        <v>-686.511</v>
      </c>
      <c r="L9" s="17">
        <v>-574.0</v>
      </c>
      <c r="M9" s="18">
        <v>-574.0</v>
      </c>
      <c r="N9" s="18">
        <v>0.0</v>
      </c>
      <c r="O9" s="18">
        <v>1.886</v>
      </c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1.0</v>
      </c>
      <c r="H10" s="9">
        <v>0.0</v>
      </c>
      <c r="I10" s="9">
        <v>0.0</v>
      </c>
      <c r="J10" s="17">
        <v>-461.0</v>
      </c>
      <c r="K10" s="18">
        <v>-625.352</v>
      </c>
      <c r="L10" s="17">
        <v>-500.0</v>
      </c>
      <c r="M10" s="18">
        <v>-500.0</v>
      </c>
      <c r="N10" s="18">
        <v>0.0</v>
      </c>
      <c r="O10" s="18">
        <v>4.601</v>
      </c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1.0</v>
      </c>
      <c r="H11" s="9">
        <v>0.0</v>
      </c>
      <c r="I11" s="9">
        <v>0.0</v>
      </c>
      <c r="J11" s="17">
        <v>-245.0</v>
      </c>
      <c r="K11" s="18">
        <v>-547.6</v>
      </c>
      <c r="L11" s="17">
        <v>-402.0</v>
      </c>
      <c r="M11" s="18">
        <v>-402.0</v>
      </c>
      <c r="N11" s="18">
        <v>0.0</v>
      </c>
      <c r="O11" s="18">
        <v>7.743</v>
      </c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1.0</v>
      </c>
      <c r="H12" s="9">
        <v>0.0</v>
      </c>
      <c r="I12" s="9">
        <v>0.0</v>
      </c>
      <c r="J12" s="17">
        <v>-409.0</v>
      </c>
      <c r="K12" s="18">
        <v>-565.621</v>
      </c>
      <c r="L12" s="17">
        <v>-481.0</v>
      </c>
      <c r="M12" s="18">
        <v>-481.0</v>
      </c>
      <c r="N12" s="18">
        <v>0.0</v>
      </c>
      <c r="O12" s="18">
        <v>4.651</v>
      </c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1.0</v>
      </c>
      <c r="H13" s="9">
        <v>0.0</v>
      </c>
      <c r="I13" s="9">
        <v>0.0</v>
      </c>
      <c r="J13" s="17">
        <v>1507.0</v>
      </c>
      <c r="K13" s="18">
        <v>1230.14</v>
      </c>
      <c r="L13" s="17">
        <v>1422.0</v>
      </c>
      <c r="M13" s="18">
        <v>1422.0</v>
      </c>
      <c r="N13" s="18">
        <v>0.0</v>
      </c>
      <c r="O13" s="18">
        <v>13.908</v>
      </c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1.0</v>
      </c>
      <c r="H14" s="9">
        <v>0.0</v>
      </c>
      <c r="I14" s="9">
        <v>0.0</v>
      </c>
      <c r="J14" s="17">
        <v>233.0</v>
      </c>
      <c r="K14" s="18">
        <v>67.8817</v>
      </c>
      <c r="L14" s="17">
        <v>233.0</v>
      </c>
      <c r="M14" s="18">
        <v>233.0</v>
      </c>
      <c r="N14" s="18">
        <v>0.0</v>
      </c>
      <c r="O14" s="18">
        <v>2.038</v>
      </c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1.0</v>
      </c>
      <c r="H15" s="9">
        <v>0.0</v>
      </c>
      <c r="I15" s="9">
        <v>0.0</v>
      </c>
      <c r="J15" s="17">
        <v>1708.0</v>
      </c>
      <c r="K15" s="18">
        <v>1339.0</v>
      </c>
      <c r="L15" s="17">
        <v>1634.0</v>
      </c>
      <c r="M15" s="18">
        <v>1634.0</v>
      </c>
      <c r="N15" s="18">
        <v>0.0</v>
      </c>
      <c r="O15" s="18">
        <v>86.504</v>
      </c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1.0</v>
      </c>
      <c r="H16" s="9">
        <v>0.0</v>
      </c>
      <c r="I16" s="9">
        <v>0.0</v>
      </c>
      <c r="J16" s="17">
        <v>1866.0</v>
      </c>
      <c r="K16" s="18">
        <v>1621.73</v>
      </c>
      <c r="L16" s="17">
        <v>1860.0</v>
      </c>
      <c r="M16" s="18">
        <v>1860.0</v>
      </c>
      <c r="N16" s="18">
        <v>0.0</v>
      </c>
      <c r="O16" s="18">
        <v>8.454</v>
      </c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1.0</v>
      </c>
      <c r="H17" s="9">
        <v>0.0</v>
      </c>
      <c r="I17" s="9">
        <v>0.0</v>
      </c>
      <c r="J17" s="17">
        <v>1441.0</v>
      </c>
      <c r="K17" s="18">
        <v>1101.41</v>
      </c>
      <c r="L17" s="17">
        <v>1361.0</v>
      </c>
      <c r="M17" s="18">
        <v>1361.0</v>
      </c>
      <c r="N17" s="18">
        <v>0.0</v>
      </c>
      <c r="O17" s="18">
        <v>96.517</v>
      </c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1.0</v>
      </c>
      <c r="H18" s="9">
        <v>0.0</v>
      </c>
      <c r="I18" s="9">
        <v>0.0</v>
      </c>
      <c r="J18" s="17">
        <v>-765.0</v>
      </c>
      <c r="K18" s="18">
        <v>-1685.46</v>
      </c>
      <c r="L18" s="17">
        <v>-1091.0</v>
      </c>
      <c r="M18" s="18">
        <v>-1091.0</v>
      </c>
      <c r="N18" s="18">
        <v>0.0</v>
      </c>
      <c r="O18" s="18">
        <v>27.31</v>
      </c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1.0</v>
      </c>
      <c r="H19" s="9">
        <v>0.0</v>
      </c>
      <c r="I19" s="9">
        <v>0.0</v>
      </c>
      <c r="J19" s="17">
        <v>-721.0</v>
      </c>
      <c r="K19" s="18">
        <v>-1611.6</v>
      </c>
      <c r="L19" s="17">
        <v>-1074.0</v>
      </c>
      <c r="M19" s="18">
        <v>-1074.0</v>
      </c>
      <c r="N19" s="18">
        <v>0.0</v>
      </c>
      <c r="O19" s="18">
        <v>35.012</v>
      </c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1.0</v>
      </c>
      <c r="H20" s="9">
        <v>0.0</v>
      </c>
      <c r="I20" s="9">
        <v>0.0</v>
      </c>
      <c r="J20" s="17">
        <v>-788.0</v>
      </c>
      <c r="K20" s="18">
        <v>-1462.98</v>
      </c>
      <c r="L20" s="17">
        <v>-1002.0</v>
      </c>
      <c r="M20" s="18">
        <v>-1002.0</v>
      </c>
      <c r="N20" s="18">
        <v>0.0</v>
      </c>
      <c r="O20" s="18">
        <v>24.87</v>
      </c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1.0</v>
      </c>
      <c r="H21" s="9">
        <v>0.0</v>
      </c>
      <c r="I21" s="9">
        <v>0.0</v>
      </c>
      <c r="J21" s="17">
        <v>-816.0</v>
      </c>
      <c r="K21" s="18">
        <v>-1347.85</v>
      </c>
      <c r="L21" s="17">
        <v>-990.0</v>
      </c>
      <c r="M21" s="18">
        <v>-990.0</v>
      </c>
      <c r="N21" s="18">
        <v>0.0</v>
      </c>
      <c r="O21" s="18">
        <v>7.11</v>
      </c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1.0</v>
      </c>
      <c r="H22" s="9">
        <v>0.0</v>
      </c>
      <c r="I22" s="9">
        <v>0.0</v>
      </c>
      <c r="J22" s="17">
        <v>-965.0</v>
      </c>
      <c r="K22" s="18">
        <v>-1969.6</v>
      </c>
      <c r="L22" s="17">
        <v>-1146.0</v>
      </c>
      <c r="M22" s="18">
        <v>-1146.0</v>
      </c>
      <c r="N22" s="18">
        <v>0.0</v>
      </c>
      <c r="O22" s="18">
        <v>283.243</v>
      </c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17">
        <v>-336.0</v>
      </c>
      <c r="K23" s="18">
        <v>-1319.07</v>
      </c>
      <c r="L23" s="17">
        <v>-719.0</v>
      </c>
      <c r="M23" s="18">
        <v>-719.0</v>
      </c>
      <c r="N23" s="18">
        <v>0.0</v>
      </c>
      <c r="O23" s="18">
        <v>135.221</v>
      </c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1.0</v>
      </c>
      <c r="H24" s="9">
        <v>0.0</v>
      </c>
      <c r="I24" s="9">
        <v>0.0</v>
      </c>
      <c r="J24" s="17">
        <v>-588.0</v>
      </c>
      <c r="K24" s="18">
        <v>-1348.16</v>
      </c>
      <c r="L24" s="17">
        <v>-847.0</v>
      </c>
      <c r="M24" s="18">
        <v>-847.0</v>
      </c>
      <c r="N24" s="18">
        <v>0.0</v>
      </c>
      <c r="O24" s="18">
        <v>69.861</v>
      </c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1.0</v>
      </c>
      <c r="H25" s="9">
        <v>0.0</v>
      </c>
      <c r="I25" s="9">
        <v>0.0</v>
      </c>
      <c r="J25" s="17">
        <v>-789.0</v>
      </c>
      <c r="K25" s="18">
        <v>-1288.49</v>
      </c>
      <c r="L25" s="17">
        <v>-871.0</v>
      </c>
      <c r="M25" s="18">
        <v>-871.0</v>
      </c>
      <c r="N25" s="18">
        <v>0.0</v>
      </c>
      <c r="O25" s="18">
        <v>62.71</v>
      </c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1.0</v>
      </c>
      <c r="H26" s="9">
        <v>0.0</v>
      </c>
      <c r="I26" s="9">
        <v>0.0</v>
      </c>
      <c r="J26" s="17">
        <v>-709.0</v>
      </c>
      <c r="K26" s="18">
        <v>-1148.6</v>
      </c>
      <c r="L26" s="17">
        <v>-810.0</v>
      </c>
      <c r="M26" s="18">
        <v>-810.0</v>
      </c>
      <c r="N26" s="18">
        <v>0.0</v>
      </c>
      <c r="O26" s="18">
        <v>22.38</v>
      </c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1.0</v>
      </c>
      <c r="H27" s="9">
        <v>0.0</v>
      </c>
      <c r="I27" s="9">
        <v>0.0</v>
      </c>
      <c r="J27" s="17">
        <v>-318.0</v>
      </c>
      <c r="K27" s="18">
        <v>-1400.23</v>
      </c>
      <c r="L27" s="17">
        <v>-689.0</v>
      </c>
      <c r="M27" s="18">
        <v>-689.0</v>
      </c>
      <c r="N27" s="18">
        <v>0.0</v>
      </c>
      <c r="O27" s="18">
        <v>888.731</v>
      </c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1.0</v>
      </c>
      <c r="H28" s="9">
        <v>0.0</v>
      </c>
      <c r="I28" s="9">
        <v>0.0</v>
      </c>
      <c r="J28" s="17">
        <v>1558.0</v>
      </c>
      <c r="K28" s="18">
        <v>1117.33</v>
      </c>
      <c r="L28" s="17">
        <v>1520.0</v>
      </c>
      <c r="M28" s="18">
        <v>1520.0</v>
      </c>
      <c r="N28" s="18">
        <v>0.0</v>
      </c>
      <c r="O28" s="18">
        <v>26.591</v>
      </c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1.0</v>
      </c>
      <c r="H29" s="9">
        <v>0.0</v>
      </c>
      <c r="I29" s="9">
        <v>0.0</v>
      </c>
      <c r="J29" s="17">
        <v>402.0</v>
      </c>
      <c r="K29" s="18">
        <v>101.835</v>
      </c>
      <c r="L29" s="17">
        <v>368.0</v>
      </c>
      <c r="M29" s="18">
        <v>368.0</v>
      </c>
      <c r="N29" s="18">
        <v>0.0</v>
      </c>
      <c r="O29" s="18">
        <v>7.829</v>
      </c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1.0</v>
      </c>
      <c r="H30" s="9">
        <v>0.0</v>
      </c>
      <c r="I30" s="9">
        <v>0.0</v>
      </c>
      <c r="J30" s="17">
        <v>-488.0</v>
      </c>
      <c r="K30" s="18">
        <v>-734.887</v>
      </c>
      <c r="L30" s="17">
        <v>-499.0</v>
      </c>
      <c r="M30" s="18">
        <v>-499.0</v>
      </c>
      <c r="N30" s="18">
        <v>0.0</v>
      </c>
      <c r="O30" s="18">
        <v>1.82</v>
      </c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1.0</v>
      </c>
      <c r="H31" s="9">
        <v>0.0</v>
      </c>
      <c r="I31" s="9">
        <v>0.0</v>
      </c>
      <c r="J31" s="17">
        <v>-370.0</v>
      </c>
      <c r="K31" s="18">
        <v>-624.243</v>
      </c>
      <c r="L31" s="17">
        <v>-374.0</v>
      </c>
      <c r="M31" s="18">
        <v>-374.0</v>
      </c>
      <c r="N31" s="18">
        <v>0.0</v>
      </c>
      <c r="O31" s="18">
        <v>2.098</v>
      </c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1.0</v>
      </c>
      <c r="H32" s="9">
        <v>0.0</v>
      </c>
      <c r="I32" s="9">
        <v>0.0</v>
      </c>
      <c r="J32" s="17">
        <v>3854.0</v>
      </c>
      <c r="K32" s="18">
        <v>3312.71</v>
      </c>
      <c r="L32" s="17">
        <v>3782.0</v>
      </c>
      <c r="M32" s="18">
        <v>3782.0</v>
      </c>
      <c r="N32" s="18">
        <v>0.0</v>
      </c>
      <c r="O32" s="18">
        <v>119.291</v>
      </c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1.0</v>
      </c>
      <c r="H33" s="9">
        <v>0.0</v>
      </c>
      <c r="I33" s="9">
        <v>0.0</v>
      </c>
      <c r="J33" s="17">
        <v>-394.0</v>
      </c>
      <c r="K33" s="18">
        <v>-2288.19</v>
      </c>
      <c r="L33" s="17">
        <v>-1186.0</v>
      </c>
      <c r="M33" s="18">
        <v>-1186.0</v>
      </c>
      <c r="N33" s="18">
        <v>0.0</v>
      </c>
      <c r="O33" s="18">
        <v>280.771</v>
      </c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1.0</v>
      </c>
      <c r="H34" s="9">
        <v>0.0</v>
      </c>
      <c r="I34" s="9">
        <v>0.0</v>
      </c>
      <c r="J34" s="17">
        <v>-850.0</v>
      </c>
      <c r="K34" s="18">
        <v>-2089.66</v>
      </c>
      <c r="L34" s="17">
        <v>-1122.0</v>
      </c>
      <c r="M34" s="18">
        <v>-1122.0</v>
      </c>
      <c r="N34" s="18">
        <v>0.0</v>
      </c>
      <c r="O34" s="18">
        <v>447.472</v>
      </c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1.0</v>
      </c>
      <c r="H35" s="9">
        <v>0.0</v>
      </c>
      <c r="I35" s="9">
        <v>0.0</v>
      </c>
      <c r="J35" s="17">
        <v>-593.0</v>
      </c>
      <c r="K35" s="18">
        <v>-2119.93</v>
      </c>
      <c r="L35" s="17">
        <v>-1137.0</v>
      </c>
      <c r="M35" s="18">
        <v>-1137.0</v>
      </c>
      <c r="N35" s="18">
        <v>0.0</v>
      </c>
      <c r="O35" s="18">
        <v>232.837</v>
      </c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1.0</v>
      </c>
      <c r="H36" s="9">
        <v>0.0</v>
      </c>
      <c r="I36" s="9">
        <v>0.0</v>
      </c>
      <c r="J36" s="17">
        <v>-587.0</v>
      </c>
      <c r="K36" s="18">
        <v>-2018.44</v>
      </c>
      <c r="L36" s="17">
        <v>-1101.0</v>
      </c>
      <c r="M36" s="18">
        <v>-1101.0</v>
      </c>
      <c r="N36" s="18">
        <v>0.0</v>
      </c>
      <c r="O36" s="18">
        <v>211.454</v>
      </c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1.0</v>
      </c>
      <c r="H37" s="9">
        <v>0.0</v>
      </c>
      <c r="I37" s="9">
        <v>0.0</v>
      </c>
      <c r="J37" s="17">
        <v>-336.0</v>
      </c>
      <c r="K37" s="18">
        <v>-1912.18</v>
      </c>
      <c r="L37" s="17">
        <v>-1083.0</v>
      </c>
      <c r="M37" s="18">
        <v>-1083.0</v>
      </c>
      <c r="N37" s="18">
        <v>0.0</v>
      </c>
      <c r="O37" s="18">
        <v>82.142</v>
      </c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1.0</v>
      </c>
      <c r="H38" s="9">
        <v>0.0</v>
      </c>
      <c r="I38" s="9">
        <v>0.0</v>
      </c>
      <c r="J38" s="17">
        <v>-847.0</v>
      </c>
      <c r="K38" s="18">
        <v>-1863.99</v>
      </c>
      <c r="L38" s="17">
        <v>-952.0</v>
      </c>
      <c r="M38" s="18">
        <v>-952.0</v>
      </c>
      <c r="N38" s="18">
        <v>0.0</v>
      </c>
      <c r="O38" s="18">
        <v>848.674</v>
      </c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1.0</v>
      </c>
      <c r="H39" s="9">
        <v>0.0</v>
      </c>
      <c r="I39" s="9">
        <v>0.0</v>
      </c>
      <c r="J39" s="17">
        <v>-631.0</v>
      </c>
      <c r="K39" s="18">
        <v>-1706.15</v>
      </c>
      <c r="L39" s="17">
        <v>-976.0</v>
      </c>
      <c r="M39" s="18">
        <v>-976.0</v>
      </c>
      <c r="N39" s="18">
        <v>0.0</v>
      </c>
      <c r="O39" s="18">
        <v>230.397</v>
      </c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1.0</v>
      </c>
      <c r="H40" s="9">
        <v>0.0</v>
      </c>
      <c r="I40" s="9">
        <v>0.0</v>
      </c>
      <c r="J40" s="17">
        <v>-516.0</v>
      </c>
      <c r="K40" s="18">
        <v>-1721.39</v>
      </c>
      <c r="L40" s="17">
        <v>-811.0</v>
      </c>
      <c r="M40" s="18">
        <v>-811.0</v>
      </c>
      <c r="N40" s="18">
        <v>0.0</v>
      </c>
      <c r="O40" s="18">
        <v>681.568</v>
      </c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1.0</v>
      </c>
      <c r="H41" s="9">
        <v>0.0</v>
      </c>
      <c r="I41" s="9">
        <v>0.0</v>
      </c>
      <c r="J41" s="17">
        <v>-499.0</v>
      </c>
      <c r="K41" s="18">
        <v>-1526.14</v>
      </c>
      <c r="L41" s="17">
        <v>-822.0</v>
      </c>
      <c r="M41" s="18">
        <v>-822.0</v>
      </c>
      <c r="N41" s="18">
        <v>0.0</v>
      </c>
      <c r="O41" s="18">
        <v>100.482</v>
      </c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1.0</v>
      </c>
      <c r="H42" s="9">
        <v>0.0</v>
      </c>
      <c r="I42" s="9">
        <v>0.0</v>
      </c>
      <c r="J42" s="17">
        <v>-164.0</v>
      </c>
      <c r="K42" s="18">
        <v>-1383.14</v>
      </c>
      <c r="L42" s="17">
        <v>-634.0</v>
      </c>
      <c r="M42" s="18">
        <v>-634.0</v>
      </c>
      <c r="N42" s="18">
        <v>0.0</v>
      </c>
      <c r="O42" s="18">
        <v>167.629</v>
      </c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1.0</v>
      </c>
      <c r="H43" s="9">
        <v>0.0</v>
      </c>
      <c r="I43" s="9">
        <v>0.0</v>
      </c>
      <c r="J43" s="17">
        <v>732.0</v>
      </c>
      <c r="K43" s="18">
        <v>-79.2316</v>
      </c>
      <c r="L43" s="17">
        <v>485.0</v>
      </c>
      <c r="M43" s="18">
        <v>485.0</v>
      </c>
      <c r="N43" s="18">
        <v>0.0</v>
      </c>
      <c r="O43" s="18">
        <v>19.841</v>
      </c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1.0</v>
      </c>
      <c r="H44" s="9">
        <v>0.0</v>
      </c>
      <c r="I44" s="9">
        <v>0.0</v>
      </c>
      <c r="J44" s="17">
        <v>-33.0</v>
      </c>
      <c r="K44" s="18">
        <v>-646.908</v>
      </c>
      <c r="L44" s="17">
        <v>-234.0</v>
      </c>
      <c r="M44" s="18">
        <v>-234.0</v>
      </c>
      <c r="N44" s="18">
        <v>0.0</v>
      </c>
      <c r="O44" s="18">
        <v>2.791</v>
      </c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1.0</v>
      </c>
      <c r="H45" s="9">
        <v>0.0</v>
      </c>
      <c r="I45" s="9">
        <v>0.0</v>
      </c>
      <c r="J45" s="17">
        <v>2558.0</v>
      </c>
      <c r="K45" s="18">
        <v>1451.64</v>
      </c>
      <c r="L45" s="17">
        <v>2130.0</v>
      </c>
      <c r="M45" s="18">
        <v>2130.0</v>
      </c>
      <c r="N45" s="18">
        <v>0.0</v>
      </c>
      <c r="O45" s="18">
        <v>62.504</v>
      </c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1.0</v>
      </c>
      <c r="H46" s="9">
        <v>0.0</v>
      </c>
      <c r="I46" s="9">
        <v>0.0</v>
      </c>
      <c r="J46" s="17">
        <v>3871.0</v>
      </c>
      <c r="K46" s="18">
        <v>2663.52</v>
      </c>
      <c r="L46" s="17">
        <v>3663.0</v>
      </c>
      <c r="M46" s="18">
        <v>3663.0</v>
      </c>
      <c r="N46" s="18">
        <v>0.0</v>
      </c>
      <c r="O46" s="18">
        <v>385.625</v>
      </c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1.0</v>
      </c>
      <c r="H47" s="9">
        <v>0.0</v>
      </c>
      <c r="I47" s="9">
        <v>0.0</v>
      </c>
      <c r="J47" s="17">
        <v>4339.0</v>
      </c>
      <c r="K47" s="18">
        <v>3642.97</v>
      </c>
      <c r="L47" s="17">
        <v>4325.0</v>
      </c>
      <c r="M47" s="18">
        <v>4325.0</v>
      </c>
      <c r="N47" s="18">
        <v>0.0</v>
      </c>
      <c r="O47" s="18">
        <v>6.968</v>
      </c>
    </row>
    <row r="48">
      <c r="A48" s="8" t="s">
        <v>233</v>
      </c>
      <c r="B48" s="9">
        <v>25.0</v>
      </c>
      <c r="C48" s="14" t="s">
        <v>234</v>
      </c>
      <c r="D48" s="9">
        <v>25.0</v>
      </c>
      <c r="E48" s="10">
        <v>0.6</v>
      </c>
      <c r="F48" s="9">
        <v>1.0</v>
      </c>
      <c r="G48" s="9">
        <v>1.0</v>
      </c>
      <c r="H48" s="9">
        <v>0.0</v>
      </c>
      <c r="I48" s="9">
        <v>0.0</v>
      </c>
      <c r="J48" s="17">
        <v>349.0</v>
      </c>
      <c r="K48" s="18">
        <v>194.68</v>
      </c>
      <c r="L48" s="17">
        <v>261.0</v>
      </c>
      <c r="M48" s="18">
        <v>261.0</v>
      </c>
      <c r="N48" s="18">
        <v>0.0</v>
      </c>
      <c r="O48" s="18">
        <v>4.764</v>
      </c>
    </row>
    <row r="49">
      <c r="A49" s="8" t="s">
        <v>235</v>
      </c>
      <c r="B49" s="9">
        <v>25.0</v>
      </c>
      <c r="C49" s="14" t="s">
        <v>234</v>
      </c>
      <c r="D49" s="9">
        <v>25.0</v>
      </c>
      <c r="E49" s="10">
        <v>0.6</v>
      </c>
      <c r="F49" s="9">
        <v>2.0</v>
      </c>
      <c r="G49" s="9">
        <v>1.0</v>
      </c>
      <c r="H49" s="9">
        <v>0.0</v>
      </c>
      <c r="I49" s="9">
        <v>0.0</v>
      </c>
      <c r="J49" s="17">
        <v>371.0</v>
      </c>
      <c r="K49" s="18">
        <v>177.0</v>
      </c>
      <c r="L49" s="17">
        <v>236.0</v>
      </c>
      <c r="M49" s="18">
        <v>236.0</v>
      </c>
      <c r="N49" s="18">
        <v>0.0</v>
      </c>
      <c r="O49" s="18">
        <v>5.818</v>
      </c>
    </row>
    <row r="50">
      <c r="A50" s="8" t="s">
        <v>236</v>
      </c>
      <c r="B50" s="9">
        <v>25.0</v>
      </c>
      <c r="C50" s="14" t="s">
        <v>234</v>
      </c>
      <c r="D50" s="9">
        <v>25.0</v>
      </c>
      <c r="E50" s="10">
        <v>0.6</v>
      </c>
      <c r="F50" s="9">
        <v>3.0</v>
      </c>
      <c r="G50" s="9">
        <v>1.0</v>
      </c>
      <c r="H50" s="9">
        <v>0.0</v>
      </c>
      <c r="I50" s="9">
        <v>0.0</v>
      </c>
      <c r="J50" s="17">
        <v>345.0</v>
      </c>
      <c r="K50" s="18">
        <v>206.285</v>
      </c>
      <c r="L50" s="17">
        <v>281.0</v>
      </c>
      <c r="M50" s="18">
        <v>281.0</v>
      </c>
      <c r="N50" s="18">
        <v>0.0</v>
      </c>
      <c r="O50" s="18">
        <v>12.276</v>
      </c>
    </row>
    <row r="51">
      <c r="A51" s="8" t="s">
        <v>237</v>
      </c>
      <c r="B51" s="9">
        <v>25.0</v>
      </c>
      <c r="C51" s="14" t="s">
        <v>234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256.0</v>
      </c>
      <c r="K51" s="18">
        <v>176.841</v>
      </c>
      <c r="L51" s="17">
        <v>236.0</v>
      </c>
      <c r="M51" s="18">
        <v>236.0</v>
      </c>
      <c r="N51" s="18">
        <v>0.0</v>
      </c>
      <c r="O51" s="18">
        <v>1.863</v>
      </c>
    </row>
    <row r="52">
      <c r="A52" s="8" t="s">
        <v>238</v>
      </c>
      <c r="B52" s="9">
        <v>25.0</v>
      </c>
      <c r="C52" s="14" t="s">
        <v>234</v>
      </c>
      <c r="D52" s="9">
        <v>25.0</v>
      </c>
      <c r="E52" s="10">
        <v>0.6</v>
      </c>
      <c r="F52" s="9">
        <v>5.0</v>
      </c>
      <c r="G52" s="9">
        <v>1.0</v>
      </c>
      <c r="H52" s="9">
        <v>0.0</v>
      </c>
      <c r="I52" s="9">
        <v>0.0</v>
      </c>
      <c r="J52" s="17">
        <v>268.0</v>
      </c>
      <c r="K52" s="18">
        <v>210.358</v>
      </c>
      <c r="L52" s="17">
        <v>268.0</v>
      </c>
      <c r="M52" s="18">
        <v>268.0</v>
      </c>
      <c r="N52" s="18">
        <v>0.0</v>
      </c>
      <c r="O52" s="18">
        <v>0.937</v>
      </c>
    </row>
    <row r="53">
      <c r="A53" s="8" t="s">
        <v>239</v>
      </c>
      <c r="B53" s="9">
        <v>25.0</v>
      </c>
      <c r="C53" s="14" t="s">
        <v>234</v>
      </c>
      <c r="D53" s="9">
        <v>25.0</v>
      </c>
      <c r="E53" s="10">
        <v>1.0</v>
      </c>
      <c r="F53" s="9">
        <v>1.0</v>
      </c>
      <c r="G53" s="9">
        <v>1.0</v>
      </c>
      <c r="H53" s="9">
        <v>0.0</v>
      </c>
      <c r="I53" s="9">
        <v>0.0</v>
      </c>
      <c r="J53" s="17">
        <v>1708.0</v>
      </c>
      <c r="K53" s="18">
        <v>1385.44</v>
      </c>
      <c r="L53" s="17">
        <v>1390.0</v>
      </c>
      <c r="M53" s="18">
        <v>1390.0</v>
      </c>
      <c r="N53" s="18">
        <v>0.0</v>
      </c>
      <c r="O53" s="18">
        <v>55.121</v>
      </c>
    </row>
    <row r="54">
      <c r="A54" s="8" t="s">
        <v>240</v>
      </c>
      <c r="B54" s="9">
        <v>25.0</v>
      </c>
      <c r="C54" s="14" t="s">
        <v>234</v>
      </c>
      <c r="D54" s="9">
        <v>25.0</v>
      </c>
      <c r="E54" s="10">
        <v>1.0</v>
      </c>
      <c r="F54" s="9">
        <v>2.0</v>
      </c>
      <c r="G54" s="9">
        <v>1.0</v>
      </c>
      <c r="H54" s="9">
        <v>0.0</v>
      </c>
      <c r="I54" s="9">
        <v>0.0</v>
      </c>
      <c r="J54" s="17">
        <v>1528.0</v>
      </c>
      <c r="K54" s="18">
        <v>1265.0</v>
      </c>
      <c r="L54" s="17">
        <v>1306.0</v>
      </c>
      <c r="M54" s="18">
        <v>1306.0</v>
      </c>
      <c r="N54" s="18">
        <v>0.0</v>
      </c>
      <c r="O54" s="18">
        <v>1218.56</v>
      </c>
    </row>
    <row r="55">
      <c r="A55" s="8" t="s">
        <v>241</v>
      </c>
      <c r="B55" s="9">
        <v>25.0</v>
      </c>
      <c r="C55" s="14" t="s">
        <v>234</v>
      </c>
      <c r="D55" s="9">
        <v>25.0</v>
      </c>
      <c r="E55" s="10">
        <v>1.0</v>
      </c>
      <c r="F55" s="9">
        <v>3.0</v>
      </c>
      <c r="G55" s="9">
        <v>1.0</v>
      </c>
      <c r="H55" s="9">
        <v>0.0</v>
      </c>
      <c r="I55" s="9">
        <v>0.0</v>
      </c>
      <c r="J55" s="17">
        <v>1809.0</v>
      </c>
      <c r="K55" s="18">
        <v>1482.29</v>
      </c>
      <c r="L55" s="17">
        <v>1510.0</v>
      </c>
      <c r="M55" s="18">
        <v>1510.0</v>
      </c>
      <c r="N55" s="18">
        <v>0.0</v>
      </c>
      <c r="O55" s="18">
        <v>125.85</v>
      </c>
    </row>
    <row r="56">
      <c r="A56" s="8" t="s">
        <v>242</v>
      </c>
      <c r="B56" s="9">
        <v>25.0</v>
      </c>
      <c r="C56" s="14" t="s">
        <v>234</v>
      </c>
      <c r="D56" s="9">
        <v>25.0</v>
      </c>
      <c r="E56" s="10">
        <v>1.0</v>
      </c>
      <c r="F56" s="9">
        <v>4.0</v>
      </c>
      <c r="G56" s="9">
        <v>1.0</v>
      </c>
      <c r="H56" s="9">
        <v>0.0</v>
      </c>
      <c r="I56" s="9">
        <v>0.0</v>
      </c>
      <c r="J56" s="17">
        <v>1630.0</v>
      </c>
      <c r="K56" s="18">
        <v>1257.16</v>
      </c>
      <c r="L56" s="17">
        <v>1265.0</v>
      </c>
      <c r="M56" s="18">
        <v>1265.0</v>
      </c>
      <c r="N56" s="18">
        <v>0.0</v>
      </c>
      <c r="O56" s="18">
        <v>86.795</v>
      </c>
    </row>
    <row r="57">
      <c r="A57" s="8" t="s">
        <v>243</v>
      </c>
      <c r="B57" s="9">
        <v>25.0</v>
      </c>
      <c r="C57" s="14" t="s">
        <v>234</v>
      </c>
      <c r="D57" s="9">
        <v>25.0</v>
      </c>
      <c r="E57" s="10">
        <v>1.0</v>
      </c>
      <c r="F57" s="9">
        <v>5.0</v>
      </c>
      <c r="G57" s="9">
        <v>1.0</v>
      </c>
      <c r="H57" s="9">
        <v>0.0</v>
      </c>
      <c r="I57" s="9">
        <v>0.0</v>
      </c>
      <c r="J57" s="17">
        <v>1716.0</v>
      </c>
      <c r="K57" s="18">
        <v>1421.06</v>
      </c>
      <c r="L57" s="17">
        <v>1430.0</v>
      </c>
      <c r="M57" s="18">
        <v>1430.0</v>
      </c>
      <c r="N57" s="18">
        <v>0.0</v>
      </c>
      <c r="O57" s="18">
        <v>71.169</v>
      </c>
    </row>
    <row r="58">
      <c r="A58" s="8" t="s">
        <v>244</v>
      </c>
      <c r="B58" s="9">
        <v>25.0</v>
      </c>
      <c r="C58" s="14" t="s">
        <v>234</v>
      </c>
      <c r="D58" s="9">
        <v>25.0</v>
      </c>
      <c r="E58" s="10">
        <v>2.0</v>
      </c>
      <c r="F58" s="9">
        <v>1.0</v>
      </c>
      <c r="G58" s="9">
        <v>1.0</v>
      </c>
      <c r="H58" s="9">
        <v>0.0</v>
      </c>
      <c r="I58" s="9">
        <v>0.0</v>
      </c>
      <c r="J58" s="17">
        <v>20955.0</v>
      </c>
      <c r="K58" s="18">
        <v>18987.5</v>
      </c>
      <c r="L58" s="17">
        <v>20955.0</v>
      </c>
      <c r="M58" s="18">
        <v>20955.0</v>
      </c>
      <c r="N58" s="18">
        <v>0.0</v>
      </c>
      <c r="O58" s="18">
        <v>379.377</v>
      </c>
    </row>
    <row r="59">
      <c r="A59" s="8" t="s">
        <v>245</v>
      </c>
      <c r="B59" s="9">
        <v>25.0</v>
      </c>
      <c r="C59" s="14" t="s">
        <v>234</v>
      </c>
      <c r="D59" s="9">
        <v>25.0</v>
      </c>
      <c r="E59" s="10">
        <v>2.0</v>
      </c>
      <c r="F59" s="9">
        <v>2.0</v>
      </c>
      <c r="G59" s="9">
        <v>1.0</v>
      </c>
      <c r="H59" s="9">
        <v>0.0</v>
      </c>
      <c r="I59" s="9">
        <v>0.0</v>
      </c>
      <c r="J59" s="17">
        <v>22555.0</v>
      </c>
      <c r="K59" s="18">
        <v>17905.5</v>
      </c>
      <c r="L59" s="17">
        <v>22555.0</v>
      </c>
      <c r="M59" s="18">
        <v>22555.0</v>
      </c>
      <c r="N59" s="18">
        <v>0.0</v>
      </c>
      <c r="O59" s="18">
        <v>20.975</v>
      </c>
    </row>
    <row r="60">
      <c r="A60" s="8" t="s">
        <v>246</v>
      </c>
      <c r="B60" s="9">
        <v>25.0</v>
      </c>
      <c r="C60" s="14" t="s">
        <v>234</v>
      </c>
      <c r="D60" s="9">
        <v>25.0</v>
      </c>
      <c r="E60" s="10">
        <v>2.0</v>
      </c>
      <c r="F60" s="9">
        <v>3.0</v>
      </c>
      <c r="G60" s="9">
        <v>1.0</v>
      </c>
      <c r="H60" s="9">
        <v>0.0</v>
      </c>
      <c r="I60" s="9">
        <v>0.0</v>
      </c>
      <c r="J60" s="17">
        <v>22503.0</v>
      </c>
      <c r="K60" s="18">
        <v>20303.9</v>
      </c>
      <c r="L60" s="17">
        <v>22440.0</v>
      </c>
      <c r="M60" s="18">
        <v>22440.0</v>
      </c>
      <c r="N60" s="18">
        <v>0.0</v>
      </c>
      <c r="O60" s="18">
        <v>944.975</v>
      </c>
    </row>
    <row r="61">
      <c r="A61" s="8" t="s">
        <v>247</v>
      </c>
      <c r="B61" s="9">
        <v>25.0</v>
      </c>
      <c r="C61" s="14" t="s">
        <v>234</v>
      </c>
      <c r="D61" s="9">
        <v>25.0</v>
      </c>
      <c r="E61" s="10">
        <v>2.0</v>
      </c>
      <c r="F61" s="9">
        <v>4.0</v>
      </c>
      <c r="G61" s="9">
        <v>1.0</v>
      </c>
      <c r="H61" s="9">
        <v>0.0</v>
      </c>
      <c r="I61" s="9">
        <v>0.0</v>
      </c>
      <c r="J61" s="17">
        <v>19085.0</v>
      </c>
      <c r="K61" s="18">
        <v>17109.8</v>
      </c>
      <c r="L61" s="17">
        <v>17350.0</v>
      </c>
      <c r="M61" s="18">
        <v>17350.0</v>
      </c>
      <c r="N61" s="18">
        <v>0.0</v>
      </c>
      <c r="O61" s="18">
        <v>28.382</v>
      </c>
    </row>
    <row r="62">
      <c r="A62" s="8" t="s">
        <v>248</v>
      </c>
      <c r="B62" s="9">
        <v>25.0</v>
      </c>
      <c r="C62" s="14" t="s">
        <v>234</v>
      </c>
      <c r="D62" s="9">
        <v>25.0</v>
      </c>
      <c r="E62" s="10">
        <v>2.0</v>
      </c>
      <c r="F62" s="9">
        <v>5.0</v>
      </c>
      <c r="G62" s="9">
        <v>1.0</v>
      </c>
      <c r="H62" s="9">
        <v>0.0</v>
      </c>
      <c r="I62" s="9">
        <v>0.0</v>
      </c>
      <c r="J62" s="17">
        <v>21538.0</v>
      </c>
      <c r="K62" s="18">
        <v>19457.6</v>
      </c>
      <c r="L62" s="17">
        <v>19638.0</v>
      </c>
      <c r="M62" s="18">
        <v>19638.0</v>
      </c>
      <c r="N62" s="18">
        <v>0.0</v>
      </c>
      <c r="O62" s="18">
        <v>15.28</v>
      </c>
    </row>
    <row r="63">
      <c r="A63" s="8" t="s">
        <v>249</v>
      </c>
      <c r="B63" s="9">
        <v>25.0</v>
      </c>
      <c r="C63" s="14" t="s">
        <v>234</v>
      </c>
      <c r="D63" s="9">
        <v>50.0</v>
      </c>
      <c r="E63" s="10">
        <v>0.6</v>
      </c>
      <c r="F63" s="9">
        <v>1.0</v>
      </c>
      <c r="G63" s="9">
        <v>1.0</v>
      </c>
      <c r="H63" s="9">
        <v>0.0</v>
      </c>
      <c r="I63" s="9">
        <v>0.0</v>
      </c>
      <c r="J63" s="17">
        <v>1106.0</v>
      </c>
      <c r="K63" s="18">
        <v>428.605</v>
      </c>
      <c r="L63" s="17">
        <v>627.0</v>
      </c>
      <c r="M63" s="18">
        <v>627.0</v>
      </c>
      <c r="N63" s="18">
        <v>0.0</v>
      </c>
      <c r="O63" s="18">
        <v>15.056</v>
      </c>
    </row>
    <row r="64">
      <c r="A64" s="8" t="s">
        <v>250</v>
      </c>
      <c r="B64" s="9">
        <v>25.0</v>
      </c>
      <c r="C64" s="14" t="s">
        <v>234</v>
      </c>
      <c r="D64" s="9">
        <v>50.0</v>
      </c>
      <c r="E64" s="10">
        <v>0.6</v>
      </c>
      <c r="F64" s="9">
        <v>2.0</v>
      </c>
      <c r="G64" s="9">
        <v>1.0</v>
      </c>
      <c r="H64" s="9">
        <v>0.0</v>
      </c>
      <c r="I64" s="9">
        <v>0.0</v>
      </c>
      <c r="J64" s="17">
        <v>852.0</v>
      </c>
      <c r="K64" s="18">
        <v>443.073</v>
      </c>
      <c r="L64" s="17">
        <v>769.0</v>
      </c>
      <c r="M64" s="18">
        <v>769.0</v>
      </c>
      <c r="N64" s="18">
        <v>0.0</v>
      </c>
      <c r="O64" s="18">
        <v>17.551</v>
      </c>
    </row>
    <row r="65">
      <c r="A65" s="8" t="s">
        <v>251</v>
      </c>
      <c r="B65" s="9">
        <v>25.0</v>
      </c>
      <c r="C65" s="14" t="s">
        <v>234</v>
      </c>
      <c r="D65" s="9">
        <v>50.0</v>
      </c>
      <c r="E65" s="10">
        <v>0.6</v>
      </c>
      <c r="F65" s="9">
        <v>3.0</v>
      </c>
      <c r="G65" s="9">
        <v>1.0</v>
      </c>
      <c r="H65" s="9">
        <v>0.0</v>
      </c>
      <c r="I65" s="9">
        <v>0.0</v>
      </c>
      <c r="J65" s="17">
        <v>757.0</v>
      </c>
      <c r="K65" s="18">
        <v>343.546</v>
      </c>
      <c r="L65" s="17">
        <v>605.0</v>
      </c>
      <c r="M65" s="18">
        <v>605.0</v>
      </c>
      <c r="N65" s="18">
        <v>0.0</v>
      </c>
      <c r="O65" s="18">
        <v>15.03</v>
      </c>
    </row>
    <row r="66">
      <c r="A66" s="8" t="s">
        <v>252</v>
      </c>
      <c r="B66" s="9">
        <v>25.0</v>
      </c>
      <c r="C66" s="14" t="s">
        <v>234</v>
      </c>
      <c r="D66" s="9">
        <v>50.0</v>
      </c>
      <c r="E66" s="10">
        <v>0.6</v>
      </c>
      <c r="F66" s="9">
        <v>4.0</v>
      </c>
      <c r="G66" s="9">
        <v>1.0</v>
      </c>
      <c r="H66" s="9">
        <v>0.0</v>
      </c>
      <c r="I66" s="9">
        <v>0.0</v>
      </c>
      <c r="J66" s="17">
        <v>821.0</v>
      </c>
      <c r="K66" s="18">
        <v>336.811</v>
      </c>
      <c r="L66" s="17">
        <v>552.0</v>
      </c>
      <c r="M66" s="18">
        <v>552.0</v>
      </c>
      <c r="N66" s="18">
        <v>0.0</v>
      </c>
      <c r="O66" s="18">
        <v>5.486</v>
      </c>
    </row>
    <row r="67">
      <c r="A67" s="8" t="s">
        <v>253</v>
      </c>
      <c r="B67" s="9">
        <v>25.0</v>
      </c>
      <c r="C67" s="14" t="s">
        <v>234</v>
      </c>
      <c r="D67" s="9">
        <v>50.0</v>
      </c>
      <c r="E67" s="10">
        <v>0.6</v>
      </c>
      <c r="F67" s="9">
        <v>5.0</v>
      </c>
      <c r="G67" s="9">
        <v>1.0</v>
      </c>
      <c r="H67" s="9">
        <v>0.0</v>
      </c>
      <c r="I67" s="9">
        <v>0.0</v>
      </c>
      <c r="J67" s="17">
        <v>948.0</v>
      </c>
      <c r="K67" s="18">
        <v>358.387</v>
      </c>
      <c r="L67" s="17">
        <v>553.0</v>
      </c>
      <c r="M67" s="18">
        <v>553.0</v>
      </c>
      <c r="N67" s="18">
        <v>0.0</v>
      </c>
      <c r="O67" s="18">
        <v>5.79</v>
      </c>
    </row>
    <row r="68">
      <c r="A68" s="8" t="s">
        <v>254</v>
      </c>
      <c r="B68" s="9">
        <v>25.0</v>
      </c>
      <c r="C68" s="14" t="s">
        <v>234</v>
      </c>
      <c r="D68" s="9">
        <v>50.0</v>
      </c>
      <c r="E68" s="10">
        <v>1.0</v>
      </c>
      <c r="F68" s="9">
        <v>1.0</v>
      </c>
      <c r="G68" s="9">
        <v>1.0</v>
      </c>
      <c r="H68" s="9">
        <v>0.0</v>
      </c>
      <c r="I68" s="9">
        <v>0.0</v>
      </c>
      <c r="J68" s="17">
        <v>3311.0</v>
      </c>
      <c r="K68" s="18">
        <v>2385.0</v>
      </c>
      <c r="L68" s="17">
        <v>2726.0</v>
      </c>
      <c r="M68" s="18">
        <v>2726.0</v>
      </c>
      <c r="N68" s="18">
        <v>0.0</v>
      </c>
      <c r="O68" s="18">
        <v>2581.45</v>
      </c>
    </row>
    <row r="69">
      <c r="A69" s="8" t="s">
        <v>255</v>
      </c>
      <c r="B69" s="9">
        <v>25.0</v>
      </c>
      <c r="C69" s="14" t="s">
        <v>234</v>
      </c>
      <c r="D69" s="9">
        <v>50.0</v>
      </c>
      <c r="E69" s="10">
        <v>1.0</v>
      </c>
      <c r="F69" s="9">
        <v>2.0</v>
      </c>
      <c r="G69" s="9">
        <v>1.0</v>
      </c>
      <c r="H69" s="9">
        <v>0.0</v>
      </c>
      <c r="I69" s="9">
        <v>0.0</v>
      </c>
      <c r="J69" s="17">
        <v>3756.0</v>
      </c>
      <c r="K69" s="18">
        <v>2718.73</v>
      </c>
      <c r="L69" s="17">
        <v>3074.0</v>
      </c>
      <c r="M69" s="18">
        <v>3074.0</v>
      </c>
      <c r="N69" s="18">
        <v>0.0</v>
      </c>
      <c r="O69" s="18">
        <v>458.021</v>
      </c>
    </row>
    <row r="70">
      <c r="A70" s="8" t="s">
        <v>256</v>
      </c>
      <c r="B70" s="9">
        <v>25.0</v>
      </c>
      <c r="C70" s="14" t="s">
        <v>234</v>
      </c>
      <c r="D70" s="9">
        <v>50.0</v>
      </c>
      <c r="E70" s="10">
        <v>1.0</v>
      </c>
      <c r="F70" s="9">
        <v>3.0</v>
      </c>
      <c r="G70" s="9">
        <v>1.0</v>
      </c>
      <c r="H70" s="9">
        <v>0.0</v>
      </c>
      <c r="I70" s="9">
        <v>0.0</v>
      </c>
      <c r="J70" s="17">
        <v>3320.0</v>
      </c>
      <c r="K70" s="18">
        <v>2298.64</v>
      </c>
      <c r="L70" s="17">
        <v>2505.0</v>
      </c>
      <c r="M70" s="18">
        <v>2505.0</v>
      </c>
      <c r="N70" s="18">
        <v>0.0</v>
      </c>
      <c r="O70" s="18">
        <v>186.269</v>
      </c>
    </row>
    <row r="71">
      <c r="A71" s="8" t="s">
        <v>257</v>
      </c>
      <c r="B71" s="9">
        <v>25.0</v>
      </c>
      <c r="C71" s="14" t="s">
        <v>234</v>
      </c>
      <c r="D71" s="9">
        <v>50.0</v>
      </c>
      <c r="E71" s="10">
        <v>1.0</v>
      </c>
      <c r="F71" s="9">
        <v>4.0</v>
      </c>
      <c r="G71" s="9">
        <v>1.0</v>
      </c>
      <c r="H71" s="9">
        <v>0.0</v>
      </c>
      <c r="I71" s="9">
        <v>0.0</v>
      </c>
      <c r="J71" s="17">
        <v>3153.0</v>
      </c>
      <c r="K71" s="18">
        <v>2316.8</v>
      </c>
      <c r="L71" s="17">
        <v>2475.0</v>
      </c>
      <c r="M71" s="18">
        <v>2475.0</v>
      </c>
      <c r="N71" s="18">
        <v>0.0</v>
      </c>
      <c r="O71" s="18">
        <v>243.428</v>
      </c>
    </row>
    <row r="72">
      <c r="A72" s="8" t="s">
        <v>258</v>
      </c>
      <c r="B72" s="9">
        <v>25.0</v>
      </c>
      <c r="C72" s="14" t="s">
        <v>234</v>
      </c>
      <c r="D72" s="9">
        <v>50.0</v>
      </c>
      <c r="E72" s="10">
        <v>1.0</v>
      </c>
      <c r="F72" s="9">
        <v>5.0</v>
      </c>
      <c r="G72" s="9">
        <v>1.0</v>
      </c>
      <c r="H72" s="9">
        <v>0.0</v>
      </c>
      <c r="I72" s="9">
        <v>0.0</v>
      </c>
      <c r="J72" s="17">
        <v>3107.0</v>
      </c>
      <c r="K72" s="18">
        <v>2237.98</v>
      </c>
      <c r="L72" s="17">
        <v>2419.0</v>
      </c>
      <c r="M72" s="18">
        <v>2419.0</v>
      </c>
      <c r="N72" s="18">
        <v>0.0</v>
      </c>
      <c r="O72" s="18">
        <v>116.518</v>
      </c>
    </row>
    <row r="73">
      <c r="A73" s="8" t="s">
        <v>259</v>
      </c>
      <c r="B73" s="9">
        <v>25.0</v>
      </c>
      <c r="C73" s="14" t="s">
        <v>234</v>
      </c>
      <c r="D73" s="9">
        <v>50.0</v>
      </c>
      <c r="E73" s="10">
        <v>2.0</v>
      </c>
      <c r="F73" s="9">
        <v>1.0</v>
      </c>
      <c r="G73" s="9">
        <v>0.0</v>
      </c>
      <c r="H73" s="9">
        <v>1.0</v>
      </c>
      <c r="I73" s="9">
        <v>0.0</v>
      </c>
      <c r="J73" s="17">
        <v>35948.0</v>
      </c>
      <c r="K73" s="18">
        <v>32680.7</v>
      </c>
      <c r="L73" s="17">
        <v>35948.0</v>
      </c>
      <c r="M73" s="18">
        <v>34294.5</v>
      </c>
      <c r="N73" s="18">
        <v>4.59961</v>
      </c>
      <c r="O73" s="18">
        <v>3600.0</v>
      </c>
    </row>
    <row r="74">
      <c r="A74" s="8" t="s">
        <v>260</v>
      </c>
      <c r="B74" s="9">
        <v>25.0</v>
      </c>
      <c r="C74" s="14" t="s">
        <v>234</v>
      </c>
      <c r="D74" s="9">
        <v>50.0</v>
      </c>
      <c r="E74" s="10">
        <v>2.0</v>
      </c>
      <c r="F74" s="9">
        <v>2.0</v>
      </c>
      <c r="G74" s="9">
        <v>1.0</v>
      </c>
      <c r="H74" s="9">
        <v>0.0</v>
      </c>
      <c r="I74" s="9">
        <v>0.0</v>
      </c>
      <c r="J74" s="17">
        <v>41280.0</v>
      </c>
      <c r="K74" s="18">
        <v>37321.1</v>
      </c>
      <c r="L74" s="17">
        <v>37779.0</v>
      </c>
      <c r="M74" s="18">
        <v>37779.0</v>
      </c>
      <c r="N74" s="18">
        <v>0.0</v>
      </c>
      <c r="O74" s="18">
        <v>14.669</v>
      </c>
    </row>
    <row r="75">
      <c r="A75" s="8" t="s">
        <v>261</v>
      </c>
      <c r="B75" s="9">
        <v>25.0</v>
      </c>
      <c r="C75" s="14" t="s">
        <v>234</v>
      </c>
      <c r="D75" s="9">
        <v>50.0</v>
      </c>
      <c r="E75" s="10">
        <v>2.0</v>
      </c>
      <c r="F75" s="9">
        <v>3.0</v>
      </c>
      <c r="G75" s="9">
        <v>1.0</v>
      </c>
      <c r="H75" s="9">
        <v>0.0</v>
      </c>
      <c r="I75" s="9">
        <v>0.0</v>
      </c>
      <c r="J75" s="17">
        <v>34908.0</v>
      </c>
      <c r="K75" s="18">
        <v>31568.8</v>
      </c>
      <c r="L75" s="17">
        <v>34848.0</v>
      </c>
      <c r="M75" s="18">
        <v>34848.0</v>
      </c>
      <c r="N75" s="18">
        <v>0.0</v>
      </c>
      <c r="O75" s="18">
        <v>572.207</v>
      </c>
    </row>
    <row r="76">
      <c r="A76" s="8" t="s">
        <v>262</v>
      </c>
      <c r="B76" s="9">
        <v>25.0</v>
      </c>
      <c r="C76" s="14" t="s">
        <v>234</v>
      </c>
      <c r="D76" s="9">
        <v>50.0</v>
      </c>
      <c r="E76" s="10">
        <v>2.0</v>
      </c>
      <c r="F76" s="9">
        <v>4.0</v>
      </c>
      <c r="G76" s="9">
        <v>1.0</v>
      </c>
      <c r="H76" s="9">
        <v>0.0</v>
      </c>
      <c r="I76" s="9">
        <v>0.0</v>
      </c>
      <c r="J76" s="17">
        <v>34958.0</v>
      </c>
      <c r="K76" s="18">
        <v>31659.7</v>
      </c>
      <c r="L76" s="17">
        <v>31879.0</v>
      </c>
      <c r="M76" s="18">
        <v>31879.0</v>
      </c>
      <c r="N76" s="18">
        <v>0.0</v>
      </c>
      <c r="O76" s="18">
        <v>1.622</v>
      </c>
    </row>
    <row r="77">
      <c r="A77" s="8" t="s">
        <v>263</v>
      </c>
      <c r="B77" s="9">
        <v>25.0</v>
      </c>
      <c r="C77" s="14" t="s">
        <v>234</v>
      </c>
      <c r="D77" s="9">
        <v>50.0</v>
      </c>
      <c r="E77" s="10">
        <v>2.0</v>
      </c>
      <c r="F77" s="9">
        <v>5.0</v>
      </c>
      <c r="G77" s="9">
        <v>1.0</v>
      </c>
      <c r="H77" s="9">
        <v>0.0</v>
      </c>
      <c r="I77" s="9">
        <v>0.0</v>
      </c>
      <c r="J77" s="17">
        <v>36936.0</v>
      </c>
      <c r="K77" s="18">
        <v>30718.0</v>
      </c>
      <c r="L77" s="17">
        <v>33939.0</v>
      </c>
      <c r="M77" s="18">
        <v>33939.0</v>
      </c>
      <c r="N77" s="18">
        <v>0.0</v>
      </c>
      <c r="O77" s="18">
        <v>53.405</v>
      </c>
    </row>
    <row r="78">
      <c r="A78" s="8" t="s">
        <v>264</v>
      </c>
      <c r="B78" s="9">
        <v>25.0</v>
      </c>
      <c r="C78" s="14" t="s">
        <v>234</v>
      </c>
      <c r="D78" s="9">
        <v>75.0</v>
      </c>
      <c r="E78" s="10">
        <v>0.6</v>
      </c>
      <c r="F78" s="9">
        <v>1.0</v>
      </c>
      <c r="G78" s="9">
        <v>1.0</v>
      </c>
      <c r="H78" s="9">
        <v>0.0</v>
      </c>
      <c r="I78" s="9">
        <v>0.0</v>
      </c>
      <c r="J78" s="17">
        <v>2315.0</v>
      </c>
      <c r="K78" s="18">
        <v>689.796</v>
      </c>
      <c r="L78" s="17">
        <v>1426.0</v>
      </c>
      <c r="M78" s="18">
        <v>1426.0</v>
      </c>
      <c r="N78" s="18">
        <v>0.0</v>
      </c>
      <c r="O78" s="18">
        <v>3499.52</v>
      </c>
    </row>
    <row r="79">
      <c r="A79" s="8" t="s">
        <v>265</v>
      </c>
      <c r="B79" s="9">
        <v>25.0</v>
      </c>
      <c r="C79" s="14" t="s">
        <v>234</v>
      </c>
      <c r="D79" s="9">
        <v>75.0</v>
      </c>
      <c r="E79" s="10">
        <v>0.6</v>
      </c>
      <c r="F79" s="9">
        <v>2.0</v>
      </c>
      <c r="G79" s="9">
        <v>1.0</v>
      </c>
      <c r="H79" s="9">
        <v>0.0</v>
      </c>
      <c r="I79" s="9">
        <v>0.0</v>
      </c>
      <c r="J79" s="17">
        <v>1676.0</v>
      </c>
      <c r="K79" s="18">
        <v>753.295</v>
      </c>
      <c r="L79" s="17">
        <v>1230.0</v>
      </c>
      <c r="M79" s="18">
        <v>1230.0</v>
      </c>
      <c r="N79" s="18">
        <v>0.0</v>
      </c>
      <c r="O79" s="18">
        <v>39.642</v>
      </c>
    </row>
    <row r="80">
      <c r="A80" s="8" t="s">
        <v>266</v>
      </c>
      <c r="B80" s="9">
        <v>25.0</v>
      </c>
      <c r="C80" s="14" t="s">
        <v>234</v>
      </c>
      <c r="D80" s="9">
        <v>75.0</v>
      </c>
      <c r="E80" s="10">
        <v>0.6</v>
      </c>
      <c r="F80" s="9">
        <v>3.0</v>
      </c>
      <c r="G80" s="9">
        <v>1.0</v>
      </c>
      <c r="H80" s="9">
        <v>0.0</v>
      </c>
      <c r="I80" s="9">
        <v>0.0</v>
      </c>
      <c r="J80" s="17">
        <v>1784.0</v>
      </c>
      <c r="K80" s="18">
        <v>752.943</v>
      </c>
      <c r="L80" s="17">
        <v>1313.0</v>
      </c>
      <c r="M80" s="18">
        <v>1313.0</v>
      </c>
      <c r="N80" s="18">
        <v>0.0</v>
      </c>
      <c r="O80" s="18">
        <v>187.814</v>
      </c>
    </row>
    <row r="81">
      <c r="A81" s="8" t="s">
        <v>267</v>
      </c>
      <c r="B81" s="9">
        <v>25.0</v>
      </c>
      <c r="C81" s="14" t="s">
        <v>234</v>
      </c>
      <c r="D81" s="9">
        <v>75.0</v>
      </c>
      <c r="E81" s="10">
        <v>0.6</v>
      </c>
      <c r="F81" s="9">
        <v>4.0</v>
      </c>
      <c r="G81" s="9">
        <v>1.0</v>
      </c>
      <c r="H81" s="9">
        <v>0.0</v>
      </c>
      <c r="I81" s="9">
        <v>0.0</v>
      </c>
      <c r="J81" s="17">
        <v>1923.0</v>
      </c>
      <c r="K81" s="18">
        <v>706.739</v>
      </c>
      <c r="L81" s="17">
        <v>1271.0</v>
      </c>
      <c r="M81" s="18">
        <v>1271.0</v>
      </c>
      <c r="N81" s="18">
        <v>0.0</v>
      </c>
      <c r="O81" s="18">
        <v>205.246</v>
      </c>
    </row>
    <row r="82">
      <c r="A82" s="8" t="s">
        <v>268</v>
      </c>
      <c r="B82" s="9">
        <v>25.0</v>
      </c>
      <c r="C82" s="14" t="s">
        <v>234</v>
      </c>
      <c r="D82" s="9">
        <v>75.0</v>
      </c>
      <c r="E82" s="10">
        <v>0.6</v>
      </c>
      <c r="F82" s="9">
        <v>5.0</v>
      </c>
      <c r="G82" s="9">
        <v>1.0</v>
      </c>
      <c r="H82" s="9">
        <v>0.0</v>
      </c>
      <c r="I82" s="9">
        <v>0.0</v>
      </c>
      <c r="J82" s="17">
        <v>2058.0</v>
      </c>
      <c r="K82" s="18">
        <v>796.331</v>
      </c>
      <c r="L82" s="17">
        <v>1315.0</v>
      </c>
      <c r="M82" s="18">
        <v>1315.0</v>
      </c>
      <c r="N82" s="18">
        <v>0.0</v>
      </c>
      <c r="O82" s="18">
        <v>67.599</v>
      </c>
    </row>
    <row r="83">
      <c r="A83" s="8" t="s">
        <v>269</v>
      </c>
      <c r="B83" s="9">
        <v>25.0</v>
      </c>
      <c r="C83" s="14" t="s">
        <v>234</v>
      </c>
      <c r="D83" s="9">
        <v>75.0</v>
      </c>
      <c r="E83" s="10">
        <v>1.0</v>
      </c>
      <c r="F83" s="9">
        <v>1.0</v>
      </c>
      <c r="G83" s="9">
        <v>0.0</v>
      </c>
      <c r="H83" s="9">
        <v>1.0</v>
      </c>
      <c r="I83" s="9">
        <v>0.0</v>
      </c>
      <c r="J83" s="17">
        <v>5523.0</v>
      </c>
      <c r="K83" s="18">
        <v>3874.72</v>
      </c>
      <c r="L83" s="17">
        <v>4801.0</v>
      </c>
      <c r="M83" s="18">
        <v>4454.61</v>
      </c>
      <c r="N83" s="18">
        <v>7.21488</v>
      </c>
      <c r="O83" s="18">
        <v>3600.0</v>
      </c>
    </row>
    <row r="84">
      <c r="A84" s="8" t="s">
        <v>270</v>
      </c>
      <c r="B84" s="9">
        <v>25.0</v>
      </c>
      <c r="C84" s="14" t="s">
        <v>234</v>
      </c>
      <c r="D84" s="9">
        <v>75.0</v>
      </c>
      <c r="E84" s="10">
        <v>1.0</v>
      </c>
      <c r="F84" s="9">
        <v>2.0</v>
      </c>
      <c r="G84" s="9">
        <v>0.0</v>
      </c>
      <c r="H84" s="9">
        <v>1.0</v>
      </c>
      <c r="I84" s="9">
        <v>0.0</v>
      </c>
      <c r="J84" s="17">
        <v>5287.0</v>
      </c>
      <c r="K84" s="18">
        <v>3761.87</v>
      </c>
      <c r="L84" s="17">
        <v>4645.0</v>
      </c>
      <c r="M84" s="18">
        <v>4321.79</v>
      </c>
      <c r="N84" s="18">
        <v>6.95828</v>
      </c>
      <c r="O84" s="18">
        <v>3600.0</v>
      </c>
    </row>
    <row r="85">
      <c r="A85" s="8" t="s">
        <v>271</v>
      </c>
      <c r="B85" s="9">
        <v>25.0</v>
      </c>
      <c r="C85" s="14" t="s">
        <v>234</v>
      </c>
      <c r="D85" s="9">
        <v>75.0</v>
      </c>
      <c r="E85" s="10">
        <v>1.0</v>
      </c>
      <c r="F85" s="9">
        <v>3.0</v>
      </c>
      <c r="G85" s="9">
        <v>1.0</v>
      </c>
      <c r="H85" s="9">
        <v>0.0</v>
      </c>
      <c r="I85" s="9">
        <v>0.0</v>
      </c>
      <c r="J85" s="17">
        <v>5475.0</v>
      </c>
      <c r="K85" s="18">
        <v>3742.44</v>
      </c>
      <c r="L85" s="17">
        <v>4506.0</v>
      </c>
      <c r="M85" s="18">
        <v>4506.0</v>
      </c>
      <c r="N85" s="18">
        <v>0.0</v>
      </c>
      <c r="O85" s="18">
        <v>2536.09</v>
      </c>
    </row>
    <row r="86">
      <c r="A86" s="8" t="s">
        <v>272</v>
      </c>
      <c r="B86" s="9">
        <v>25.0</v>
      </c>
      <c r="C86" s="14" t="s">
        <v>234</v>
      </c>
      <c r="D86" s="9">
        <v>75.0</v>
      </c>
      <c r="E86" s="10">
        <v>1.0</v>
      </c>
      <c r="F86" s="9">
        <v>4.0</v>
      </c>
      <c r="G86" s="9">
        <v>0.0</v>
      </c>
      <c r="H86" s="9">
        <v>1.0</v>
      </c>
      <c r="I86" s="9">
        <v>0.0</v>
      </c>
      <c r="J86" s="17">
        <v>5504.0</v>
      </c>
      <c r="K86" s="18">
        <v>3805.26</v>
      </c>
      <c r="L86" s="17">
        <v>4540.0</v>
      </c>
      <c r="M86" s="18">
        <v>4482.87</v>
      </c>
      <c r="N86" s="18">
        <v>1.25829</v>
      </c>
      <c r="O86" s="18">
        <v>3600.0</v>
      </c>
    </row>
    <row r="87">
      <c r="A87" s="8" t="s">
        <v>273</v>
      </c>
      <c r="B87" s="9">
        <v>25.0</v>
      </c>
      <c r="C87" s="14" t="s">
        <v>234</v>
      </c>
      <c r="D87" s="9">
        <v>75.0</v>
      </c>
      <c r="E87" s="10">
        <v>1.0</v>
      </c>
      <c r="F87" s="9">
        <v>5.0</v>
      </c>
      <c r="G87" s="9">
        <v>1.0</v>
      </c>
      <c r="H87" s="9">
        <v>0.0</v>
      </c>
      <c r="I87" s="9">
        <v>0.0</v>
      </c>
      <c r="J87" s="17">
        <v>5213.0</v>
      </c>
      <c r="K87" s="18">
        <v>3820.76</v>
      </c>
      <c r="L87" s="17">
        <v>4577.0</v>
      </c>
      <c r="M87" s="18">
        <v>4577.0</v>
      </c>
      <c r="N87" s="18">
        <v>0.0</v>
      </c>
      <c r="O87" s="18">
        <v>3433.28</v>
      </c>
    </row>
    <row r="88">
      <c r="A88" s="8" t="s">
        <v>274</v>
      </c>
      <c r="B88" s="9">
        <v>25.0</v>
      </c>
      <c r="C88" s="14" t="s">
        <v>234</v>
      </c>
      <c r="D88" s="9">
        <v>75.0</v>
      </c>
      <c r="E88" s="10">
        <v>2.0</v>
      </c>
      <c r="F88" s="9">
        <v>1.0</v>
      </c>
      <c r="G88" s="9">
        <v>0.0</v>
      </c>
      <c r="H88" s="9">
        <v>1.0</v>
      </c>
      <c r="I88" s="9">
        <v>0.0</v>
      </c>
      <c r="J88" s="17">
        <v>58434.0</v>
      </c>
      <c r="K88" s="18">
        <v>52806.8</v>
      </c>
      <c r="L88" s="17">
        <v>58230.0</v>
      </c>
      <c r="M88" s="18">
        <v>53770.2</v>
      </c>
      <c r="N88" s="18">
        <v>7.65893</v>
      </c>
      <c r="O88" s="18">
        <v>3600.0</v>
      </c>
    </row>
    <row r="89">
      <c r="A89" s="8" t="s">
        <v>275</v>
      </c>
      <c r="B89" s="9">
        <v>25.0</v>
      </c>
      <c r="C89" s="14" t="s">
        <v>234</v>
      </c>
      <c r="D89" s="9">
        <v>75.0</v>
      </c>
      <c r="E89" s="10">
        <v>2.0</v>
      </c>
      <c r="F89" s="9">
        <v>2.0</v>
      </c>
      <c r="G89" s="9">
        <v>1.0</v>
      </c>
      <c r="H89" s="9">
        <v>0.0</v>
      </c>
      <c r="I89" s="9">
        <v>0.0</v>
      </c>
      <c r="J89" s="17">
        <v>56219.0</v>
      </c>
      <c r="K89" s="18">
        <v>50750.4</v>
      </c>
      <c r="L89" s="17">
        <v>55912.0</v>
      </c>
      <c r="M89" s="18">
        <v>55912.0</v>
      </c>
      <c r="N89" s="18">
        <v>0.0</v>
      </c>
      <c r="O89" s="18">
        <v>2132.63</v>
      </c>
    </row>
    <row r="90">
      <c r="A90" s="8" t="s">
        <v>276</v>
      </c>
      <c r="B90" s="9">
        <v>25.0</v>
      </c>
      <c r="C90" s="14" t="s">
        <v>234</v>
      </c>
      <c r="D90" s="9">
        <v>75.0</v>
      </c>
      <c r="E90" s="10">
        <v>2.0</v>
      </c>
      <c r="F90" s="9">
        <v>3.0</v>
      </c>
      <c r="G90" s="9">
        <v>1.0</v>
      </c>
      <c r="H90" s="9">
        <v>0.0</v>
      </c>
      <c r="I90" s="9">
        <v>0.0</v>
      </c>
      <c r="J90" s="17">
        <v>55875.0</v>
      </c>
      <c r="K90" s="18">
        <v>50580.1</v>
      </c>
      <c r="L90" s="17">
        <v>50997.0</v>
      </c>
      <c r="M90" s="18">
        <v>50997.0</v>
      </c>
      <c r="N90" s="18">
        <v>0.0</v>
      </c>
      <c r="O90" s="18">
        <v>11.008</v>
      </c>
    </row>
    <row r="91">
      <c r="A91" s="8" t="s">
        <v>277</v>
      </c>
      <c r="B91" s="9">
        <v>25.0</v>
      </c>
      <c r="C91" s="14" t="s">
        <v>234</v>
      </c>
      <c r="D91" s="9">
        <v>75.0</v>
      </c>
      <c r="E91" s="10">
        <v>2.0</v>
      </c>
      <c r="F91" s="9">
        <v>4.0</v>
      </c>
      <c r="G91" s="9">
        <v>1.0</v>
      </c>
      <c r="H91" s="9">
        <v>0.0</v>
      </c>
      <c r="I91" s="9">
        <v>0.0</v>
      </c>
      <c r="J91" s="17">
        <v>57196.0</v>
      </c>
      <c r="K91" s="18">
        <v>51323.5</v>
      </c>
      <c r="L91" s="17">
        <v>56934.0</v>
      </c>
      <c r="M91" s="18">
        <v>56934.0</v>
      </c>
      <c r="N91" s="18">
        <v>0.0</v>
      </c>
      <c r="O91" s="18">
        <v>3181.76</v>
      </c>
    </row>
    <row r="92">
      <c r="A92" s="8" t="s">
        <v>278</v>
      </c>
      <c r="B92" s="9">
        <v>25.0</v>
      </c>
      <c r="C92" s="14" t="s">
        <v>234</v>
      </c>
      <c r="D92" s="9">
        <v>75.0</v>
      </c>
      <c r="E92" s="10">
        <v>2.0</v>
      </c>
      <c r="F92" s="9">
        <v>5.0</v>
      </c>
      <c r="G92" s="9">
        <v>1.0</v>
      </c>
      <c r="H92" s="9">
        <v>0.0</v>
      </c>
      <c r="I92" s="9">
        <v>0.0</v>
      </c>
      <c r="J92" s="17">
        <v>56347.0</v>
      </c>
      <c r="K92" s="18">
        <v>50806.8</v>
      </c>
      <c r="L92" s="17">
        <v>51591.0</v>
      </c>
      <c r="M92" s="18">
        <v>51591.0</v>
      </c>
      <c r="N92" s="18">
        <v>0.0</v>
      </c>
      <c r="O92" s="18">
        <v>8.333</v>
      </c>
    </row>
    <row r="93">
      <c r="A93" s="8" t="s">
        <v>459</v>
      </c>
      <c r="B93" s="9">
        <v>25.0</v>
      </c>
      <c r="C93" s="9" t="s">
        <v>460</v>
      </c>
      <c r="D93" s="9">
        <v>25.0</v>
      </c>
      <c r="E93" s="10">
        <v>0.6</v>
      </c>
      <c r="F93" s="9">
        <v>1.0</v>
      </c>
      <c r="G93" s="9">
        <v>1.0</v>
      </c>
      <c r="H93" s="9">
        <v>0.0</v>
      </c>
      <c r="I93" s="9">
        <v>0.0</v>
      </c>
      <c r="J93" s="17">
        <v>-1650.0</v>
      </c>
      <c r="K93" s="18">
        <v>-3234.51</v>
      </c>
      <c r="L93" s="17">
        <v>-2193.0</v>
      </c>
      <c r="M93" s="18">
        <v>-2193.0</v>
      </c>
      <c r="N93" s="18">
        <v>0.0</v>
      </c>
      <c r="O93" s="18">
        <v>28.213</v>
      </c>
    </row>
    <row r="94">
      <c r="A94" s="8" t="s">
        <v>461</v>
      </c>
      <c r="B94" s="9">
        <v>25.0</v>
      </c>
      <c r="C94" s="9" t="s">
        <v>460</v>
      </c>
      <c r="D94" s="9">
        <v>25.0</v>
      </c>
      <c r="E94" s="10">
        <v>0.6</v>
      </c>
      <c r="F94" s="9">
        <v>2.0</v>
      </c>
      <c r="G94" s="9">
        <v>1.0</v>
      </c>
      <c r="H94" s="9">
        <v>0.0</v>
      </c>
      <c r="I94" s="9">
        <v>0.0</v>
      </c>
      <c r="J94" s="17">
        <v>-1668.0</v>
      </c>
      <c r="K94" s="18">
        <v>-2600.59</v>
      </c>
      <c r="L94" s="17">
        <v>-2087.0</v>
      </c>
      <c r="M94" s="18">
        <v>-2087.0</v>
      </c>
      <c r="N94" s="18">
        <v>0.0</v>
      </c>
      <c r="O94" s="18">
        <v>7.509</v>
      </c>
    </row>
    <row r="95">
      <c r="A95" s="8" t="s">
        <v>462</v>
      </c>
      <c r="B95" s="9">
        <v>25.0</v>
      </c>
      <c r="C95" s="9" t="s">
        <v>460</v>
      </c>
      <c r="D95" s="9">
        <v>25.0</v>
      </c>
      <c r="E95" s="10">
        <v>0.6</v>
      </c>
      <c r="F95" s="9">
        <v>3.0</v>
      </c>
      <c r="G95" s="9">
        <v>1.0</v>
      </c>
      <c r="H95" s="9">
        <v>0.0</v>
      </c>
      <c r="I95" s="9">
        <v>0.0</v>
      </c>
      <c r="J95" s="17">
        <v>-1197.0</v>
      </c>
      <c r="K95" s="18">
        <v>-2813.97</v>
      </c>
      <c r="L95" s="17">
        <v>-2022.0</v>
      </c>
      <c r="M95" s="18">
        <v>-2022.0</v>
      </c>
      <c r="N95" s="18">
        <v>0.0</v>
      </c>
      <c r="O95" s="18">
        <v>20.699</v>
      </c>
    </row>
    <row r="96">
      <c r="A96" s="8" t="s">
        <v>463</v>
      </c>
      <c r="B96" s="9">
        <v>25.0</v>
      </c>
      <c r="C96" s="9" t="s">
        <v>460</v>
      </c>
      <c r="D96" s="9">
        <v>25.0</v>
      </c>
      <c r="E96" s="10">
        <v>0.6</v>
      </c>
      <c r="F96" s="9">
        <v>4.0</v>
      </c>
      <c r="G96" s="9">
        <v>1.0</v>
      </c>
      <c r="H96" s="9">
        <v>0.0</v>
      </c>
      <c r="I96" s="9">
        <v>0.0</v>
      </c>
      <c r="J96" s="17">
        <v>-1306.0</v>
      </c>
      <c r="K96" s="18">
        <v>-2850.07</v>
      </c>
      <c r="L96" s="17">
        <v>-2079.0</v>
      </c>
      <c r="M96" s="18">
        <v>-2079.0</v>
      </c>
      <c r="N96" s="18">
        <v>0.0</v>
      </c>
      <c r="O96" s="18">
        <v>38.177</v>
      </c>
    </row>
    <row r="97">
      <c r="A97" s="8" t="s">
        <v>464</v>
      </c>
      <c r="B97" s="9">
        <v>25.0</v>
      </c>
      <c r="C97" s="9" t="s">
        <v>460</v>
      </c>
      <c r="D97" s="9">
        <v>25.0</v>
      </c>
      <c r="E97" s="10">
        <v>0.6</v>
      </c>
      <c r="F97" s="9">
        <v>5.0</v>
      </c>
      <c r="G97" s="9">
        <v>1.0</v>
      </c>
      <c r="H97" s="9">
        <v>0.0</v>
      </c>
      <c r="I97" s="9">
        <v>0.0</v>
      </c>
      <c r="J97" s="17">
        <v>-1519.0</v>
      </c>
      <c r="K97" s="18">
        <v>-3504.02</v>
      </c>
      <c r="L97" s="17">
        <v>-2427.0</v>
      </c>
      <c r="M97" s="18">
        <v>-2427.0</v>
      </c>
      <c r="N97" s="18">
        <v>0.0</v>
      </c>
      <c r="O97" s="18">
        <v>32.616</v>
      </c>
    </row>
    <row r="98">
      <c r="A98" s="8" t="s">
        <v>465</v>
      </c>
      <c r="B98" s="9">
        <v>25.0</v>
      </c>
      <c r="C98" s="9" t="s">
        <v>460</v>
      </c>
      <c r="D98" s="9">
        <v>25.0</v>
      </c>
      <c r="E98" s="10">
        <v>1.0</v>
      </c>
      <c r="F98" s="9">
        <v>1.0</v>
      </c>
      <c r="G98" s="9">
        <v>0.0</v>
      </c>
      <c r="H98" s="9">
        <v>1.0</v>
      </c>
      <c r="I98" s="9">
        <v>0.0</v>
      </c>
      <c r="J98" s="17">
        <v>316.0</v>
      </c>
      <c r="K98" s="18">
        <v>-1697.07</v>
      </c>
      <c r="L98" s="17">
        <v>-236.0</v>
      </c>
      <c r="M98" s="18">
        <v>-432.312</v>
      </c>
      <c r="N98" s="18">
        <v>83.1829</v>
      </c>
      <c r="O98" s="18">
        <v>3600.0</v>
      </c>
    </row>
    <row r="99">
      <c r="A99" s="8" t="s">
        <v>466</v>
      </c>
      <c r="B99" s="9">
        <v>25.0</v>
      </c>
      <c r="C99" s="9" t="s">
        <v>460</v>
      </c>
      <c r="D99" s="9">
        <v>25.0</v>
      </c>
      <c r="E99" s="10">
        <v>1.0</v>
      </c>
      <c r="F99" s="9">
        <v>2.0</v>
      </c>
      <c r="G99" s="9">
        <v>1.0</v>
      </c>
      <c r="H99" s="9">
        <v>0.0</v>
      </c>
      <c r="I99" s="9">
        <v>0.0</v>
      </c>
      <c r="J99" s="17">
        <v>-83.0</v>
      </c>
      <c r="K99" s="18">
        <v>-1252.23</v>
      </c>
      <c r="L99" s="17">
        <v>-532.0</v>
      </c>
      <c r="M99" s="18">
        <v>-532.0</v>
      </c>
      <c r="N99" s="18">
        <v>0.0</v>
      </c>
      <c r="O99" s="18">
        <v>339.966</v>
      </c>
    </row>
    <row r="100">
      <c r="A100" s="8" t="s">
        <v>467</v>
      </c>
      <c r="B100" s="9">
        <v>25.0</v>
      </c>
      <c r="C100" s="9" t="s">
        <v>460</v>
      </c>
      <c r="D100" s="9">
        <v>25.0</v>
      </c>
      <c r="E100" s="10">
        <v>1.0</v>
      </c>
      <c r="F100" s="9">
        <v>3.0</v>
      </c>
      <c r="G100" s="9">
        <v>1.0</v>
      </c>
      <c r="H100" s="9">
        <v>0.0</v>
      </c>
      <c r="I100" s="9">
        <v>0.0</v>
      </c>
      <c r="J100" s="17">
        <v>-71.0</v>
      </c>
      <c r="K100" s="18">
        <v>-1471.66</v>
      </c>
      <c r="L100" s="17">
        <v>-516.0</v>
      </c>
      <c r="M100" s="18">
        <v>-516.0</v>
      </c>
      <c r="N100" s="18">
        <v>0.0</v>
      </c>
      <c r="O100" s="18">
        <v>410.067</v>
      </c>
    </row>
    <row r="101">
      <c r="A101" s="8" t="s">
        <v>468</v>
      </c>
      <c r="B101" s="9">
        <v>25.0</v>
      </c>
      <c r="C101" s="9" t="s">
        <v>460</v>
      </c>
      <c r="D101" s="9">
        <v>25.0</v>
      </c>
      <c r="E101" s="10">
        <v>1.0</v>
      </c>
      <c r="F101" s="9">
        <v>4.0</v>
      </c>
      <c r="G101" s="9">
        <v>1.0</v>
      </c>
      <c r="H101" s="9">
        <v>0.0</v>
      </c>
      <c r="I101" s="9">
        <v>0.0</v>
      </c>
      <c r="J101" s="17">
        <v>165.0</v>
      </c>
      <c r="K101" s="18">
        <v>-1333.37</v>
      </c>
      <c r="L101" s="17">
        <v>-375.0</v>
      </c>
      <c r="M101" s="18">
        <v>-375.0</v>
      </c>
      <c r="N101" s="18">
        <v>0.0</v>
      </c>
      <c r="O101" s="18">
        <v>1601.77</v>
      </c>
    </row>
    <row r="102">
      <c r="A102" s="8" t="s">
        <v>469</v>
      </c>
      <c r="B102" s="9">
        <v>25.0</v>
      </c>
      <c r="C102" s="9" t="s">
        <v>460</v>
      </c>
      <c r="D102" s="9">
        <v>25.0</v>
      </c>
      <c r="E102" s="10">
        <v>1.0</v>
      </c>
      <c r="F102" s="9">
        <v>5.0</v>
      </c>
      <c r="G102" s="9">
        <v>1.0</v>
      </c>
      <c r="H102" s="9">
        <v>0.0</v>
      </c>
      <c r="I102" s="9">
        <v>0.0</v>
      </c>
      <c r="J102" s="17">
        <v>498.0</v>
      </c>
      <c r="K102" s="18">
        <v>-1672.35</v>
      </c>
      <c r="L102" s="17">
        <v>-350.0</v>
      </c>
      <c r="M102" s="18">
        <v>-350.0</v>
      </c>
      <c r="N102" s="18">
        <v>0.0</v>
      </c>
      <c r="O102" s="18">
        <v>2109.58</v>
      </c>
    </row>
    <row r="103">
      <c r="A103" s="8" t="s">
        <v>470</v>
      </c>
      <c r="B103" s="9">
        <v>25.0</v>
      </c>
      <c r="C103" s="9" t="s">
        <v>460</v>
      </c>
      <c r="D103" s="9">
        <v>25.0</v>
      </c>
      <c r="E103" s="10">
        <v>2.0</v>
      </c>
      <c r="F103" s="9">
        <v>1.0</v>
      </c>
      <c r="G103" s="9">
        <v>1.0</v>
      </c>
      <c r="H103" s="9">
        <v>0.0</v>
      </c>
      <c r="I103" s="9">
        <v>0.0</v>
      </c>
      <c r="J103" s="17">
        <v>18989.0</v>
      </c>
      <c r="K103" s="18">
        <v>16568.5</v>
      </c>
      <c r="L103" s="17">
        <v>18775.0</v>
      </c>
      <c r="M103" s="18">
        <v>18775.0</v>
      </c>
      <c r="N103" s="18">
        <v>0.0</v>
      </c>
      <c r="O103" s="18">
        <v>606.137</v>
      </c>
    </row>
    <row r="104">
      <c r="A104" s="8" t="s">
        <v>471</v>
      </c>
      <c r="B104" s="9">
        <v>25.0</v>
      </c>
      <c r="C104" s="9" t="s">
        <v>460</v>
      </c>
      <c r="D104" s="9">
        <v>25.0</v>
      </c>
      <c r="E104" s="10">
        <v>2.0</v>
      </c>
      <c r="F104" s="9">
        <v>2.0</v>
      </c>
      <c r="G104" s="9">
        <v>1.0</v>
      </c>
      <c r="H104" s="9">
        <v>0.0</v>
      </c>
      <c r="I104" s="9">
        <v>0.0</v>
      </c>
      <c r="J104" s="17">
        <v>17313.0</v>
      </c>
      <c r="K104" s="18">
        <v>14648.0</v>
      </c>
      <c r="L104" s="17">
        <v>17134.0</v>
      </c>
      <c r="M104" s="18">
        <v>17134.0</v>
      </c>
      <c r="N104" s="18">
        <v>0.0</v>
      </c>
      <c r="O104" s="18">
        <v>3.617</v>
      </c>
    </row>
    <row r="105">
      <c r="A105" s="8" t="s">
        <v>472</v>
      </c>
      <c r="B105" s="9">
        <v>25.0</v>
      </c>
      <c r="C105" s="9" t="s">
        <v>460</v>
      </c>
      <c r="D105" s="9">
        <v>25.0</v>
      </c>
      <c r="E105" s="10">
        <v>2.0</v>
      </c>
      <c r="F105" s="9">
        <v>3.0</v>
      </c>
      <c r="G105" s="9">
        <v>1.0</v>
      </c>
      <c r="H105" s="9">
        <v>0.0</v>
      </c>
      <c r="I105" s="9">
        <v>0.0</v>
      </c>
      <c r="J105" s="17">
        <v>16325.0</v>
      </c>
      <c r="K105" s="18">
        <v>14204.9</v>
      </c>
      <c r="L105" s="17">
        <v>15104.0</v>
      </c>
      <c r="M105" s="18">
        <v>15104.0</v>
      </c>
      <c r="N105" s="18">
        <v>0.0</v>
      </c>
      <c r="O105" s="18">
        <v>27.136</v>
      </c>
    </row>
    <row r="106">
      <c r="A106" s="8" t="s">
        <v>473</v>
      </c>
      <c r="B106" s="9">
        <v>25.0</v>
      </c>
      <c r="C106" s="9" t="s">
        <v>460</v>
      </c>
      <c r="D106" s="9">
        <v>25.0</v>
      </c>
      <c r="E106" s="10">
        <v>2.0</v>
      </c>
      <c r="F106" s="9">
        <v>4.0</v>
      </c>
      <c r="G106" s="9">
        <v>1.0</v>
      </c>
      <c r="H106" s="9">
        <v>0.0</v>
      </c>
      <c r="I106" s="9">
        <v>0.0</v>
      </c>
      <c r="J106" s="17">
        <v>17606.0</v>
      </c>
      <c r="K106" s="18">
        <v>15628.6</v>
      </c>
      <c r="L106" s="17">
        <v>16247.0</v>
      </c>
      <c r="M106" s="18">
        <v>16247.0</v>
      </c>
      <c r="N106" s="18">
        <v>0.0</v>
      </c>
      <c r="O106" s="18">
        <v>28.3</v>
      </c>
    </row>
    <row r="107">
      <c r="A107" s="8" t="s">
        <v>474</v>
      </c>
      <c r="B107" s="9">
        <v>25.0</v>
      </c>
      <c r="C107" s="9" t="s">
        <v>460</v>
      </c>
      <c r="D107" s="9">
        <v>25.0</v>
      </c>
      <c r="E107" s="10">
        <v>2.0</v>
      </c>
      <c r="F107" s="9">
        <v>5.0</v>
      </c>
      <c r="G107" s="9">
        <v>1.0</v>
      </c>
      <c r="H107" s="9">
        <v>0.0</v>
      </c>
      <c r="I107" s="9">
        <v>0.0</v>
      </c>
      <c r="J107" s="17">
        <v>20901.0</v>
      </c>
      <c r="K107" s="18">
        <v>18212.5</v>
      </c>
      <c r="L107" s="17">
        <v>19127.0</v>
      </c>
      <c r="M107" s="18">
        <v>19127.0</v>
      </c>
      <c r="N107" s="18">
        <v>0.0</v>
      </c>
      <c r="O107" s="18">
        <v>41.171</v>
      </c>
    </row>
    <row r="108">
      <c r="A108" s="8" t="s">
        <v>475</v>
      </c>
      <c r="B108" s="9">
        <v>25.0</v>
      </c>
      <c r="C108" s="9" t="s">
        <v>460</v>
      </c>
      <c r="D108" s="9">
        <v>50.0</v>
      </c>
      <c r="E108" s="10">
        <v>0.6</v>
      </c>
      <c r="F108" s="9">
        <v>1.0</v>
      </c>
      <c r="G108" s="9">
        <v>1.0</v>
      </c>
      <c r="H108" s="9">
        <v>0.0</v>
      </c>
      <c r="I108" s="9">
        <v>0.0</v>
      </c>
      <c r="J108" s="17">
        <v>-2673.0</v>
      </c>
      <c r="K108" s="18">
        <v>-6526.35</v>
      </c>
      <c r="L108" s="17">
        <v>-3641.0</v>
      </c>
      <c r="M108" s="18">
        <v>-3641.0</v>
      </c>
      <c r="N108" s="18">
        <v>0.0</v>
      </c>
      <c r="O108" s="18">
        <v>1448.53</v>
      </c>
    </row>
    <row r="109">
      <c r="A109" s="8" t="s">
        <v>476</v>
      </c>
      <c r="B109" s="9">
        <v>25.0</v>
      </c>
      <c r="C109" s="9" t="s">
        <v>460</v>
      </c>
      <c r="D109" s="9">
        <v>50.0</v>
      </c>
      <c r="E109" s="10">
        <v>0.6</v>
      </c>
      <c r="F109" s="9">
        <v>2.0</v>
      </c>
      <c r="G109" s="9">
        <v>1.0</v>
      </c>
      <c r="H109" s="9">
        <v>0.0</v>
      </c>
      <c r="I109" s="9">
        <v>0.0</v>
      </c>
      <c r="J109" s="17">
        <v>-2241.0</v>
      </c>
      <c r="K109" s="18">
        <v>-6184.06</v>
      </c>
      <c r="L109" s="17">
        <v>-3462.0</v>
      </c>
      <c r="M109" s="18">
        <v>-3462.0</v>
      </c>
      <c r="N109" s="18">
        <v>0.0</v>
      </c>
      <c r="O109" s="18">
        <v>371.149</v>
      </c>
    </row>
    <row r="110">
      <c r="A110" s="8" t="s">
        <v>477</v>
      </c>
      <c r="B110" s="9">
        <v>25.0</v>
      </c>
      <c r="C110" s="9" t="s">
        <v>460</v>
      </c>
      <c r="D110" s="9">
        <v>50.0</v>
      </c>
      <c r="E110" s="10">
        <v>0.6</v>
      </c>
      <c r="F110" s="9">
        <v>3.0</v>
      </c>
      <c r="G110" s="9">
        <v>1.0</v>
      </c>
      <c r="H110" s="9">
        <v>0.0</v>
      </c>
      <c r="I110" s="9">
        <v>0.0</v>
      </c>
      <c r="J110" s="17">
        <v>-2065.0</v>
      </c>
      <c r="K110" s="18">
        <v>-5995.89</v>
      </c>
      <c r="L110" s="17">
        <v>-3379.0</v>
      </c>
      <c r="M110" s="18">
        <v>-3379.0</v>
      </c>
      <c r="N110" s="18">
        <v>0.0</v>
      </c>
      <c r="O110" s="18">
        <v>538.108</v>
      </c>
    </row>
    <row r="111">
      <c r="A111" s="8" t="s">
        <v>478</v>
      </c>
      <c r="B111" s="9">
        <v>25.0</v>
      </c>
      <c r="C111" s="9" t="s">
        <v>460</v>
      </c>
      <c r="D111" s="9">
        <v>50.0</v>
      </c>
      <c r="E111" s="10">
        <v>0.6</v>
      </c>
      <c r="F111" s="9">
        <v>4.0</v>
      </c>
      <c r="G111" s="9">
        <v>1.0</v>
      </c>
      <c r="H111" s="9">
        <v>0.0</v>
      </c>
      <c r="I111" s="9">
        <v>0.0</v>
      </c>
      <c r="J111" s="17">
        <v>-2184.0</v>
      </c>
      <c r="K111" s="18">
        <v>-6527.68</v>
      </c>
      <c r="L111" s="17">
        <v>-3528.0</v>
      </c>
      <c r="M111" s="18">
        <v>-3528.0</v>
      </c>
      <c r="N111" s="18">
        <v>0.0</v>
      </c>
      <c r="O111" s="18">
        <v>2683.06</v>
      </c>
    </row>
    <row r="112">
      <c r="A112" s="8" t="s">
        <v>479</v>
      </c>
      <c r="B112" s="9">
        <v>25.0</v>
      </c>
      <c r="C112" s="9" t="s">
        <v>460</v>
      </c>
      <c r="D112" s="9">
        <v>50.0</v>
      </c>
      <c r="E112" s="10">
        <v>0.6</v>
      </c>
      <c r="F112" s="9">
        <v>5.0</v>
      </c>
      <c r="G112" s="9">
        <v>1.0</v>
      </c>
      <c r="H112" s="9">
        <v>0.0</v>
      </c>
      <c r="I112" s="9">
        <v>0.0</v>
      </c>
      <c r="J112" s="17">
        <v>-2368.0</v>
      </c>
      <c r="K112" s="18">
        <v>-6845.32</v>
      </c>
      <c r="L112" s="17">
        <v>-3548.0</v>
      </c>
      <c r="M112" s="18">
        <v>-3548.0</v>
      </c>
      <c r="N112" s="18">
        <v>0.0</v>
      </c>
      <c r="O112" s="18">
        <v>2199.09</v>
      </c>
    </row>
    <row r="113">
      <c r="A113" s="8" t="s">
        <v>480</v>
      </c>
      <c r="B113" s="9">
        <v>25.0</v>
      </c>
      <c r="C113" s="9" t="s">
        <v>460</v>
      </c>
      <c r="D113" s="9">
        <v>50.0</v>
      </c>
      <c r="E113" s="10">
        <v>1.0</v>
      </c>
      <c r="F113" s="9">
        <v>1.0</v>
      </c>
      <c r="G113" s="9">
        <v>0.0</v>
      </c>
      <c r="H113" s="9">
        <v>1.0</v>
      </c>
      <c r="I113" s="9">
        <v>0.0</v>
      </c>
      <c r="J113" s="17">
        <v>1207.0</v>
      </c>
      <c r="K113" s="18">
        <v>-3140.1</v>
      </c>
      <c r="L113" s="17">
        <v>39.0</v>
      </c>
      <c r="M113" s="18">
        <v>-742.556</v>
      </c>
      <c r="N113" s="18">
        <v>2003.99</v>
      </c>
      <c r="O113" s="18">
        <v>3600.0</v>
      </c>
    </row>
    <row r="114">
      <c r="A114" s="8" t="s">
        <v>481</v>
      </c>
      <c r="B114" s="9">
        <v>25.0</v>
      </c>
      <c r="C114" s="9" t="s">
        <v>460</v>
      </c>
      <c r="D114" s="9">
        <v>50.0</v>
      </c>
      <c r="E114" s="10">
        <v>1.0</v>
      </c>
      <c r="F114" s="9">
        <v>2.0</v>
      </c>
      <c r="G114" s="9">
        <v>0.0</v>
      </c>
      <c r="H114" s="9">
        <v>1.0</v>
      </c>
      <c r="I114" s="9">
        <v>0.0</v>
      </c>
      <c r="J114" s="17">
        <v>977.0</v>
      </c>
      <c r="K114" s="18">
        <v>-2822.65</v>
      </c>
      <c r="L114" s="17">
        <v>11.0</v>
      </c>
      <c r="M114" s="18">
        <v>-250.501</v>
      </c>
      <c r="N114" s="18">
        <v>2377.28</v>
      </c>
      <c r="O114" s="18">
        <v>3600.0</v>
      </c>
    </row>
    <row r="115">
      <c r="A115" s="8" t="s">
        <v>482</v>
      </c>
      <c r="B115" s="9">
        <v>25.0</v>
      </c>
      <c r="C115" s="9" t="s">
        <v>460</v>
      </c>
      <c r="D115" s="9">
        <v>50.0</v>
      </c>
      <c r="E115" s="10">
        <v>1.0</v>
      </c>
      <c r="F115" s="9">
        <v>3.0</v>
      </c>
      <c r="G115" s="9">
        <v>0.0</v>
      </c>
      <c r="H115" s="9">
        <v>1.0</v>
      </c>
      <c r="I115" s="9">
        <v>0.0</v>
      </c>
      <c r="J115" s="17">
        <v>1654.0</v>
      </c>
      <c r="K115" s="18">
        <v>-2928.46</v>
      </c>
      <c r="L115" s="17">
        <v>237.0</v>
      </c>
      <c r="M115" s="18">
        <v>-973.026</v>
      </c>
      <c r="N115" s="18">
        <v>510.56</v>
      </c>
      <c r="O115" s="18">
        <v>3600.0</v>
      </c>
    </row>
    <row r="116">
      <c r="A116" s="8" t="s">
        <v>483</v>
      </c>
      <c r="B116" s="9">
        <v>25.0</v>
      </c>
      <c r="C116" s="9" t="s">
        <v>460</v>
      </c>
      <c r="D116" s="9">
        <v>50.0</v>
      </c>
      <c r="E116" s="10">
        <v>1.0</v>
      </c>
      <c r="F116" s="9">
        <v>4.0</v>
      </c>
      <c r="G116" s="9">
        <v>0.0</v>
      </c>
      <c r="H116" s="9">
        <v>1.0</v>
      </c>
      <c r="I116" s="9">
        <v>0.0</v>
      </c>
      <c r="J116" s="17">
        <v>1505.0</v>
      </c>
      <c r="K116" s="18">
        <v>-3214.54</v>
      </c>
      <c r="L116" s="17">
        <v>463.0</v>
      </c>
      <c r="M116" s="18">
        <v>-1212.29</v>
      </c>
      <c r="N116" s="18">
        <v>361.833</v>
      </c>
      <c r="O116" s="18">
        <v>3600.0</v>
      </c>
    </row>
    <row r="117">
      <c r="A117" s="8" t="s">
        <v>484</v>
      </c>
      <c r="B117" s="9">
        <v>25.0</v>
      </c>
      <c r="C117" s="9" t="s">
        <v>460</v>
      </c>
      <c r="D117" s="9">
        <v>50.0</v>
      </c>
      <c r="E117" s="10">
        <v>1.0</v>
      </c>
      <c r="F117" s="9">
        <v>5.0</v>
      </c>
      <c r="G117" s="9">
        <v>0.0</v>
      </c>
      <c r="H117" s="9">
        <v>1.0</v>
      </c>
      <c r="I117" s="9">
        <v>0.0</v>
      </c>
      <c r="J117" s="17">
        <v>1487.0</v>
      </c>
      <c r="K117" s="18">
        <v>-3630.06</v>
      </c>
      <c r="L117" s="17">
        <v>159.0</v>
      </c>
      <c r="M117" s="18">
        <v>-1076.99</v>
      </c>
      <c r="N117" s="18">
        <v>777.351</v>
      </c>
      <c r="O117" s="18">
        <v>3600.0</v>
      </c>
    </row>
    <row r="118">
      <c r="A118" s="8" t="s">
        <v>485</v>
      </c>
      <c r="B118" s="9">
        <v>25.0</v>
      </c>
      <c r="C118" s="9" t="s">
        <v>460</v>
      </c>
      <c r="D118" s="9">
        <v>50.0</v>
      </c>
      <c r="E118" s="10">
        <v>2.0</v>
      </c>
      <c r="F118" s="9">
        <v>1.0</v>
      </c>
      <c r="G118" s="9">
        <v>1.0</v>
      </c>
      <c r="H118" s="9">
        <v>0.0</v>
      </c>
      <c r="I118" s="9">
        <v>0.0</v>
      </c>
      <c r="J118" s="17">
        <v>39773.0</v>
      </c>
      <c r="K118" s="18">
        <v>34064.9</v>
      </c>
      <c r="L118" s="17">
        <v>36116.0</v>
      </c>
      <c r="M118" s="18">
        <v>36116.0</v>
      </c>
      <c r="N118" s="18">
        <v>0.0</v>
      </c>
      <c r="O118" s="18">
        <v>49.377</v>
      </c>
    </row>
    <row r="119">
      <c r="A119" s="8" t="s">
        <v>486</v>
      </c>
      <c r="B119" s="9">
        <v>25.0</v>
      </c>
      <c r="C119" s="9" t="s">
        <v>460</v>
      </c>
      <c r="D119" s="9">
        <v>50.0</v>
      </c>
      <c r="E119" s="10">
        <v>2.0</v>
      </c>
      <c r="F119" s="9">
        <v>2.0</v>
      </c>
      <c r="G119" s="9">
        <v>1.0</v>
      </c>
      <c r="H119" s="9">
        <v>0.0</v>
      </c>
      <c r="I119" s="9">
        <v>0.0</v>
      </c>
      <c r="J119" s="17">
        <v>38308.0</v>
      </c>
      <c r="K119" s="18">
        <v>33831.7</v>
      </c>
      <c r="L119" s="17">
        <v>37996.0</v>
      </c>
      <c r="M119" s="18">
        <v>37996.0</v>
      </c>
      <c r="N119" s="18">
        <v>0.0</v>
      </c>
      <c r="O119" s="18">
        <v>114.797</v>
      </c>
    </row>
    <row r="120">
      <c r="A120" s="8" t="s">
        <v>487</v>
      </c>
      <c r="B120" s="9">
        <v>25.0</v>
      </c>
      <c r="C120" s="9" t="s">
        <v>460</v>
      </c>
      <c r="D120" s="9">
        <v>50.0</v>
      </c>
      <c r="E120" s="10">
        <v>2.0</v>
      </c>
      <c r="F120" s="9">
        <v>3.0</v>
      </c>
      <c r="G120" s="9">
        <v>0.0</v>
      </c>
      <c r="H120" s="9">
        <v>1.0</v>
      </c>
      <c r="I120" s="9">
        <v>0.0</v>
      </c>
      <c r="J120" s="17">
        <v>36026.0</v>
      </c>
      <c r="K120" s="18">
        <v>31014.1</v>
      </c>
      <c r="L120" s="17">
        <v>35467.0</v>
      </c>
      <c r="M120" s="18">
        <v>33145.9</v>
      </c>
      <c r="N120" s="18">
        <v>6.54435</v>
      </c>
      <c r="O120" s="18">
        <v>3600.0</v>
      </c>
    </row>
    <row r="121">
      <c r="A121" s="8" t="s">
        <v>488</v>
      </c>
      <c r="B121" s="9">
        <v>25.0</v>
      </c>
      <c r="C121" s="9" t="s">
        <v>460</v>
      </c>
      <c r="D121" s="9">
        <v>50.0</v>
      </c>
      <c r="E121" s="10">
        <v>2.0</v>
      </c>
      <c r="F121" s="9">
        <v>4.0</v>
      </c>
      <c r="G121" s="9">
        <v>0.0</v>
      </c>
      <c r="H121" s="9">
        <v>1.0</v>
      </c>
      <c r="I121" s="9">
        <v>0.0</v>
      </c>
      <c r="J121" s="17">
        <v>38967.0</v>
      </c>
      <c r="K121" s="18">
        <v>34109.3</v>
      </c>
      <c r="L121" s="17">
        <v>38535.0</v>
      </c>
      <c r="M121" s="18">
        <v>37654.8</v>
      </c>
      <c r="N121" s="18">
        <v>2.28404</v>
      </c>
      <c r="O121" s="18">
        <v>3600.0</v>
      </c>
    </row>
    <row r="122">
      <c r="A122" s="8" t="s">
        <v>489</v>
      </c>
      <c r="B122" s="9">
        <v>25.0</v>
      </c>
      <c r="C122" s="9" t="s">
        <v>460</v>
      </c>
      <c r="D122" s="9">
        <v>50.0</v>
      </c>
      <c r="E122" s="10">
        <v>2.0</v>
      </c>
      <c r="F122" s="9">
        <v>5.0</v>
      </c>
      <c r="G122" s="9">
        <v>1.0</v>
      </c>
      <c r="H122" s="9">
        <v>0.0</v>
      </c>
      <c r="I122" s="9">
        <v>0.0</v>
      </c>
      <c r="J122" s="17">
        <v>39556.0</v>
      </c>
      <c r="K122" s="18">
        <v>33440.4</v>
      </c>
      <c r="L122" s="17">
        <v>35714.0</v>
      </c>
      <c r="M122" s="18">
        <v>35714.0</v>
      </c>
      <c r="N122" s="18">
        <v>0.0</v>
      </c>
      <c r="O122" s="18">
        <v>68.753</v>
      </c>
    </row>
    <row r="123">
      <c r="A123" s="8" t="s">
        <v>490</v>
      </c>
      <c r="B123" s="9">
        <v>25.0</v>
      </c>
      <c r="C123" s="9" t="s">
        <v>460</v>
      </c>
      <c r="D123" s="9">
        <v>75.0</v>
      </c>
      <c r="E123" s="10">
        <v>0.6</v>
      </c>
      <c r="F123" s="9">
        <v>1.0</v>
      </c>
      <c r="G123" s="9">
        <v>0.0</v>
      </c>
      <c r="H123" s="9">
        <v>1.0</v>
      </c>
      <c r="I123" s="9">
        <v>0.0</v>
      </c>
      <c r="J123" s="17">
        <v>-3095.0</v>
      </c>
      <c r="K123" s="18">
        <v>-9231.55</v>
      </c>
      <c r="L123" s="17">
        <v>-4254.0</v>
      </c>
      <c r="M123" s="18">
        <v>-5319.19</v>
      </c>
      <c r="N123" s="18">
        <v>25.0398</v>
      </c>
      <c r="O123" s="18">
        <v>3600.0</v>
      </c>
    </row>
    <row r="124">
      <c r="A124" s="8" t="s">
        <v>491</v>
      </c>
      <c r="B124" s="9">
        <v>25.0</v>
      </c>
      <c r="C124" s="9" t="s">
        <v>460</v>
      </c>
      <c r="D124" s="9">
        <v>75.0</v>
      </c>
      <c r="E124" s="10">
        <v>0.6</v>
      </c>
      <c r="F124" s="9">
        <v>2.0</v>
      </c>
      <c r="G124" s="9">
        <v>0.0</v>
      </c>
      <c r="H124" s="9">
        <v>1.0</v>
      </c>
      <c r="I124" s="9">
        <v>0.0</v>
      </c>
      <c r="J124" s="17">
        <v>-3158.0</v>
      </c>
      <c r="K124" s="18">
        <v>-8941.9</v>
      </c>
      <c r="L124" s="17">
        <v>-4443.0</v>
      </c>
      <c r="M124" s="18">
        <v>-4931.46</v>
      </c>
      <c r="N124" s="18">
        <v>10.9939</v>
      </c>
      <c r="O124" s="18">
        <v>3600.0</v>
      </c>
    </row>
    <row r="125">
      <c r="A125" s="8" t="s">
        <v>492</v>
      </c>
      <c r="B125" s="9">
        <v>25.0</v>
      </c>
      <c r="C125" s="9" t="s">
        <v>460</v>
      </c>
      <c r="D125" s="9">
        <v>75.0</v>
      </c>
      <c r="E125" s="10">
        <v>0.6</v>
      </c>
      <c r="F125" s="9">
        <v>3.0</v>
      </c>
      <c r="G125" s="9">
        <v>0.0</v>
      </c>
      <c r="H125" s="9">
        <v>1.0</v>
      </c>
      <c r="I125" s="9">
        <v>0.0</v>
      </c>
      <c r="J125" s="17">
        <v>-3140.0</v>
      </c>
      <c r="K125" s="18">
        <v>-9283.05</v>
      </c>
      <c r="L125" s="17">
        <v>-4101.0</v>
      </c>
      <c r="M125" s="18">
        <v>-5207.17</v>
      </c>
      <c r="N125" s="18">
        <v>26.9731</v>
      </c>
      <c r="O125" s="18">
        <v>3600.0</v>
      </c>
    </row>
    <row r="126">
      <c r="A126" s="8" t="s">
        <v>493</v>
      </c>
      <c r="B126" s="9">
        <v>25.0</v>
      </c>
      <c r="C126" s="9" t="s">
        <v>460</v>
      </c>
      <c r="D126" s="9">
        <v>75.0</v>
      </c>
      <c r="E126" s="10">
        <v>0.6</v>
      </c>
      <c r="F126" s="9">
        <v>4.0</v>
      </c>
      <c r="G126" s="9">
        <v>0.0</v>
      </c>
      <c r="H126" s="9">
        <v>1.0</v>
      </c>
      <c r="I126" s="9">
        <v>0.0</v>
      </c>
      <c r="J126" s="17">
        <v>-3226.0</v>
      </c>
      <c r="K126" s="18">
        <v>-9971.44</v>
      </c>
      <c r="L126" s="17">
        <v>-4719.0</v>
      </c>
      <c r="M126" s="18">
        <v>-5859.38</v>
      </c>
      <c r="N126" s="18">
        <v>24.1658</v>
      </c>
      <c r="O126" s="18">
        <v>3600.0</v>
      </c>
    </row>
    <row r="127">
      <c r="A127" s="8" t="s">
        <v>494</v>
      </c>
      <c r="B127" s="9">
        <v>25.0</v>
      </c>
      <c r="C127" s="9" t="s">
        <v>460</v>
      </c>
      <c r="D127" s="9">
        <v>75.0</v>
      </c>
      <c r="E127" s="10">
        <v>0.6</v>
      </c>
      <c r="F127" s="9">
        <v>5.0</v>
      </c>
      <c r="G127" s="9">
        <v>0.0</v>
      </c>
      <c r="H127" s="9">
        <v>1.0</v>
      </c>
      <c r="I127" s="9">
        <v>0.0</v>
      </c>
      <c r="J127" s="17">
        <v>-3265.0</v>
      </c>
      <c r="K127" s="18">
        <v>-9167.97</v>
      </c>
      <c r="L127" s="17">
        <v>-4479.0</v>
      </c>
      <c r="M127" s="18">
        <v>-5088.98</v>
      </c>
      <c r="N127" s="18">
        <v>13.6186</v>
      </c>
      <c r="O127" s="18">
        <v>3600.0</v>
      </c>
    </row>
    <row r="128">
      <c r="A128" s="8" t="s">
        <v>495</v>
      </c>
      <c r="B128" s="9">
        <v>25.0</v>
      </c>
      <c r="C128" s="9" t="s">
        <v>460</v>
      </c>
      <c r="D128" s="9">
        <v>75.0</v>
      </c>
      <c r="E128" s="10">
        <v>1.0</v>
      </c>
      <c r="F128" s="9">
        <v>1.0</v>
      </c>
      <c r="G128" s="9">
        <v>0.0</v>
      </c>
      <c r="H128" s="9">
        <v>1.0</v>
      </c>
      <c r="I128" s="9">
        <v>0.0</v>
      </c>
      <c r="J128" s="17">
        <v>2234.0</v>
      </c>
      <c r="K128" s="18">
        <v>-4532.06</v>
      </c>
      <c r="L128" s="17">
        <v>988.0</v>
      </c>
      <c r="M128" s="18">
        <v>-1621.11</v>
      </c>
      <c r="N128" s="18">
        <v>264.08</v>
      </c>
      <c r="O128" s="18">
        <v>3600.0</v>
      </c>
    </row>
    <row r="129">
      <c r="A129" s="8" t="s">
        <v>496</v>
      </c>
      <c r="B129" s="9">
        <v>25.0</v>
      </c>
      <c r="C129" s="9" t="s">
        <v>460</v>
      </c>
      <c r="D129" s="9">
        <v>75.0</v>
      </c>
      <c r="E129" s="10">
        <v>1.0</v>
      </c>
      <c r="F129" s="9">
        <v>2.0</v>
      </c>
      <c r="G129" s="9">
        <v>0.0</v>
      </c>
      <c r="H129" s="9">
        <v>1.0</v>
      </c>
      <c r="I129" s="9">
        <v>0.0</v>
      </c>
      <c r="J129" s="17">
        <v>1913.0</v>
      </c>
      <c r="K129" s="18">
        <v>-4316.75</v>
      </c>
      <c r="L129" s="17">
        <v>742.0</v>
      </c>
      <c r="M129" s="18">
        <v>-1662.22</v>
      </c>
      <c r="N129" s="18">
        <v>324.019</v>
      </c>
      <c r="O129" s="18">
        <v>3600.0</v>
      </c>
    </row>
    <row r="130">
      <c r="A130" s="8" t="s">
        <v>497</v>
      </c>
      <c r="B130" s="9">
        <v>25.0</v>
      </c>
      <c r="C130" s="9" t="s">
        <v>460</v>
      </c>
      <c r="D130" s="9">
        <v>75.0</v>
      </c>
      <c r="E130" s="10">
        <v>1.0</v>
      </c>
      <c r="F130" s="9">
        <v>3.0</v>
      </c>
      <c r="G130" s="9">
        <v>0.0</v>
      </c>
      <c r="H130" s="9">
        <v>1.0</v>
      </c>
      <c r="I130" s="9">
        <v>0.0</v>
      </c>
      <c r="J130" s="17">
        <v>2581.0</v>
      </c>
      <c r="K130" s="18">
        <v>-4630.87</v>
      </c>
      <c r="L130" s="17">
        <v>860.0</v>
      </c>
      <c r="M130" s="18">
        <v>-1411.03</v>
      </c>
      <c r="N130" s="18">
        <v>264.074</v>
      </c>
      <c r="O130" s="18">
        <v>3600.0</v>
      </c>
    </row>
    <row r="131">
      <c r="A131" s="8" t="s">
        <v>498</v>
      </c>
      <c r="B131" s="9">
        <v>25.0</v>
      </c>
      <c r="C131" s="9" t="s">
        <v>460</v>
      </c>
      <c r="D131" s="9">
        <v>75.0</v>
      </c>
      <c r="E131" s="10">
        <v>1.0</v>
      </c>
      <c r="F131" s="9">
        <v>4.0</v>
      </c>
      <c r="G131" s="9">
        <v>0.0</v>
      </c>
      <c r="H131" s="9">
        <v>1.0</v>
      </c>
      <c r="I131" s="9">
        <v>0.0</v>
      </c>
      <c r="J131" s="17">
        <v>2119.0</v>
      </c>
      <c r="K131" s="18">
        <v>-4854.98</v>
      </c>
      <c r="L131" s="17">
        <v>1198.0</v>
      </c>
      <c r="M131" s="18">
        <v>-2005.25</v>
      </c>
      <c r="N131" s="18">
        <v>267.383</v>
      </c>
      <c r="O131" s="18">
        <v>3600.0</v>
      </c>
    </row>
    <row r="132">
      <c r="A132" s="8" t="s">
        <v>499</v>
      </c>
      <c r="B132" s="9">
        <v>25.0</v>
      </c>
      <c r="C132" s="9" t="s">
        <v>460</v>
      </c>
      <c r="D132" s="9">
        <v>75.0</v>
      </c>
      <c r="E132" s="10">
        <v>1.0</v>
      </c>
      <c r="F132" s="9">
        <v>5.0</v>
      </c>
      <c r="G132" s="9">
        <v>0.0</v>
      </c>
      <c r="H132" s="9">
        <v>1.0</v>
      </c>
      <c r="I132" s="9">
        <v>0.0</v>
      </c>
      <c r="J132" s="17">
        <v>2143.0</v>
      </c>
      <c r="K132" s="18">
        <v>-4409.94</v>
      </c>
      <c r="L132" s="17">
        <v>745.0</v>
      </c>
      <c r="M132" s="18">
        <v>-1433.71</v>
      </c>
      <c r="N132" s="18">
        <v>292.444</v>
      </c>
      <c r="O132" s="18">
        <v>3600.0</v>
      </c>
    </row>
    <row r="133">
      <c r="A133" s="8" t="s">
        <v>500</v>
      </c>
      <c r="B133" s="9">
        <v>25.0</v>
      </c>
      <c r="C133" s="9" t="s">
        <v>460</v>
      </c>
      <c r="D133" s="9">
        <v>75.0</v>
      </c>
      <c r="E133" s="10">
        <v>2.0</v>
      </c>
      <c r="F133" s="9">
        <v>1.0</v>
      </c>
      <c r="G133" s="9">
        <v>1.0</v>
      </c>
      <c r="H133" s="9">
        <v>0.0</v>
      </c>
      <c r="I133" s="9">
        <v>0.0</v>
      </c>
      <c r="J133" s="17">
        <v>55007.0</v>
      </c>
      <c r="K133" s="18">
        <v>47653.5</v>
      </c>
      <c r="L133" s="17">
        <v>54898.0</v>
      </c>
      <c r="M133" s="18">
        <v>54898.0</v>
      </c>
      <c r="N133" s="18">
        <v>0.0</v>
      </c>
      <c r="O133" s="18">
        <v>559.605</v>
      </c>
    </row>
    <row r="134">
      <c r="A134" s="8" t="s">
        <v>501</v>
      </c>
      <c r="B134" s="9">
        <v>25.0</v>
      </c>
      <c r="C134" s="9" t="s">
        <v>460</v>
      </c>
      <c r="D134" s="9">
        <v>75.0</v>
      </c>
      <c r="E134" s="10">
        <v>2.0</v>
      </c>
      <c r="F134" s="9">
        <v>2.0</v>
      </c>
      <c r="G134" s="9">
        <v>0.0</v>
      </c>
      <c r="H134" s="9">
        <v>1.0</v>
      </c>
      <c r="I134" s="9">
        <v>0.0</v>
      </c>
      <c r="J134" s="17">
        <v>60668.0</v>
      </c>
      <c r="K134" s="18">
        <v>47686.9</v>
      </c>
      <c r="L134" s="17">
        <v>54977.0</v>
      </c>
      <c r="M134" s="18">
        <v>52041.7</v>
      </c>
      <c r="N134" s="18">
        <v>5.33922</v>
      </c>
      <c r="O134" s="18">
        <v>3600.0</v>
      </c>
    </row>
    <row r="135">
      <c r="A135" s="8" t="s">
        <v>502</v>
      </c>
      <c r="B135" s="9">
        <v>25.0</v>
      </c>
      <c r="C135" s="9" t="s">
        <v>460</v>
      </c>
      <c r="D135" s="9">
        <v>75.0</v>
      </c>
      <c r="E135" s="10">
        <v>2.0</v>
      </c>
      <c r="F135" s="9">
        <v>3.0</v>
      </c>
      <c r="G135" s="9">
        <v>1.0</v>
      </c>
      <c r="H135" s="9">
        <v>0.0</v>
      </c>
      <c r="I135" s="9">
        <v>0.0</v>
      </c>
      <c r="J135" s="17">
        <v>55788.0</v>
      </c>
      <c r="K135" s="18">
        <v>48683.8</v>
      </c>
      <c r="L135" s="17">
        <v>55574.0</v>
      </c>
      <c r="M135" s="18">
        <v>55574.0</v>
      </c>
      <c r="N135" s="18">
        <v>0.0</v>
      </c>
      <c r="O135" s="18">
        <v>1326.82</v>
      </c>
    </row>
    <row r="136">
      <c r="A136" s="8" t="s">
        <v>503</v>
      </c>
      <c r="B136" s="9">
        <v>25.0</v>
      </c>
      <c r="C136" s="9" t="s">
        <v>460</v>
      </c>
      <c r="D136" s="9">
        <v>75.0</v>
      </c>
      <c r="E136" s="10">
        <v>2.0</v>
      </c>
      <c r="F136" s="9">
        <v>4.0</v>
      </c>
      <c r="G136" s="9">
        <v>0.0</v>
      </c>
      <c r="H136" s="9">
        <v>1.0</v>
      </c>
      <c r="I136" s="9">
        <v>0.0</v>
      </c>
      <c r="J136" s="17">
        <v>61709.0</v>
      </c>
      <c r="K136" s="18">
        <v>54063.9</v>
      </c>
      <c r="L136" s="17">
        <v>61230.0</v>
      </c>
      <c r="M136" s="18">
        <v>56375.2</v>
      </c>
      <c r="N136" s="18">
        <v>7.92883</v>
      </c>
      <c r="O136" s="18">
        <v>3600.0</v>
      </c>
    </row>
    <row r="137">
      <c r="A137" s="8" t="s">
        <v>504</v>
      </c>
      <c r="B137" s="9">
        <v>25.0</v>
      </c>
      <c r="C137" s="9" t="s">
        <v>460</v>
      </c>
      <c r="D137" s="9">
        <v>75.0</v>
      </c>
      <c r="E137" s="10">
        <v>2.0</v>
      </c>
      <c r="F137" s="9">
        <v>5.0</v>
      </c>
      <c r="G137" s="9">
        <v>1.0</v>
      </c>
      <c r="H137" s="9">
        <v>0.0</v>
      </c>
      <c r="I137" s="9">
        <v>0.0</v>
      </c>
      <c r="J137" s="17">
        <v>57031.0</v>
      </c>
      <c r="K137" s="18">
        <v>49509.6</v>
      </c>
      <c r="L137" s="17">
        <v>56606.0</v>
      </c>
      <c r="M137" s="18">
        <v>56606.0</v>
      </c>
      <c r="N137" s="18">
        <v>0.0</v>
      </c>
      <c r="O137" s="18">
        <v>2397.05</v>
      </c>
    </row>
    <row r="138">
      <c r="A138" s="4"/>
      <c r="B138" s="19"/>
      <c r="C138" s="19"/>
      <c r="D138" s="19"/>
      <c r="E138" s="15"/>
      <c r="F138" s="19"/>
      <c r="G138" s="19"/>
      <c r="H138" s="19"/>
      <c r="I138" s="19"/>
      <c r="J138" s="20"/>
      <c r="K138" s="13"/>
      <c r="L138" s="12"/>
      <c r="M138" s="13"/>
      <c r="N138" s="13"/>
      <c r="O138" s="13"/>
    </row>
    <row r="139">
      <c r="B139" s="19"/>
      <c r="C139" s="19"/>
      <c r="D139" s="19"/>
      <c r="E139" s="15"/>
      <c r="F139" s="11"/>
      <c r="G139" s="11"/>
      <c r="H139" s="11"/>
      <c r="I139" s="19"/>
      <c r="J139" s="20"/>
      <c r="K139" s="13"/>
      <c r="L139" s="12"/>
      <c r="M139" s="13"/>
      <c r="N139" s="13"/>
      <c r="O139" s="13"/>
    </row>
    <row r="140">
      <c r="B140" s="11"/>
      <c r="C140" s="11"/>
      <c r="D140" s="11"/>
      <c r="E140" s="15"/>
      <c r="F140" s="11"/>
      <c r="G140" s="11"/>
      <c r="H140" s="11"/>
      <c r="I140" s="11"/>
      <c r="J140" s="12"/>
      <c r="K140" s="13"/>
      <c r="L140" s="12"/>
      <c r="M140" s="13"/>
      <c r="N140" s="13"/>
      <c r="O140" s="13"/>
    </row>
    <row r="141">
      <c r="B141" s="11"/>
      <c r="C141" s="11"/>
      <c r="D141" s="11"/>
      <c r="E141" s="15"/>
      <c r="F141" s="11"/>
      <c r="G141" s="11"/>
      <c r="H141" s="11"/>
      <c r="I141" s="11"/>
      <c r="J141" s="12"/>
      <c r="K141" s="13"/>
      <c r="L141" s="12"/>
      <c r="M141" s="13"/>
      <c r="N141" s="13"/>
      <c r="O141" s="13"/>
    </row>
    <row r="142">
      <c r="B142" s="11"/>
      <c r="C142" s="11"/>
      <c r="D142" s="11"/>
      <c r="E142" s="15"/>
      <c r="F142" s="11"/>
      <c r="G142" s="11"/>
      <c r="H142" s="11"/>
      <c r="I142" s="11"/>
      <c r="J142" s="12"/>
      <c r="K142" s="13"/>
      <c r="L142" s="12"/>
      <c r="M142" s="13"/>
      <c r="N142" s="13"/>
      <c r="O142" s="13"/>
    </row>
    <row r="143">
      <c r="B143" s="11"/>
      <c r="C143" s="11"/>
      <c r="D143" s="11"/>
      <c r="E143" s="15"/>
      <c r="F143" s="11"/>
      <c r="G143" s="11"/>
      <c r="H143" s="11"/>
      <c r="I143" s="11"/>
      <c r="J143" s="12"/>
      <c r="K143" s="13"/>
      <c r="L143" s="12"/>
      <c r="M143" s="13"/>
      <c r="N143" s="13"/>
      <c r="O143" s="13"/>
    </row>
    <row r="144">
      <c r="B144" s="11"/>
      <c r="C144" s="11"/>
      <c r="D144" s="11"/>
      <c r="E144" s="15"/>
      <c r="F144" s="11"/>
      <c r="G144" s="11"/>
      <c r="H144" s="11"/>
      <c r="I144" s="11"/>
      <c r="J144" s="12"/>
      <c r="K144" s="13"/>
      <c r="L144" s="12"/>
      <c r="M144" s="13"/>
      <c r="N144" s="13"/>
      <c r="O144" s="13"/>
    </row>
    <row r="145">
      <c r="B145" s="11"/>
      <c r="C145" s="11"/>
      <c r="D145" s="11"/>
      <c r="E145" s="15"/>
      <c r="F145" s="11"/>
      <c r="G145" s="11"/>
      <c r="H145" s="11"/>
      <c r="I145" s="11"/>
      <c r="J145" s="12"/>
      <c r="K145" s="13"/>
      <c r="L145" s="12"/>
      <c r="M145" s="13"/>
      <c r="N145" s="13"/>
      <c r="O145" s="13"/>
    </row>
    <row r="146">
      <c r="B146" s="11"/>
      <c r="C146" s="11"/>
      <c r="D146" s="11"/>
      <c r="E146" s="15"/>
      <c r="F146" s="11"/>
      <c r="G146" s="11"/>
      <c r="H146" s="11"/>
      <c r="I146" s="11"/>
      <c r="J146" s="12"/>
      <c r="K146" s="13"/>
      <c r="L146" s="12"/>
      <c r="M146" s="13"/>
      <c r="N146" s="13"/>
      <c r="O146" s="13"/>
    </row>
    <row r="147">
      <c r="B147" s="11"/>
      <c r="C147" s="11"/>
      <c r="D147" s="11"/>
      <c r="E147" s="15"/>
      <c r="F147" s="11"/>
      <c r="G147" s="11"/>
      <c r="H147" s="11"/>
      <c r="I147" s="11"/>
      <c r="J147" s="12"/>
      <c r="K147" s="13"/>
      <c r="L147" s="12"/>
      <c r="M147" s="13"/>
      <c r="N147" s="13"/>
      <c r="O147" s="13"/>
    </row>
    <row r="148">
      <c r="B148" s="11"/>
      <c r="C148" s="11"/>
      <c r="D148" s="11"/>
      <c r="E148" s="15"/>
      <c r="F148" s="11"/>
      <c r="G148" s="11"/>
      <c r="H148" s="11"/>
      <c r="I148" s="11"/>
      <c r="J148" s="12"/>
      <c r="K148" s="13"/>
      <c r="L148" s="12"/>
      <c r="M148" s="13"/>
      <c r="N148" s="13"/>
      <c r="O148" s="13"/>
    </row>
    <row r="149">
      <c r="B149" s="11"/>
      <c r="C149" s="11"/>
      <c r="D149" s="11"/>
      <c r="E149" s="15"/>
      <c r="F149" s="11"/>
      <c r="G149" s="11"/>
      <c r="H149" s="11"/>
      <c r="I149" s="11"/>
      <c r="J149" s="12"/>
      <c r="K149" s="13"/>
      <c r="L149" s="12"/>
      <c r="M149" s="13"/>
      <c r="N149" s="13"/>
      <c r="O149" s="13"/>
    </row>
    <row r="150">
      <c r="B150" s="11"/>
      <c r="C150" s="11"/>
      <c r="D150" s="11"/>
      <c r="E150" s="15"/>
      <c r="F150" s="11"/>
      <c r="G150" s="11"/>
      <c r="H150" s="11"/>
      <c r="I150" s="11"/>
      <c r="J150" s="12"/>
      <c r="K150" s="13"/>
      <c r="L150" s="12"/>
      <c r="M150" s="13"/>
      <c r="N150" s="13"/>
      <c r="O150" s="13"/>
    </row>
    <row r="151">
      <c r="B151" s="11"/>
      <c r="C151" s="11"/>
      <c r="D151" s="11"/>
      <c r="E151" s="15"/>
      <c r="F151" s="11"/>
      <c r="G151" s="11"/>
      <c r="H151" s="11"/>
      <c r="I151" s="11"/>
      <c r="J151" s="12"/>
      <c r="K151" s="13"/>
      <c r="L151" s="12"/>
      <c r="M151" s="13"/>
      <c r="N151" s="13"/>
      <c r="O151" s="13"/>
    </row>
    <row r="152">
      <c r="B152" s="11"/>
      <c r="C152" s="11"/>
      <c r="D152" s="11"/>
      <c r="E152" s="15"/>
      <c r="F152" s="11"/>
      <c r="G152" s="11"/>
      <c r="H152" s="11"/>
      <c r="I152" s="11"/>
      <c r="J152" s="12"/>
      <c r="K152" s="13"/>
      <c r="L152" s="12"/>
      <c r="M152" s="13"/>
      <c r="N152" s="13"/>
      <c r="O152" s="13"/>
    </row>
    <row r="153">
      <c r="B153" s="11"/>
      <c r="C153" s="11"/>
      <c r="D153" s="11"/>
      <c r="E153" s="15"/>
      <c r="F153" s="11"/>
      <c r="G153" s="11"/>
      <c r="H153" s="11"/>
      <c r="I153" s="11"/>
      <c r="J153" s="12"/>
      <c r="K153" s="13"/>
      <c r="L153" s="12"/>
      <c r="M153" s="13"/>
      <c r="N153" s="13"/>
      <c r="O153" s="13"/>
    </row>
    <row r="154">
      <c r="B154" s="11"/>
      <c r="C154" s="11"/>
      <c r="D154" s="11"/>
      <c r="E154" s="15"/>
      <c r="F154" s="11"/>
      <c r="G154" s="11"/>
      <c r="H154" s="11"/>
      <c r="I154" s="11"/>
      <c r="J154" s="12"/>
      <c r="K154" s="13"/>
      <c r="L154" s="12"/>
      <c r="M154" s="13"/>
      <c r="N154" s="13"/>
      <c r="O154" s="13"/>
    </row>
    <row r="155">
      <c r="B155" s="11"/>
      <c r="C155" s="11"/>
      <c r="D155" s="11"/>
      <c r="E155" s="15"/>
      <c r="F155" s="11"/>
      <c r="G155" s="11"/>
      <c r="H155" s="11"/>
      <c r="I155" s="11"/>
      <c r="J155" s="12"/>
      <c r="K155" s="13"/>
      <c r="L155" s="12"/>
      <c r="M155" s="13"/>
      <c r="N155" s="13"/>
      <c r="O155" s="13"/>
    </row>
    <row r="156">
      <c r="B156" s="11"/>
      <c r="C156" s="11"/>
      <c r="D156" s="11"/>
      <c r="E156" s="15"/>
      <c r="F156" s="11"/>
      <c r="G156" s="11"/>
      <c r="H156" s="11"/>
      <c r="I156" s="11"/>
      <c r="J156" s="12"/>
      <c r="K156" s="13"/>
      <c r="L156" s="12"/>
      <c r="M156" s="13"/>
      <c r="N156" s="13"/>
      <c r="O156" s="13"/>
    </row>
    <row r="157">
      <c r="B157" s="11"/>
      <c r="C157" s="11"/>
      <c r="D157" s="11"/>
      <c r="E157" s="15"/>
      <c r="F157" s="11"/>
      <c r="G157" s="11"/>
      <c r="H157" s="11"/>
      <c r="I157" s="11"/>
      <c r="J157" s="12"/>
      <c r="K157" s="13"/>
      <c r="L157" s="12"/>
      <c r="M157" s="13"/>
      <c r="N157" s="13"/>
      <c r="O157" s="13"/>
    </row>
    <row r="158">
      <c r="B158" s="11"/>
      <c r="C158" s="11"/>
      <c r="D158" s="11"/>
      <c r="E158" s="15"/>
      <c r="F158" s="11"/>
      <c r="G158" s="11"/>
      <c r="H158" s="11"/>
      <c r="I158" s="11"/>
      <c r="J158" s="12"/>
      <c r="K158" s="13"/>
      <c r="L158" s="12"/>
      <c r="M158" s="13"/>
      <c r="N158" s="13"/>
      <c r="O158" s="13"/>
    </row>
    <row r="159">
      <c r="B159" s="11"/>
      <c r="C159" s="11"/>
      <c r="D159" s="11"/>
      <c r="E159" s="15"/>
      <c r="F159" s="11"/>
      <c r="G159" s="11"/>
      <c r="H159" s="11"/>
      <c r="I159" s="11"/>
      <c r="J159" s="12"/>
      <c r="K159" s="13"/>
      <c r="L159" s="12"/>
      <c r="M159" s="13"/>
      <c r="N159" s="13"/>
      <c r="O159" s="13"/>
    </row>
    <row r="160">
      <c r="B160" s="11"/>
      <c r="C160" s="11"/>
      <c r="D160" s="11"/>
      <c r="E160" s="15"/>
      <c r="F160" s="11"/>
      <c r="G160" s="11"/>
      <c r="H160" s="11"/>
      <c r="I160" s="11"/>
      <c r="J160" s="12"/>
      <c r="K160" s="13"/>
      <c r="L160" s="12"/>
      <c r="M160" s="13"/>
      <c r="N160" s="13"/>
      <c r="O160" s="13"/>
    </row>
    <row r="161">
      <c r="B161" s="11"/>
      <c r="C161" s="11"/>
      <c r="D161" s="11"/>
      <c r="E161" s="15"/>
      <c r="F161" s="11"/>
      <c r="G161" s="11"/>
      <c r="H161" s="11"/>
      <c r="I161" s="11"/>
      <c r="J161" s="12"/>
      <c r="K161" s="13"/>
      <c r="L161" s="12"/>
      <c r="M161" s="13"/>
      <c r="N161" s="13"/>
      <c r="O161" s="13"/>
    </row>
    <row r="162">
      <c r="B162" s="11"/>
      <c r="C162" s="11"/>
      <c r="D162" s="11"/>
      <c r="E162" s="15"/>
      <c r="F162" s="11"/>
      <c r="G162" s="11"/>
      <c r="H162" s="11"/>
      <c r="I162" s="11"/>
      <c r="J162" s="12"/>
      <c r="K162" s="13"/>
      <c r="L162" s="12"/>
      <c r="M162" s="13"/>
      <c r="N162" s="13"/>
      <c r="O162" s="13"/>
    </row>
    <row r="163">
      <c r="B163" s="11"/>
      <c r="C163" s="11"/>
      <c r="D163" s="11"/>
      <c r="E163" s="15"/>
      <c r="F163" s="11"/>
      <c r="G163" s="11"/>
      <c r="H163" s="11"/>
      <c r="I163" s="11"/>
      <c r="J163" s="12"/>
      <c r="K163" s="13"/>
      <c r="L163" s="12"/>
      <c r="M163" s="13"/>
      <c r="N163" s="13"/>
      <c r="O163" s="13"/>
    </row>
    <row r="164">
      <c r="B164" s="11"/>
      <c r="C164" s="11"/>
      <c r="D164" s="11"/>
      <c r="E164" s="15"/>
      <c r="F164" s="11"/>
      <c r="G164" s="11"/>
      <c r="H164" s="11"/>
      <c r="I164" s="11"/>
      <c r="J164" s="12"/>
      <c r="K164" s="13"/>
      <c r="L164" s="12"/>
      <c r="M164" s="13"/>
      <c r="N164" s="13"/>
      <c r="O164" s="13"/>
    </row>
    <row r="165">
      <c r="B165" s="11"/>
      <c r="C165" s="11"/>
      <c r="D165" s="11"/>
      <c r="E165" s="15"/>
      <c r="F165" s="11"/>
      <c r="G165" s="11"/>
      <c r="H165" s="11"/>
      <c r="I165" s="11"/>
      <c r="J165" s="12"/>
      <c r="K165" s="13"/>
      <c r="L165" s="12"/>
      <c r="M165" s="13"/>
      <c r="N165" s="13"/>
      <c r="O165" s="13"/>
    </row>
    <row r="166">
      <c r="B166" s="11"/>
      <c r="C166" s="11"/>
      <c r="D166" s="11"/>
      <c r="E166" s="15"/>
      <c r="F166" s="11"/>
      <c r="G166" s="11"/>
      <c r="H166" s="11"/>
      <c r="I166" s="11"/>
      <c r="J166" s="12"/>
      <c r="K166" s="13"/>
      <c r="L166" s="12"/>
      <c r="M166" s="13"/>
      <c r="N166" s="13"/>
      <c r="O166" s="13"/>
    </row>
    <row r="167">
      <c r="B167" s="11"/>
      <c r="C167" s="11"/>
      <c r="D167" s="11"/>
      <c r="E167" s="15"/>
      <c r="F167" s="11"/>
      <c r="G167" s="11"/>
      <c r="H167" s="11"/>
      <c r="I167" s="11"/>
      <c r="J167" s="12"/>
      <c r="K167" s="13"/>
      <c r="L167" s="12"/>
      <c r="M167" s="13"/>
      <c r="N167" s="13"/>
      <c r="O167" s="13"/>
    </row>
    <row r="168">
      <c r="B168" s="11"/>
      <c r="C168" s="11"/>
      <c r="D168" s="11"/>
      <c r="E168" s="15"/>
      <c r="F168" s="11"/>
      <c r="G168" s="11"/>
      <c r="H168" s="11"/>
      <c r="I168" s="11"/>
      <c r="J168" s="12"/>
      <c r="K168" s="13"/>
      <c r="L168" s="12"/>
      <c r="M168" s="13"/>
      <c r="N168" s="13"/>
      <c r="O168" s="13"/>
    </row>
    <row r="169">
      <c r="B169" s="11"/>
      <c r="C169" s="11"/>
      <c r="D169" s="11"/>
      <c r="E169" s="15"/>
      <c r="F169" s="11"/>
      <c r="G169" s="11"/>
      <c r="H169" s="11"/>
      <c r="I169" s="11"/>
      <c r="J169" s="12"/>
      <c r="K169" s="13"/>
      <c r="L169" s="12"/>
      <c r="M169" s="13"/>
      <c r="N169" s="13"/>
      <c r="O169" s="13"/>
    </row>
    <row r="170">
      <c r="B170" s="11"/>
      <c r="C170" s="11"/>
      <c r="D170" s="11"/>
      <c r="E170" s="15"/>
      <c r="F170" s="11"/>
      <c r="G170" s="11"/>
      <c r="H170" s="11"/>
      <c r="I170" s="11"/>
      <c r="J170" s="12"/>
      <c r="K170" s="13"/>
      <c r="L170" s="12"/>
      <c r="M170" s="13"/>
      <c r="N170" s="13"/>
      <c r="O170" s="13"/>
    </row>
    <row r="171">
      <c r="B171" s="11"/>
      <c r="C171" s="11"/>
      <c r="D171" s="11"/>
      <c r="E171" s="15"/>
      <c r="F171" s="11"/>
      <c r="G171" s="11"/>
      <c r="H171" s="11"/>
      <c r="I171" s="11"/>
      <c r="J171" s="12"/>
      <c r="K171" s="13"/>
      <c r="L171" s="12"/>
      <c r="M171" s="13"/>
      <c r="N171" s="13"/>
      <c r="O171" s="13"/>
    </row>
    <row r="172">
      <c r="B172" s="11"/>
      <c r="C172" s="11"/>
      <c r="D172" s="11"/>
      <c r="E172" s="15"/>
      <c r="F172" s="11"/>
      <c r="G172" s="11"/>
      <c r="H172" s="11"/>
      <c r="I172" s="11"/>
      <c r="J172" s="12"/>
      <c r="K172" s="13"/>
      <c r="L172" s="12"/>
      <c r="M172" s="13"/>
      <c r="N172" s="13"/>
      <c r="O172" s="13"/>
    </row>
    <row r="173">
      <c r="B173" s="11"/>
      <c r="C173" s="11"/>
      <c r="D173" s="11"/>
      <c r="E173" s="15"/>
      <c r="F173" s="11"/>
      <c r="G173" s="11"/>
      <c r="H173" s="11"/>
      <c r="I173" s="11"/>
      <c r="J173" s="12"/>
      <c r="K173" s="13"/>
      <c r="L173" s="12"/>
      <c r="M173" s="13"/>
      <c r="N173" s="13"/>
      <c r="O173" s="13"/>
    </row>
    <row r="174">
      <c r="B174" s="11"/>
      <c r="C174" s="11"/>
      <c r="D174" s="11"/>
      <c r="E174" s="15"/>
      <c r="F174" s="11"/>
      <c r="G174" s="11"/>
      <c r="H174" s="11"/>
      <c r="I174" s="11"/>
      <c r="J174" s="12"/>
      <c r="K174" s="13"/>
      <c r="L174" s="12"/>
      <c r="M174" s="13"/>
      <c r="N174" s="13"/>
      <c r="O174" s="13"/>
    </row>
    <row r="175">
      <c r="B175" s="11"/>
      <c r="C175" s="11"/>
      <c r="D175" s="11"/>
      <c r="E175" s="15"/>
      <c r="F175" s="11"/>
      <c r="G175" s="11"/>
      <c r="H175" s="11"/>
      <c r="I175" s="11"/>
      <c r="J175" s="12"/>
      <c r="K175" s="13"/>
      <c r="L175" s="12"/>
      <c r="M175" s="13"/>
      <c r="N175" s="13"/>
      <c r="O175" s="13"/>
    </row>
    <row r="176">
      <c r="B176" s="11"/>
      <c r="C176" s="11"/>
      <c r="D176" s="11"/>
      <c r="E176" s="15"/>
      <c r="F176" s="11"/>
      <c r="G176" s="11"/>
      <c r="H176" s="11"/>
      <c r="I176" s="11"/>
      <c r="J176" s="12"/>
      <c r="K176" s="13"/>
      <c r="L176" s="12"/>
      <c r="M176" s="13"/>
      <c r="N176" s="13"/>
      <c r="O176" s="13"/>
    </row>
    <row r="177">
      <c r="B177" s="11"/>
      <c r="C177" s="11"/>
      <c r="D177" s="11"/>
      <c r="E177" s="15"/>
      <c r="F177" s="11"/>
      <c r="G177" s="11"/>
      <c r="H177" s="11"/>
      <c r="I177" s="11"/>
      <c r="J177" s="12"/>
      <c r="K177" s="13"/>
      <c r="L177" s="12"/>
      <c r="M177" s="13"/>
      <c r="N177" s="13"/>
      <c r="O177" s="13"/>
    </row>
    <row r="178">
      <c r="B178" s="11"/>
      <c r="C178" s="11"/>
      <c r="D178" s="11"/>
      <c r="E178" s="15"/>
      <c r="F178" s="11"/>
      <c r="G178" s="11"/>
      <c r="H178" s="11"/>
      <c r="I178" s="11"/>
      <c r="J178" s="12"/>
      <c r="K178" s="13"/>
      <c r="L178" s="12"/>
      <c r="M178" s="13"/>
      <c r="N178" s="13"/>
      <c r="O178" s="13"/>
    </row>
    <row r="179">
      <c r="B179" s="11"/>
      <c r="C179" s="11"/>
      <c r="D179" s="11"/>
      <c r="E179" s="15"/>
      <c r="F179" s="11"/>
      <c r="G179" s="11"/>
      <c r="H179" s="11"/>
      <c r="I179" s="11"/>
      <c r="J179" s="12"/>
      <c r="K179" s="13"/>
      <c r="L179" s="12"/>
      <c r="M179" s="13"/>
      <c r="N179" s="13"/>
      <c r="O179" s="13"/>
    </row>
    <row r="180">
      <c r="B180" s="11"/>
      <c r="C180" s="11"/>
      <c r="D180" s="11"/>
      <c r="E180" s="15"/>
      <c r="F180" s="11"/>
      <c r="G180" s="11"/>
      <c r="H180" s="11"/>
      <c r="I180" s="11"/>
      <c r="J180" s="12"/>
      <c r="K180" s="13"/>
      <c r="L180" s="12"/>
      <c r="M180" s="13"/>
      <c r="N180" s="13"/>
      <c r="O180" s="13"/>
    </row>
    <row r="181">
      <c r="B181" s="11"/>
      <c r="C181" s="11"/>
      <c r="D181" s="11"/>
      <c r="E181" s="15"/>
      <c r="F181" s="11"/>
      <c r="G181" s="11"/>
      <c r="H181" s="11"/>
      <c r="I181" s="11"/>
      <c r="J181" s="12"/>
      <c r="K181" s="13"/>
      <c r="L181" s="12"/>
      <c r="M181" s="13"/>
      <c r="N181" s="13"/>
      <c r="O181" s="13"/>
    </row>
    <row r="182">
      <c r="B182" s="11"/>
      <c r="C182" s="11"/>
      <c r="D182" s="11"/>
      <c r="E182" s="15"/>
      <c r="F182" s="11"/>
      <c r="G182" s="11"/>
      <c r="H182" s="11"/>
      <c r="I182" s="11"/>
      <c r="J182" s="12"/>
      <c r="K182" s="13"/>
      <c r="L182" s="12"/>
      <c r="M182" s="13"/>
      <c r="N182" s="13"/>
      <c r="O182" s="13"/>
    </row>
    <row r="183">
      <c r="B183" s="11"/>
      <c r="C183" s="11"/>
      <c r="D183" s="11"/>
      <c r="E183" s="15"/>
      <c r="F183" s="11"/>
      <c r="G183" s="11"/>
      <c r="H183" s="11"/>
      <c r="I183" s="11"/>
      <c r="J183" s="12"/>
      <c r="K183" s="13"/>
      <c r="L183" s="12"/>
      <c r="M183" s="13"/>
      <c r="N183" s="13"/>
      <c r="O183" s="13"/>
    </row>
    <row r="184">
      <c r="B184" s="11"/>
      <c r="C184" s="11"/>
      <c r="D184" s="11"/>
      <c r="E184" s="15"/>
      <c r="F184" s="11"/>
      <c r="G184" s="11"/>
      <c r="H184" s="11"/>
      <c r="I184" s="11"/>
      <c r="J184" s="12"/>
      <c r="K184" s="13"/>
      <c r="L184" s="12"/>
      <c r="M184" s="13"/>
      <c r="N184" s="13"/>
      <c r="O184" s="13"/>
    </row>
    <row r="185">
      <c r="B185" s="11"/>
      <c r="C185" s="11"/>
      <c r="D185" s="11"/>
      <c r="E185" s="15"/>
      <c r="F185" s="11"/>
      <c r="G185" s="11"/>
      <c r="H185" s="11"/>
      <c r="I185" s="11"/>
      <c r="J185" s="12"/>
      <c r="K185" s="13"/>
      <c r="L185" s="12"/>
      <c r="M185" s="13"/>
      <c r="N185" s="13"/>
      <c r="O185" s="13"/>
    </row>
    <row r="186">
      <c r="B186" s="11"/>
      <c r="C186" s="11"/>
      <c r="D186" s="11"/>
      <c r="E186" s="15"/>
      <c r="F186" s="11"/>
      <c r="G186" s="11"/>
      <c r="H186" s="11"/>
      <c r="I186" s="11"/>
      <c r="J186" s="12"/>
      <c r="K186" s="13"/>
      <c r="L186" s="12"/>
      <c r="M186" s="13"/>
      <c r="N186" s="13"/>
      <c r="O186" s="13"/>
    </row>
    <row r="187">
      <c r="B187" s="11"/>
      <c r="C187" s="11"/>
      <c r="D187" s="11"/>
      <c r="E187" s="15"/>
      <c r="F187" s="11"/>
      <c r="G187" s="11"/>
      <c r="H187" s="11"/>
      <c r="I187" s="11"/>
      <c r="J187" s="12"/>
      <c r="K187" s="13"/>
      <c r="L187" s="12"/>
      <c r="M187" s="13"/>
      <c r="N187" s="13"/>
      <c r="O187" s="13"/>
    </row>
    <row r="188">
      <c r="B188" s="11"/>
      <c r="C188" s="11"/>
      <c r="D188" s="11"/>
      <c r="E188" s="15"/>
      <c r="F188" s="11"/>
      <c r="G188" s="11"/>
      <c r="H188" s="11"/>
      <c r="I188" s="11"/>
      <c r="J188" s="12"/>
      <c r="K188" s="13"/>
      <c r="L188" s="12"/>
      <c r="M188" s="13"/>
      <c r="N188" s="13"/>
      <c r="O188" s="13"/>
    </row>
    <row r="189">
      <c r="B189" s="11"/>
      <c r="C189" s="11"/>
      <c r="D189" s="11"/>
      <c r="E189" s="15"/>
      <c r="F189" s="11"/>
      <c r="G189" s="11"/>
      <c r="H189" s="11"/>
      <c r="I189" s="11"/>
      <c r="J189" s="12"/>
      <c r="K189" s="13"/>
      <c r="L189" s="12"/>
      <c r="M189" s="13"/>
      <c r="N189" s="13"/>
      <c r="O189" s="13"/>
    </row>
    <row r="190">
      <c r="B190" s="11"/>
      <c r="C190" s="11"/>
      <c r="D190" s="11"/>
      <c r="E190" s="15"/>
      <c r="F190" s="11"/>
      <c r="G190" s="11"/>
      <c r="H190" s="11"/>
      <c r="I190" s="11"/>
      <c r="J190" s="12"/>
      <c r="K190" s="13"/>
      <c r="L190" s="12"/>
      <c r="M190" s="13"/>
      <c r="N190" s="13"/>
      <c r="O190" s="13"/>
    </row>
    <row r="191">
      <c r="B191" s="11"/>
      <c r="C191" s="11"/>
      <c r="D191" s="11"/>
      <c r="E191" s="15"/>
      <c r="F191" s="11"/>
      <c r="G191" s="11"/>
      <c r="H191" s="11"/>
      <c r="I191" s="11"/>
      <c r="J191" s="12"/>
      <c r="K191" s="13"/>
      <c r="L191" s="12"/>
      <c r="M191" s="13"/>
      <c r="N191" s="13"/>
      <c r="O191" s="13"/>
    </row>
    <row r="192">
      <c r="B192" s="11"/>
      <c r="C192" s="11"/>
      <c r="D192" s="11"/>
      <c r="E192" s="15"/>
      <c r="F192" s="11"/>
      <c r="G192" s="11"/>
      <c r="H192" s="11"/>
      <c r="I192" s="11"/>
      <c r="J192" s="12"/>
      <c r="K192" s="13"/>
      <c r="L192" s="12"/>
      <c r="M192" s="13"/>
      <c r="N192" s="13"/>
      <c r="O192" s="13"/>
    </row>
    <row r="193">
      <c r="B193" s="11"/>
      <c r="C193" s="11"/>
      <c r="D193" s="11"/>
      <c r="E193" s="15"/>
      <c r="F193" s="11"/>
      <c r="G193" s="11"/>
      <c r="H193" s="11"/>
      <c r="I193" s="11"/>
      <c r="J193" s="12"/>
      <c r="K193" s="13"/>
      <c r="L193" s="12"/>
      <c r="M193" s="13"/>
      <c r="N193" s="13"/>
      <c r="O193" s="13"/>
    </row>
    <row r="194">
      <c r="B194" s="11"/>
      <c r="C194" s="11"/>
      <c r="D194" s="11"/>
      <c r="E194" s="15"/>
      <c r="F194" s="11"/>
      <c r="G194" s="11"/>
      <c r="H194" s="11"/>
      <c r="I194" s="11"/>
      <c r="J194" s="12"/>
      <c r="K194" s="13"/>
      <c r="L194" s="12"/>
      <c r="M194" s="13"/>
      <c r="N194" s="13"/>
      <c r="O194" s="13"/>
    </row>
    <row r="195">
      <c r="B195" s="11"/>
      <c r="C195" s="11"/>
      <c r="D195" s="11"/>
      <c r="E195" s="15"/>
      <c r="F195" s="11"/>
      <c r="G195" s="11"/>
      <c r="H195" s="11"/>
      <c r="I195" s="11"/>
      <c r="J195" s="12"/>
      <c r="K195" s="13"/>
      <c r="L195" s="12"/>
      <c r="M195" s="13"/>
      <c r="N195" s="13"/>
      <c r="O195" s="13"/>
    </row>
    <row r="196">
      <c r="B196" s="11"/>
      <c r="C196" s="11"/>
      <c r="D196" s="11"/>
      <c r="E196" s="15"/>
      <c r="F196" s="11"/>
      <c r="G196" s="11"/>
      <c r="H196" s="11"/>
      <c r="I196" s="11"/>
      <c r="J196" s="12"/>
      <c r="K196" s="13"/>
      <c r="L196" s="12"/>
      <c r="M196" s="13"/>
      <c r="N196" s="13"/>
      <c r="O196" s="13"/>
    </row>
    <row r="197">
      <c r="B197" s="11"/>
      <c r="C197" s="11"/>
      <c r="D197" s="11"/>
      <c r="E197" s="15"/>
      <c r="F197" s="11"/>
      <c r="G197" s="11"/>
      <c r="H197" s="11"/>
      <c r="I197" s="11"/>
      <c r="J197" s="12"/>
      <c r="K197" s="13"/>
      <c r="L197" s="12"/>
      <c r="M197" s="13"/>
      <c r="N197" s="13"/>
      <c r="O197" s="13"/>
    </row>
    <row r="198">
      <c r="B198" s="11"/>
      <c r="C198" s="11"/>
      <c r="D198" s="11"/>
      <c r="E198" s="15"/>
      <c r="F198" s="11"/>
      <c r="G198" s="11"/>
      <c r="H198" s="11"/>
      <c r="I198" s="11"/>
      <c r="J198" s="12"/>
      <c r="K198" s="13"/>
      <c r="L198" s="12"/>
      <c r="M198" s="13"/>
      <c r="N198" s="13"/>
      <c r="O198" s="13"/>
    </row>
    <row r="199">
      <c r="B199" s="11"/>
      <c r="C199" s="11"/>
      <c r="D199" s="11"/>
      <c r="E199" s="15"/>
      <c r="F199" s="11"/>
      <c r="G199" s="11"/>
      <c r="H199" s="11"/>
      <c r="I199" s="11"/>
      <c r="J199" s="12"/>
      <c r="K199" s="13"/>
      <c r="L199" s="12"/>
      <c r="M199" s="13"/>
      <c r="N199" s="13"/>
      <c r="O199" s="13"/>
    </row>
    <row r="200">
      <c r="B200" s="11"/>
      <c r="C200" s="11"/>
      <c r="D200" s="11"/>
      <c r="E200" s="15"/>
      <c r="F200" s="11"/>
      <c r="G200" s="11"/>
      <c r="H200" s="11"/>
      <c r="I200" s="11"/>
      <c r="J200" s="12"/>
      <c r="K200" s="13"/>
      <c r="L200" s="12"/>
      <c r="M200" s="13"/>
      <c r="N200" s="13"/>
      <c r="O200" s="13"/>
    </row>
    <row r="201">
      <c r="B201" s="11"/>
      <c r="C201" s="11"/>
      <c r="D201" s="11"/>
      <c r="E201" s="15"/>
      <c r="F201" s="11"/>
      <c r="G201" s="11"/>
      <c r="H201" s="11"/>
      <c r="I201" s="11"/>
      <c r="J201" s="12"/>
      <c r="K201" s="13"/>
      <c r="L201" s="12"/>
      <c r="M201" s="13"/>
      <c r="N201" s="13"/>
      <c r="O201" s="13"/>
    </row>
    <row r="202">
      <c r="B202" s="11"/>
      <c r="C202" s="11"/>
      <c r="D202" s="11"/>
      <c r="E202" s="15"/>
      <c r="F202" s="11"/>
      <c r="G202" s="11"/>
      <c r="H202" s="11"/>
      <c r="I202" s="11"/>
      <c r="J202" s="12"/>
      <c r="K202" s="13"/>
      <c r="L202" s="12"/>
      <c r="M202" s="13"/>
      <c r="N202" s="13"/>
      <c r="O202" s="13"/>
    </row>
    <row r="203">
      <c r="B203" s="11"/>
      <c r="C203" s="11"/>
      <c r="D203" s="11"/>
      <c r="E203" s="15"/>
      <c r="F203" s="11"/>
      <c r="G203" s="11"/>
      <c r="H203" s="11"/>
      <c r="I203" s="11"/>
      <c r="J203" s="12"/>
      <c r="K203" s="13"/>
      <c r="L203" s="12"/>
      <c r="M203" s="13"/>
      <c r="N203" s="13"/>
      <c r="O203" s="13"/>
    </row>
    <row r="204">
      <c r="B204" s="11"/>
      <c r="C204" s="11"/>
      <c r="D204" s="11"/>
      <c r="E204" s="15"/>
      <c r="F204" s="11"/>
      <c r="G204" s="11"/>
      <c r="H204" s="11"/>
      <c r="I204" s="11"/>
      <c r="J204" s="12"/>
      <c r="K204" s="13"/>
      <c r="L204" s="12"/>
      <c r="M204" s="13"/>
      <c r="N204" s="13"/>
      <c r="O204" s="13"/>
    </row>
    <row r="205">
      <c r="B205" s="11"/>
      <c r="C205" s="11"/>
      <c r="D205" s="11"/>
      <c r="E205" s="15"/>
      <c r="F205" s="11"/>
      <c r="G205" s="11"/>
      <c r="H205" s="11"/>
      <c r="I205" s="11"/>
      <c r="J205" s="12"/>
      <c r="K205" s="13"/>
      <c r="L205" s="12"/>
      <c r="M205" s="13"/>
      <c r="N205" s="13"/>
      <c r="O205" s="13"/>
    </row>
    <row r="206">
      <c r="B206" s="11"/>
      <c r="C206" s="11"/>
      <c r="D206" s="11"/>
      <c r="E206" s="15"/>
      <c r="F206" s="11"/>
      <c r="G206" s="11"/>
      <c r="H206" s="11"/>
      <c r="I206" s="11"/>
      <c r="J206" s="12"/>
      <c r="K206" s="13"/>
      <c r="L206" s="12"/>
      <c r="M206" s="13"/>
      <c r="N206" s="13"/>
      <c r="O206" s="13"/>
    </row>
    <row r="207">
      <c r="B207" s="11"/>
      <c r="C207" s="11"/>
      <c r="D207" s="11"/>
      <c r="E207" s="15"/>
      <c r="F207" s="11"/>
      <c r="G207" s="11"/>
      <c r="H207" s="11"/>
      <c r="I207" s="11"/>
      <c r="J207" s="12"/>
      <c r="K207" s="13"/>
      <c r="L207" s="12"/>
      <c r="M207" s="13"/>
      <c r="N207" s="13"/>
      <c r="O207" s="13"/>
    </row>
    <row r="208">
      <c r="B208" s="11"/>
      <c r="C208" s="11"/>
      <c r="D208" s="11"/>
      <c r="E208" s="15"/>
      <c r="F208" s="11"/>
      <c r="G208" s="11"/>
      <c r="H208" s="11"/>
      <c r="I208" s="11"/>
      <c r="J208" s="12"/>
      <c r="K208" s="13"/>
      <c r="L208" s="12"/>
      <c r="M208" s="13"/>
      <c r="N208" s="13"/>
      <c r="O208" s="13"/>
    </row>
    <row r="209">
      <c r="B209" s="11"/>
      <c r="C209" s="11"/>
      <c r="D209" s="11"/>
      <c r="E209" s="15"/>
      <c r="F209" s="11"/>
      <c r="G209" s="11"/>
      <c r="H209" s="11"/>
      <c r="I209" s="11"/>
      <c r="J209" s="12"/>
      <c r="K209" s="13"/>
      <c r="L209" s="12"/>
      <c r="M209" s="13"/>
      <c r="N209" s="13"/>
      <c r="O209" s="13"/>
    </row>
    <row r="210">
      <c r="B210" s="11"/>
      <c r="C210" s="11"/>
      <c r="D210" s="11"/>
      <c r="E210" s="15"/>
      <c r="F210" s="11"/>
      <c r="G210" s="11"/>
      <c r="H210" s="11"/>
      <c r="I210" s="11"/>
      <c r="J210" s="12"/>
      <c r="K210" s="13"/>
      <c r="L210" s="12"/>
      <c r="M210" s="13"/>
      <c r="N210" s="13"/>
      <c r="O210" s="13"/>
    </row>
    <row r="211">
      <c r="B211" s="11"/>
      <c r="C211" s="11"/>
      <c r="D211" s="11"/>
      <c r="E211" s="15"/>
      <c r="F211" s="11"/>
      <c r="G211" s="11"/>
      <c r="H211" s="11"/>
      <c r="I211" s="11"/>
      <c r="J211" s="12"/>
      <c r="K211" s="13"/>
      <c r="L211" s="12"/>
      <c r="M211" s="13"/>
      <c r="N211" s="13"/>
      <c r="O211" s="13"/>
    </row>
    <row r="212">
      <c r="B212" s="11"/>
      <c r="C212" s="11"/>
      <c r="D212" s="11"/>
      <c r="E212" s="15"/>
      <c r="F212" s="11"/>
      <c r="G212" s="11"/>
      <c r="H212" s="11"/>
      <c r="I212" s="11"/>
      <c r="J212" s="12"/>
      <c r="K212" s="13"/>
      <c r="L212" s="12"/>
      <c r="M212" s="13"/>
      <c r="N212" s="13"/>
      <c r="O212" s="13"/>
    </row>
    <row r="213">
      <c r="B213" s="11"/>
      <c r="C213" s="11"/>
      <c r="D213" s="11"/>
      <c r="E213" s="15"/>
      <c r="F213" s="11"/>
      <c r="G213" s="11"/>
      <c r="H213" s="11"/>
      <c r="I213" s="11"/>
      <c r="J213" s="12"/>
      <c r="K213" s="13"/>
      <c r="L213" s="12"/>
      <c r="M213" s="13"/>
      <c r="N213" s="13"/>
      <c r="O213" s="13"/>
    </row>
    <row r="214">
      <c r="B214" s="11"/>
      <c r="C214" s="11"/>
      <c r="D214" s="11"/>
      <c r="E214" s="15"/>
      <c r="F214" s="11"/>
      <c r="G214" s="11"/>
      <c r="H214" s="11"/>
      <c r="I214" s="11"/>
      <c r="J214" s="12"/>
      <c r="K214" s="13"/>
      <c r="L214" s="12"/>
      <c r="M214" s="13"/>
      <c r="N214" s="13"/>
      <c r="O214" s="13"/>
    </row>
    <row r="215">
      <c r="B215" s="11"/>
      <c r="C215" s="11"/>
      <c r="D215" s="11"/>
      <c r="E215" s="15"/>
      <c r="F215" s="11"/>
      <c r="G215" s="11"/>
      <c r="H215" s="11"/>
      <c r="I215" s="11"/>
      <c r="J215" s="12"/>
      <c r="K215" s="13"/>
      <c r="L215" s="12"/>
      <c r="M215" s="13"/>
      <c r="N215" s="13"/>
      <c r="O215" s="13"/>
    </row>
    <row r="216">
      <c r="B216" s="11"/>
      <c r="C216" s="11"/>
      <c r="D216" s="11"/>
      <c r="E216" s="15"/>
      <c r="F216" s="11"/>
      <c r="G216" s="11"/>
      <c r="H216" s="11"/>
      <c r="I216" s="11"/>
      <c r="J216" s="12"/>
      <c r="K216" s="13"/>
      <c r="L216" s="12"/>
      <c r="M216" s="13"/>
      <c r="N216" s="13"/>
      <c r="O216" s="13"/>
    </row>
    <row r="217">
      <c r="B217" s="11"/>
      <c r="C217" s="11"/>
      <c r="D217" s="11"/>
      <c r="E217" s="15"/>
      <c r="F217" s="11"/>
      <c r="G217" s="11"/>
      <c r="H217" s="11"/>
      <c r="I217" s="11"/>
      <c r="J217" s="12"/>
      <c r="K217" s="13"/>
      <c r="L217" s="12"/>
      <c r="M217" s="13"/>
      <c r="N217" s="13"/>
      <c r="O217" s="13"/>
    </row>
    <row r="218">
      <c r="B218" s="11"/>
      <c r="C218" s="11"/>
      <c r="D218" s="11"/>
      <c r="E218" s="15"/>
      <c r="F218" s="11"/>
      <c r="G218" s="11"/>
      <c r="H218" s="11"/>
      <c r="I218" s="11"/>
      <c r="J218" s="12"/>
      <c r="K218" s="13"/>
      <c r="L218" s="12"/>
      <c r="M218" s="13"/>
      <c r="N218" s="13"/>
      <c r="O218" s="13"/>
    </row>
    <row r="219">
      <c r="B219" s="11"/>
      <c r="C219" s="11"/>
      <c r="D219" s="11"/>
      <c r="E219" s="15"/>
      <c r="F219" s="11"/>
      <c r="G219" s="11"/>
      <c r="H219" s="11"/>
      <c r="I219" s="11"/>
      <c r="J219" s="12"/>
      <c r="K219" s="13"/>
      <c r="L219" s="12"/>
      <c r="M219" s="13"/>
      <c r="N219" s="13"/>
      <c r="O219" s="13"/>
    </row>
    <row r="220">
      <c r="B220" s="11"/>
      <c r="C220" s="11"/>
      <c r="D220" s="11"/>
      <c r="E220" s="15"/>
      <c r="F220" s="11"/>
      <c r="G220" s="11"/>
      <c r="H220" s="11"/>
      <c r="I220" s="11"/>
      <c r="J220" s="12"/>
      <c r="K220" s="13"/>
      <c r="L220" s="12"/>
      <c r="M220" s="13"/>
      <c r="N220" s="13"/>
      <c r="O220" s="13"/>
    </row>
    <row r="221">
      <c r="B221" s="11"/>
      <c r="C221" s="11"/>
      <c r="D221" s="11"/>
      <c r="E221" s="15"/>
      <c r="F221" s="11"/>
      <c r="G221" s="11"/>
      <c r="H221" s="11"/>
      <c r="I221" s="11"/>
      <c r="J221" s="12"/>
      <c r="K221" s="13"/>
      <c r="L221" s="12"/>
      <c r="M221" s="13"/>
      <c r="N221" s="13"/>
      <c r="O221" s="13"/>
    </row>
    <row r="222">
      <c r="B222" s="11"/>
      <c r="C222" s="11"/>
      <c r="D222" s="11"/>
      <c r="E222" s="15"/>
      <c r="F222" s="11"/>
      <c r="G222" s="11"/>
      <c r="H222" s="11"/>
      <c r="I222" s="11"/>
      <c r="J222" s="12"/>
      <c r="K222" s="13"/>
      <c r="L222" s="12"/>
      <c r="M222" s="13"/>
      <c r="N222" s="13"/>
      <c r="O222" s="13"/>
    </row>
    <row r="223">
      <c r="B223" s="11"/>
      <c r="C223" s="11"/>
      <c r="D223" s="11"/>
      <c r="E223" s="15"/>
      <c r="F223" s="11"/>
      <c r="G223" s="11"/>
      <c r="H223" s="11"/>
      <c r="I223" s="11"/>
      <c r="J223" s="12"/>
      <c r="K223" s="13"/>
      <c r="L223" s="12"/>
      <c r="M223" s="13"/>
      <c r="N223" s="13"/>
      <c r="O223" s="13"/>
    </row>
    <row r="224">
      <c r="B224" s="11"/>
      <c r="C224" s="11"/>
      <c r="D224" s="11"/>
      <c r="E224" s="15"/>
      <c r="F224" s="11"/>
      <c r="G224" s="11"/>
      <c r="H224" s="11"/>
      <c r="I224" s="11"/>
      <c r="J224" s="12"/>
      <c r="K224" s="13"/>
      <c r="L224" s="12"/>
      <c r="M224" s="13"/>
      <c r="N224" s="13"/>
      <c r="O224" s="13"/>
    </row>
    <row r="225">
      <c r="B225" s="11"/>
      <c r="C225" s="11"/>
      <c r="D225" s="11"/>
      <c r="E225" s="15"/>
      <c r="F225" s="11"/>
      <c r="G225" s="11"/>
      <c r="H225" s="11"/>
      <c r="I225" s="11"/>
      <c r="J225" s="12"/>
      <c r="K225" s="13"/>
      <c r="L225" s="12"/>
      <c r="M225" s="13"/>
      <c r="N225" s="13"/>
      <c r="O225" s="13"/>
    </row>
    <row r="226">
      <c r="B226" s="11"/>
      <c r="C226" s="11"/>
      <c r="D226" s="11"/>
      <c r="E226" s="15"/>
      <c r="F226" s="11"/>
      <c r="G226" s="11"/>
      <c r="H226" s="11"/>
      <c r="I226" s="11"/>
      <c r="J226" s="12"/>
      <c r="K226" s="13"/>
      <c r="L226" s="12"/>
      <c r="M226" s="13"/>
      <c r="N226" s="13"/>
      <c r="O226" s="13"/>
    </row>
    <row r="227">
      <c r="B227" s="11"/>
      <c r="C227" s="11"/>
      <c r="D227" s="11"/>
      <c r="E227" s="15"/>
      <c r="F227" s="11"/>
      <c r="G227" s="11"/>
      <c r="H227" s="11"/>
      <c r="I227" s="11"/>
      <c r="J227" s="12"/>
      <c r="K227" s="13"/>
      <c r="L227" s="12"/>
      <c r="M227" s="13"/>
      <c r="N227" s="13"/>
      <c r="O227" s="13"/>
    </row>
    <row r="228">
      <c r="B228" s="11"/>
      <c r="C228" s="11"/>
      <c r="D228" s="11"/>
      <c r="E228" s="15"/>
      <c r="F228" s="11"/>
      <c r="G228" s="11"/>
      <c r="H228" s="11"/>
      <c r="I228" s="11"/>
      <c r="J228" s="12"/>
      <c r="K228" s="13"/>
      <c r="L228" s="12"/>
      <c r="M228" s="13"/>
      <c r="N228" s="13"/>
      <c r="O228" s="13"/>
    </row>
    <row r="229">
      <c r="B229" s="11"/>
      <c r="C229" s="11"/>
      <c r="D229" s="11"/>
      <c r="E229" s="15"/>
      <c r="F229" s="11"/>
      <c r="G229" s="11"/>
      <c r="H229" s="11"/>
      <c r="I229" s="11"/>
      <c r="J229" s="12"/>
      <c r="K229" s="13"/>
      <c r="L229" s="12"/>
      <c r="M229" s="13"/>
      <c r="N229" s="13"/>
      <c r="O229" s="13"/>
    </row>
    <row r="230">
      <c r="B230" s="11"/>
      <c r="C230" s="11"/>
      <c r="D230" s="11"/>
      <c r="E230" s="15"/>
      <c r="F230" s="11"/>
      <c r="G230" s="11"/>
      <c r="H230" s="11"/>
      <c r="I230" s="11"/>
      <c r="J230" s="12"/>
      <c r="K230" s="13"/>
      <c r="L230" s="12"/>
      <c r="M230" s="13"/>
      <c r="N230" s="13"/>
      <c r="O230" s="13"/>
    </row>
    <row r="231">
      <c r="B231" s="11"/>
      <c r="C231" s="11"/>
      <c r="D231" s="11"/>
      <c r="E231" s="15"/>
      <c r="F231" s="11"/>
      <c r="G231" s="11"/>
      <c r="H231" s="11"/>
      <c r="I231" s="11"/>
      <c r="J231" s="12"/>
      <c r="K231" s="13"/>
      <c r="L231" s="12"/>
      <c r="M231" s="13"/>
      <c r="N231" s="13"/>
      <c r="O231" s="13"/>
    </row>
    <row r="232">
      <c r="B232" s="11"/>
      <c r="C232" s="11"/>
      <c r="D232" s="11"/>
      <c r="E232" s="15"/>
      <c r="F232" s="11"/>
      <c r="G232" s="11"/>
      <c r="H232" s="11"/>
      <c r="I232" s="11"/>
      <c r="J232" s="12"/>
      <c r="K232" s="13"/>
      <c r="L232" s="12"/>
      <c r="M232" s="13"/>
      <c r="N232" s="13"/>
      <c r="O232" s="13"/>
    </row>
    <row r="233">
      <c r="B233" s="11"/>
      <c r="C233" s="11"/>
      <c r="D233" s="11"/>
      <c r="E233" s="15"/>
      <c r="F233" s="11"/>
      <c r="G233" s="11"/>
      <c r="H233" s="11"/>
      <c r="I233" s="11"/>
      <c r="J233" s="12"/>
      <c r="K233" s="13"/>
      <c r="L233" s="12"/>
      <c r="M233" s="13"/>
      <c r="N233" s="13"/>
      <c r="O233" s="13"/>
    </row>
    <row r="234">
      <c r="B234" s="11"/>
      <c r="C234" s="11"/>
      <c r="D234" s="11"/>
      <c r="E234" s="15"/>
      <c r="F234" s="11"/>
      <c r="G234" s="11"/>
      <c r="H234" s="11"/>
      <c r="I234" s="11"/>
      <c r="J234" s="12"/>
      <c r="K234" s="13"/>
      <c r="L234" s="12"/>
      <c r="M234" s="13"/>
      <c r="N234" s="13"/>
      <c r="O234" s="13"/>
    </row>
    <row r="235">
      <c r="B235" s="11"/>
      <c r="C235" s="11"/>
      <c r="D235" s="11"/>
      <c r="E235" s="15"/>
      <c r="F235" s="11"/>
      <c r="G235" s="11"/>
      <c r="H235" s="11"/>
      <c r="I235" s="11"/>
      <c r="J235" s="12"/>
      <c r="K235" s="13"/>
      <c r="L235" s="12"/>
      <c r="M235" s="13"/>
      <c r="N235" s="13"/>
      <c r="O235" s="13"/>
    </row>
    <row r="236">
      <c r="B236" s="11"/>
      <c r="C236" s="11"/>
      <c r="D236" s="11"/>
      <c r="E236" s="15"/>
      <c r="F236" s="11"/>
      <c r="G236" s="11"/>
      <c r="H236" s="11"/>
      <c r="I236" s="11"/>
      <c r="J236" s="12"/>
      <c r="K236" s="13"/>
      <c r="L236" s="12"/>
      <c r="M236" s="13"/>
      <c r="N236" s="13"/>
      <c r="O236" s="13"/>
    </row>
    <row r="237">
      <c r="B237" s="11"/>
      <c r="C237" s="11"/>
      <c r="D237" s="11"/>
      <c r="E237" s="15"/>
      <c r="F237" s="11"/>
      <c r="G237" s="11"/>
      <c r="H237" s="11"/>
      <c r="I237" s="11"/>
      <c r="J237" s="12"/>
      <c r="K237" s="13"/>
      <c r="L237" s="12"/>
      <c r="M237" s="13"/>
      <c r="N237" s="13"/>
      <c r="O237" s="13"/>
    </row>
    <row r="238">
      <c r="B238" s="11"/>
      <c r="C238" s="11"/>
      <c r="D238" s="11"/>
      <c r="E238" s="15"/>
      <c r="F238" s="11"/>
      <c r="G238" s="11"/>
      <c r="H238" s="11"/>
      <c r="I238" s="11"/>
      <c r="J238" s="12"/>
      <c r="K238" s="13"/>
      <c r="L238" s="12"/>
      <c r="M238" s="13"/>
      <c r="N238" s="13"/>
      <c r="O238" s="13"/>
    </row>
    <row r="239">
      <c r="B239" s="11"/>
      <c r="C239" s="11"/>
      <c r="D239" s="11"/>
      <c r="E239" s="15"/>
      <c r="F239" s="11"/>
      <c r="G239" s="11"/>
      <c r="H239" s="11"/>
      <c r="I239" s="11"/>
      <c r="J239" s="12"/>
      <c r="K239" s="13"/>
      <c r="L239" s="12"/>
      <c r="M239" s="13"/>
      <c r="N239" s="13"/>
      <c r="O239" s="13"/>
    </row>
    <row r="240">
      <c r="B240" s="11"/>
      <c r="C240" s="11"/>
      <c r="D240" s="11"/>
      <c r="E240" s="15"/>
      <c r="F240" s="11"/>
      <c r="G240" s="11"/>
      <c r="H240" s="11"/>
      <c r="I240" s="11"/>
      <c r="J240" s="12"/>
      <c r="K240" s="13"/>
      <c r="L240" s="12"/>
      <c r="M240" s="13"/>
      <c r="N240" s="13"/>
      <c r="O240" s="13"/>
    </row>
    <row r="241">
      <c r="B241" s="11"/>
      <c r="C241" s="11"/>
      <c r="D241" s="11"/>
      <c r="E241" s="15"/>
      <c r="F241" s="11"/>
      <c r="G241" s="11"/>
      <c r="H241" s="11"/>
      <c r="I241" s="11"/>
      <c r="J241" s="12"/>
      <c r="K241" s="13"/>
      <c r="L241" s="12"/>
      <c r="M241" s="13"/>
      <c r="N241" s="13"/>
      <c r="O241" s="13"/>
    </row>
    <row r="242">
      <c r="B242" s="11"/>
      <c r="C242" s="11"/>
      <c r="D242" s="11"/>
      <c r="E242" s="15"/>
      <c r="F242" s="11"/>
      <c r="G242" s="11"/>
      <c r="H242" s="11"/>
      <c r="I242" s="11"/>
      <c r="J242" s="12"/>
      <c r="K242" s="13"/>
      <c r="L242" s="12"/>
      <c r="M242" s="13"/>
      <c r="N242" s="13"/>
      <c r="O242" s="13"/>
    </row>
    <row r="243">
      <c r="B243" s="11"/>
      <c r="C243" s="11"/>
      <c r="D243" s="11"/>
      <c r="E243" s="15"/>
      <c r="F243" s="11"/>
      <c r="G243" s="11"/>
      <c r="H243" s="11"/>
      <c r="I243" s="11"/>
      <c r="J243" s="12"/>
      <c r="K243" s="13"/>
      <c r="L243" s="12"/>
      <c r="M243" s="13"/>
      <c r="N243" s="13"/>
      <c r="O243" s="13"/>
    </row>
    <row r="244">
      <c r="B244" s="11"/>
      <c r="C244" s="11"/>
      <c r="D244" s="11"/>
      <c r="E244" s="15"/>
      <c r="F244" s="11"/>
      <c r="G244" s="11"/>
      <c r="H244" s="11"/>
      <c r="I244" s="11"/>
      <c r="J244" s="12"/>
      <c r="K244" s="13"/>
      <c r="L244" s="12"/>
      <c r="M244" s="13"/>
      <c r="N244" s="13"/>
      <c r="O244" s="13"/>
    </row>
    <row r="245">
      <c r="B245" s="11"/>
      <c r="C245" s="11"/>
      <c r="D245" s="11"/>
      <c r="E245" s="15"/>
      <c r="F245" s="11"/>
      <c r="G245" s="11"/>
      <c r="H245" s="11"/>
      <c r="I245" s="11"/>
      <c r="J245" s="12"/>
      <c r="K245" s="13"/>
      <c r="L245" s="12"/>
      <c r="M245" s="13"/>
      <c r="N245" s="13"/>
      <c r="O245" s="13"/>
    </row>
    <row r="246">
      <c r="B246" s="11"/>
      <c r="C246" s="11"/>
      <c r="D246" s="11"/>
      <c r="E246" s="15"/>
      <c r="F246" s="11"/>
      <c r="G246" s="11"/>
      <c r="H246" s="11"/>
      <c r="I246" s="11"/>
      <c r="J246" s="12"/>
      <c r="K246" s="13"/>
      <c r="L246" s="12"/>
      <c r="M246" s="13"/>
      <c r="N246" s="13"/>
      <c r="O246" s="13"/>
    </row>
    <row r="247">
      <c r="B247" s="11"/>
      <c r="C247" s="11"/>
      <c r="D247" s="11"/>
      <c r="E247" s="15"/>
      <c r="F247" s="11"/>
      <c r="G247" s="11"/>
      <c r="H247" s="11"/>
      <c r="I247" s="11"/>
      <c r="J247" s="12"/>
      <c r="K247" s="13"/>
      <c r="L247" s="12"/>
      <c r="M247" s="13"/>
      <c r="N247" s="13"/>
      <c r="O247" s="13"/>
    </row>
    <row r="248">
      <c r="B248" s="11"/>
      <c r="C248" s="11"/>
      <c r="D248" s="11"/>
      <c r="E248" s="15"/>
      <c r="F248" s="11"/>
      <c r="G248" s="11"/>
      <c r="H248" s="11"/>
      <c r="I248" s="11"/>
      <c r="J248" s="12"/>
      <c r="K248" s="13"/>
      <c r="L248" s="12"/>
      <c r="M248" s="13"/>
      <c r="N248" s="13"/>
      <c r="O248" s="13"/>
    </row>
    <row r="249">
      <c r="B249" s="11"/>
      <c r="C249" s="11"/>
      <c r="D249" s="11"/>
      <c r="E249" s="15"/>
      <c r="F249" s="11"/>
      <c r="G249" s="11"/>
      <c r="H249" s="11"/>
      <c r="I249" s="11"/>
      <c r="J249" s="12"/>
      <c r="K249" s="13"/>
      <c r="L249" s="12"/>
      <c r="M249" s="13"/>
      <c r="N249" s="13"/>
      <c r="O249" s="13"/>
    </row>
    <row r="250">
      <c r="B250" s="11"/>
      <c r="C250" s="11"/>
      <c r="D250" s="11"/>
      <c r="E250" s="15"/>
      <c r="F250" s="11"/>
      <c r="G250" s="11"/>
      <c r="H250" s="11"/>
      <c r="I250" s="11"/>
      <c r="J250" s="12"/>
      <c r="K250" s="13"/>
      <c r="L250" s="12"/>
      <c r="M250" s="13"/>
      <c r="N250" s="13"/>
      <c r="O250" s="13"/>
    </row>
    <row r="251">
      <c r="B251" s="11"/>
      <c r="C251" s="11"/>
      <c r="D251" s="11"/>
      <c r="E251" s="15"/>
      <c r="F251" s="11"/>
      <c r="G251" s="11"/>
      <c r="H251" s="11"/>
      <c r="I251" s="11"/>
      <c r="J251" s="12"/>
      <c r="K251" s="13"/>
      <c r="L251" s="12"/>
      <c r="M251" s="13"/>
      <c r="N251" s="13"/>
      <c r="O251" s="13"/>
    </row>
    <row r="252">
      <c r="B252" s="11"/>
      <c r="C252" s="11"/>
      <c r="D252" s="11"/>
      <c r="E252" s="15"/>
      <c r="F252" s="11"/>
      <c r="G252" s="11"/>
      <c r="H252" s="11"/>
      <c r="I252" s="11"/>
      <c r="J252" s="12"/>
      <c r="K252" s="13"/>
      <c r="L252" s="12"/>
      <c r="M252" s="13"/>
      <c r="N252" s="13"/>
      <c r="O252" s="13"/>
    </row>
    <row r="253">
      <c r="B253" s="11"/>
      <c r="C253" s="11"/>
      <c r="D253" s="11"/>
      <c r="E253" s="15"/>
      <c r="F253" s="11"/>
      <c r="G253" s="11"/>
      <c r="H253" s="11"/>
      <c r="I253" s="11"/>
      <c r="J253" s="12"/>
      <c r="K253" s="13"/>
      <c r="L253" s="12"/>
      <c r="M253" s="13"/>
      <c r="N253" s="13"/>
      <c r="O253" s="13"/>
    </row>
    <row r="254">
      <c r="B254" s="11"/>
      <c r="C254" s="11"/>
      <c r="D254" s="11"/>
      <c r="E254" s="15"/>
      <c r="F254" s="11"/>
      <c r="G254" s="11"/>
      <c r="H254" s="11"/>
      <c r="I254" s="11"/>
      <c r="J254" s="12"/>
      <c r="K254" s="13"/>
      <c r="L254" s="12"/>
      <c r="M254" s="13"/>
      <c r="N254" s="13"/>
      <c r="O254" s="13"/>
    </row>
    <row r="255">
      <c r="B255" s="11"/>
      <c r="C255" s="11"/>
      <c r="D255" s="11"/>
      <c r="E255" s="15"/>
      <c r="F255" s="11"/>
      <c r="G255" s="11"/>
      <c r="H255" s="11"/>
      <c r="I255" s="11"/>
      <c r="J255" s="12"/>
      <c r="K255" s="13"/>
      <c r="L255" s="12"/>
      <c r="M255" s="13"/>
      <c r="N255" s="13"/>
      <c r="O255" s="13"/>
    </row>
    <row r="256">
      <c r="B256" s="11"/>
      <c r="C256" s="11"/>
      <c r="D256" s="11"/>
      <c r="E256" s="15"/>
      <c r="F256" s="11"/>
      <c r="G256" s="11"/>
      <c r="H256" s="11"/>
      <c r="I256" s="11"/>
      <c r="J256" s="12"/>
      <c r="K256" s="13"/>
      <c r="L256" s="12"/>
      <c r="M256" s="13"/>
      <c r="N256" s="13"/>
      <c r="O256" s="13"/>
    </row>
    <row r="257">
      <c r="B257" s="11"/>
      <c r="C257" s="11"/>
      <c r="D257" s="11"/>
      <c r="E257" s="15"/>
      <c r="F257" s="11"/>
      <c r="G257" s="11"/>
      <c r="H257" s="11"/>
      <c r="I257" s="11"/>
      <c r="J257" s="12"/>
      <c r="K257" s="13"/>
      <c r="L257" s="12"/>
      <c r="M257" s="13"/>
      <c r="N257" s="13"/>
      <c r="O257" s="13"/>
    </row>
    <row r="258">
      <c r="B258" s="11"/>
      <c r="C258" s="11"/>
      <c r="D258" s="11"/>
      <c r="E258" s="15"/>
      <c r="F258" s="11"/>
      <c r="G258" s="11"/>
      <c r="H258" s="11"/>
      <c r="I258" s="11"/>
      <c r="J258" s="12"/>
      <c r="K258" s="13"/>
      <c r="L258" s="12"/>
      <c r="M258" s="13"/>
      <c r="N258" s="13"/>
      <c r="O258" s="13"/>
    </row>
    <row r="259">
      <c r="B259" s="11"/>
      <c r="C259" s="11"/>
      <c r="D259" s="11"/>
      <c r="E259" s="15"/>
      <c r="F259" s="11"/>
      <c r="G259" s="11"/>
      <c r="H259" s="11"/>
      <c r="I259" s="11"/>
      <c r="J259" s="12"/>
      <c r="K259" s="13"/>
      <c r="L259" s="12"/>
      <c r="M259" s="13"/>
      <c r="N259" s="13"/>
      <c r="O259" s="13"/>
    </row>
    <row r="260">
      <c r="B260" s="11"/>
      <c r="C260" s="11"/>
      <c r="D260" s="11"/>
      <c r="E260" s="15"/>
      <c r="F260" s="11"/>
      <c r="G260" s="11"/>
      <c r="H260" s="11"/>
      <c r="I260" s="11"/>
      <c r="J260" s="12"/>
      <c r="K260" s="13"/>
      <c r="L260" s="12"/>
      <c r="M260" s="13"/>
      <c r="N260" s="13"/>
      <c r="O260" s="13"/>
    </row>
    <row r="261">
      <c r="B261" s="11"/>
      <c r="C261" s="11"/>
      <c r="D261" s="11"/>
      <c r="E261" s="15"/>
      <c r="F261" s="11"/>
      <c r="G261" s="11"/>
      <c r="H261" s="11"/>
      <c r="I261" s="11"/>
      <c r="J261" s="12"/>
      <c r="K261" s="13"/>
      <c r="L261" s="12"/>
      <c r="M261" s="13"/>
      <c r="N261" s="13"/>
      <c r="O261" s="13"/>
    </row>
    <row r="262">
      <c r="B262" s="11"/>
      <c r="C262" s="11"/>
      <c r="D262" s="11"/>
      <c r="E262" s="15"/>
      <c r="F262" s="11"/>
      <c r="G262" s="11"/>
      <c r="H262" s="11"/>
      <c r="I262" s="11"/>
      <c r="J262" s="12"/>
      <c r="K262" s="13"/>
      <c r="L262" s="12"/>
      <c r="M262" s="13"/>
      <c r="N262" s="13"/>
      <c r="O262" s="13"/>
    </row>
    <row r="263">
      <c r="B263" s="11"/>
      <c r="C263" s="11"/>
      <c r="D263" s="11"/>
      <c r="E263" s="15"/>
      <c r="F263" s="11"/>
      <c r="G263" s="11"/>
      <c r="H263" s="11"/>
      <c r="I263" s="11"/>
      <c r="J263" s="12"/>
      <c r="K263" s="13"/>
      <c r="L263" s="12"/>
      <c r="M263" s="13"/>
      <c r="N263" s="13"/>
      <c r="O263" s="13"/>
    </row>
    <row r="264">
      <c r="B264" s="11"/>
      <c r="C264" s="11"/>
      <c r="D264" s="11"/>
      <c r="E264" s="15"/>
      <c r="F264" s="11"/>
      <c r="G264" s="11"/>
      <c r="H264" s="11"/>
      <c r="I264" s="11"/>
      <c r="J264" s="12"/>
      <c r="K264" s="13"/>
      <c r="L264" s="12"/>
      <c r="M264" s="13"/>
      <c r="N264" s="13"/>
      <c r="O264" s="13"/>
    </row>
    <row r="265">
      <c r="B265" s="11"/>
      <c r="C265" s="11"/>
      <c r="D265" s="11"/>
      <c r="E265" s="15"/>
      <c r="F265" s="11"/>
      <c r="G265" s="11"/>
      <c r="H265" s="11"/>
      <c r="I265" s="11"/>
      <c r="J265" s="12"/>
      <c r="K265" s="13"/>
      <c r="L265" s="12"/>
      <c r="M265" s="13"/>
      <c r="N265" s="13"/>
      <c r="O265" s="13"/>
    </row>
    <row r="266">
      <c r="B266" s="11"/>
      <c r="C266" s="11"/>
      <c r="D266" s="11"/>
      <c r="E266" s="15"/>
      <c r="F266" s="11"/>
      <c r="G266" s="11"/>
      <c r="H266" s="11"/>
      <c r="I266" s="11"/>
      <c r="J266" s="12"/>
      <c r="K266" s="13"/>
      <c r="L266" s="12"/>
      <c r="M266" s="13"/>
      <c r="N266" s="13"/>
      <c r="O266" s="13"/>
    </row>
    <row r="267">
      <c r="B267" s="11"/>
      <c r="C267" s="11"/>
      <c r="D267" s="11"/>
      <c r="E267" s="15"/>
      <c r="F267" s="11"/>
      <c r="G267" s="11"/>
      <c r="H267" s="11"/>
      <c r="I267" s="11"/>
      <c r="J267" s="12"/>
      <c r="K267" s="13"/>
      <c r="L267" s="12"/>
      <c r="M267" s="13"/>
      <c r="N267" s="13"/>
      <c r="O267" s="13"/>
    </row>
    <row r="268">
      <c r="B268" s="11"/>
      <c r="C268" s="11"/>
      <c r="D268" s="11"/>
      <c r="E268" s="15"/>
      <c r="F268" s="11"/>
      <c r="G268" s="11"/>
      <c r="H268" s="11"/>
      <c r="I268" s="11"/>
      <c r="J268" s="12"/>
      <c r="K268" s="13"/>
      <c r="L268" s="12"/>
      <c r="M268" s="13"/>
      <c r="N268" s="13"/>
      <c r="O268" s="13"/>
    </row>
    <row r="269">
      <c r="B269" s="11"/>
      <c r="C269" s="11"/>
      <c r="D269" s="11"/>
      <c r="E269" s="15"/>
      <c r="F269" s="11"/>
      <c r="G269" s="11"/>
      <c r="H269" s="11"/>
      <c r="I269" s="11"/>
      <c r="J269" s="12"/>
      <c r="K269" s="13"/>
      <c r="L269" s="12"/>
      <c r="M269" s="13"/>
      <c r="N269" s="13"/>
      <c r="O269" s="13"/>
    </row>
    <row r="270">
      <c r="B270" s="11"/>
      <c r="C270" s="11"/>
      <c r="D270" s="11"/>
      <c r="E270" s="15"/>
      <c r="F270" s="11"/>
      <c r="G270" s="11"/>
      <c r="H270" s="11"/>
      <c r="I270" s="11"/>
      <c r="J270" s="12"/>
      <c r="K270" s="13"/>
      <c r="L270" s="12"/>
      <c r="M270" s="13"/>
      <c r="N270" s="13"/>
      <c r="O270" s="13"/>
    </row>
    <row r="271">
      <c r="B271" s="11"/>
      <c r="C271" s="11"/>
      <c r="D271" s="11"/>
      <c r="E271" s="15"/>
      <c r="F271" s="11"/>
      <c r="G271" s="11"/>
      <c r="H271" s="11"/>
      <c r="I271" s="11"/>
      <c r="J271" s="12"/>
      <c r="K271" s="13"/>
      <c r="L271" s="12"/>
      <c r="M271" s="13"/>
      <c r="N271" s="13"/>
      <c r="O271" s="13"/>
    </row>
    <row r="272">
      <c r="B272" s="11"/>
      <c r="C272" s="11"/>
      <c r="D272" s="11"/>
      <c r="E272" s="15"/>
      <c r="F272" s="11"/>
      <c r="G272" s="11"/>
      <c r="H272" s="11"/>
      <c r="I272" s="11"/>
      <c r="J272" s="12"/>
      <c r="K272" s="13"/>
      <c r="L272" s="12"/>
      <c r="M272" s="13"/>
      <c r="N272" s="13"/>
      <c r="O272" s="13"/>
    </row>
    <row r="273">
      <c r="B273" s="11"/>
      <c r="C273" s="11"/>
      <c r="D273" s="11"/>
      <c r="E273" s="15"/>
      <c r="F273" s="11"/>
      <c r="G273" s="11"/>
      <c r="H273" s="11"/>
      <c r="I273" s="11"/>
      <c r="J273" s="12"/>
      <c r="K273" s="13"/>
      <c r="L273" s="12"/>
      <c r="M273" s="13"/>
      <c r="N273" s="13"/>
      <c r="O273" s="13"/>
    </row>
    <row r="274">
      <c r="B274" s="11"/>
      <c r="C274" s="11"/>
      <c r="D274" s="11"/>
      <c r="E274" s="15"/>
      <c r="F274" s="11"/>
      <c r="G274" s="11"/>
      <c r="H274" s="11"/>
      <c r="I274" s="11"/>
      <c r="J274" s="12"/>
      <c r="K274" s="13"/>
      <c r="L274" s="12"/>
      <c r="M274" s="13"/>
      <c r="N274" s="13"/>
      <c r="O274" s="13"/>
    </row>
    <row r="275">
      <c r="B275" s="11"/>
      <c r="C275" s="11"/>
      <c r="D275" s="11"/>
      <c r="E275" s="15"/>
      <c r="F275" s="11"/>
      <c r="G275" s="11"/>
      <c r="H275" s="11"/>
      <c r="I275" s="11"/>
      <c r="J275" s="12"/>
      <c r="K275" s="13"/>
      <c r="L275" s="12"/>
      <c r="M275" s="13"/>
      <c r="N275" s="13"/>
      <c r="O275" s="13"/>
    </row>
    <row r="276">
      <c r="B276" s="11"/>
      <c r="C276" s="11"/>
      <c r="D276" s="11"/>
      <c r="E276" s="15"/>
      <c r="F276" s="11"/>
      <c r="G276" s="11"/>
      <c r="H276" s="11"/>
      <c r="I276" s="11"/>
      <c r="J276" s="12"/>
      <c r="K276" s="13"/>
      <c r="L276" s="12"/>
      <c r="M276" s="13"/>
      <c r="N276" s="13"/>
      <c r="O276" s="13"/>
    </row>
    <row r="277">
      <c r="B277" s="11"/>
      <c r="C277" s="11"/>
      <c r="D277" s="11"/>
      <c r="E277" s="15"/>
      <c r="F277" s="11"/>
      <c r="G277" s="11"/>
      <c r="H277" s="11"/>
      <c r="I277" s="11"/>
      <c r="J277" s="12"/>
      <c r="K277" s="13"/>
      <c r="L277" s="12"/>
      <c r="M277" s="13"/>
      <c r="N277" s="13"/>
      <c r="O277" s="13"/>
    </row>
    <row r="278">
      <c r="B278" s="11"/>
      <c r="C278" s="11"/>
      <c r="D278" s="11"/>
      <c r="E278" s="15"/>
      <c r="F278" s="11"/>
      <c r="G278" s="11"/>
      <c r="H278" s="11"/>
      <c r="I278" s="11"/>
      <c r="J278" s="12"/>
      <c r="K278" s="13"/>
      <c r="L278" s="12"/>
      <c r="M278" s="13"/>
      <c r="N278" s="13"/>
      <c r="O278" s="13"/>
    </row>
    <row r="279">
      <c r="B279" s="11"/>
      <c r="C279" s="11"/>
      <c r="D279" s="11"/>
      <c r="E279" s="15"/>
      <c r="F279" s="11"/>
      <c r="G279" s="11"/>
      <c r="H279" s="11"/>
      <c r="I279" s="11"/>
      <c r="J279" s="12"/>
      <c r="K279" s="13"/>
      <c r="L279" s="12"/>
      <c r="M279" s="13"/>
      <c r="N279" s="13"/>
      <c r="O279" s="13"/>
    </row>
    <row r="280">
      <c r="B280" s="11"/>
      <c r="C280" s="11"/>
      <c r="D280" s="11"/>
      <c r="E280" s="15"/>
      <c r="F280" s="11"/>
      <c r="G280" s="11"/>
      <c r="H280" s="11"/>
      <c r="I280" s="11"/>
      <c r="J280" s="12"/>
      <c r="K280" s="13"/>
      <c r="L280" s="12"/>
      <c r="M280" s="13"/>
      <c r="N280" s="13"/>
      <c r="O280" s="13"/>
    </row>
    <row r="281">
      <c r="B281" s="11"/>
      <c r="C281" s="11"/>
      <c r="D281" s="11"/>
      <c r="E281" s="15"/>
      <c r="F281" s="11"/>
      <c r="G281" s="11"/>
      <c r="H281" s="11"/>
      <c r="I281" s="11"/>
      <c r="J281" s="12"/>
      <c r="K281" s="13"/>
      <c r="L281" s="12"/>
      <c r="M281" s="13"/>
      <c r="N281" s="13"/>
      <c r="O281" s="13"/>
    </row>
    <row r="282">
      <c r="B282" s="11"/>
      <c r="C282" s="11"/>
      <c r="D282" s="11"/>
      <c r="E282" s="15"/>
      <c r="F282" s="11"/>
      <c r="G282" s="11"/>
      <c r="H282" s="11"/>
      <c r="I282" s="11"/>
      <c r="J282" s="12"/>
      <c r="K282" s="13"/>
      <c r="L282" s="12"/>
      <c r="M282" s="13"/>
      <c r="N282" s="13"/>
      <c r="O282" s="13"/>
    </row>
    <row r="283">
      <c r="B283" s="11"/>
      <c r="C283" s="11"/>
      <c r="D283" s="11"/>
      <c r="E283" s="15"/>
      <c r="F283" s="11"/>
      <c r="G283" s="11"/>
      <c r="H283" s="11"/>
      <c r="I283" s="11"/>
      <c r="J283" s="12"/>
      <c r="K283" s="13"/>
      <c r="L283" s="12"/>
      <c r="M283" s="13"/>
      <c r="N283" s="13"/>
      <c r="O283" s="13"/>
    </row>
    <row r="284">
      <c r="B284" s="11"/>
      <c r="C284" s="11"/>
      <c r="D284" s="11"/>
      <c r="E284" s="15"/>
      <c r="F284" s="11"/>
      <c r="G284" s="11"/>
      <c r="H284" s="11"/>
      <c r="I284" s="11"/>
      <c r="J284" s="12"/>
      <c r="K284" s="13"/>
      <c r="L284" s="12"/>
      <c r="M284" s="13"/>
      <c r="N284" s="13"/>
      <c r="O284" s="13"/>
    </row>
    <row r="285">
      <c r="B285" s="11"/>
      <c r="C285" s="11"/>
      <c r="D285" s="11"/>
      <c r="E285" s="15"/>
      <c r="F285" s="11"/>
      <c r="G285" s="11"/>
      <c r="H285" s="11"/>
      <c r="I285" s="11"/>
      <c r="J285" s="12"/>
      <c r="K285" s="13"/>
      <c r="L285" s="12"/>
      <c r="M285" s="13"/>
      <c r="N285" s="13"/>
      <c r="O285" s="13"/>
    </row>
    <row r="286">
      <c r="B286" s="11"/>
      <c r="C286" s="11"/>
      <c r="D286" s="11"/>
      <c r="E286" s="15"/>
      <c r="F286" s="11"/>
      <c r="G286" s="11"/>
      <c r="H286" s="11"/>
      <c r="I286" s="11"/>
      <c r="J286" s="12"/>
      <c r="K286" s="13"/>
      <c r="L286" s="12"/>
      <c r="M286" s="13"/>
      <c r="N286" s="13"/>
      <c r="O286" s="13"/>
    </row>
    <row r="287">
      <c r="B287" s="11"/>
      <c r="C287" s="11"/>
      <c r="D287" s="11"/>
      <c r="E287" s="15"/>
      <c r="F287" s="11"/>
      <c r="G287" s="11"/>
      <c r="H287" s="11"/>
      <c r="I287" s="11"/>
      <c r="J287" s="12"/>
      <c r="K287" s="13"/>
      <c r="L287" s="12"/>
      <c r="M287" s="13"/>
      <c r="N287" s="13"/>
      <c r="O287" s="13"/>
    </row>
    <row r="288">
      <c r="B288" s="11"/>
      <c r="C288" s="11"/>
      <c r="D288" s="11"/>
      <c r="E288" s="15"/>
      <c r="F288" s="11"/>
      <c r="G288" s="11"/>
      <c r="H288" s="11"/>
      <c r="I288" s="11"/>
      <c r="J288" s="12"/>
      <c r="K288" s="13"/>
      <c r="L288" s="12"/>
      <c r="M288" s="13"/>
      <c r="N288" s="13"/>
      <c r="O288" s="13"/>
    </row>
    <row r="289">
      <c r="B289" s="11"/>
      <c r="C289" s="11"/>
      <c r="D289" s="11"/>
      <c r="E289" s="15"/>
      <c r="F289" s="11"/>
      <c r="G289" s="11"/>
      <c r="H289" s="11"/>
      <c r="I289" s="11"/>
      <c r="J289" s="12"/>
      <c r="K289" s="13"/>
      <c r="L289" s="12"/>
      <c r="M289" s="13"/>
      <c r="N289" s="13"/>
      <c r="O289" s="13"/>
    </row>
    <row r="290">
      <c r="B290" s="11"/>
      <c r="C290" s="11"/>
      <c r="D290" s="11"/>
      <c r="E290" s="15"/>
      <c r="F290" s="11"/>
      <c r="G290" s="11"/>
      <c r="H290" s="11"/>
      <c r="I290" s="11"/>
      <c r="J290" s="12"/>
      <c r="K290" s="13"/>
      <c r="L290" s="12"/>
      <c r="M290" s="13"/>
      <c r="N290" s="13"/>
      <c r="O290" s="13"/>
    </row>
    <row r="291">
      <c r="B291" s="11"/>
      <c r="C291" s="11"/>
      <c r="D291" s="11"/>
      <c r="E291" s="15"/>
      <c r="F291" s="11"/>
      <c r="G291" s="11"/>
      <c r="H291" s="11"/>
      <c r="I291" s="11"/>
      <c r="J291" s="12"/>
      <c r="K291" s="13"/>
      <c r="L291" s="12"/>
      <c r="M291" s="13"/>
      <c r="N291" s="13"/>
      <c r="O291" s="13"/>
    </row>
    <row r="292">
      <c r="B292" s="11"/>
      <c r="C292" s="11"/>
      <c r="D292" s="11"/>
      <c r="E292" s="15"/>
      <c r="F292" s="11"/>
      <c r="G292" s="11"/>
      <c r="H292" s="11"/>
      <c r="I292" s="11"/>
      <c r="J292" s="12"/>
      <c r="K292" s="13"/>
      <c r="L292" s="12"/>
      <c r="M292" s="13"/>
      <c r="N292" s="13"/>
      <c r="O292" s="13"/>
    </row>
    <row r="293">
      <c r="B293" s="11"/>
      <c r="C293" s="11"/>
      <c r="D293" s="11"/>
      <c r="E293" s="15"/>
      <c r="F293" s="11"/>
      <c r="G293" s="11"/>
      <c r="H293" s="11"/>
      <c r="I293" s="11"/>
      <c r="J293" s="12"/>
      <c r="K293" s="13"/>
      <c r="L293" s="12"/>
      <c r="M293" s="13"/>
      <c r="N293" s="13"/>
      <c r="O293" s="13"/>
    </row>
    <row r="294">
      <c r="B294" s="11"/>
      <c r="C294" s="11"/>
      <c r="D294" s="11"/>
      <c r="E294" s="15"/>
      <c r="F294" s="11"/>
      <c r="G294" s="11"/>
      <c r="H294" s="11"/>
      <c r="I294" s="11"/>
      <c r="J294" s="12"/>
      <c r="K294" s="13"/>
      <c r="L294" s="12"/>
      <c r="M294" s="13"/>
      <c r="N294" s="13"/>
      <c r="O294" s="13"/>
    </row>
    <row r="295">
      <c r="B295" s="11"/>
      <c r="C295" s="11"/>
      <c r="D295" s="11"/>
      <c r="E295" s="15"/>
      <c r="F295" s="11"/>
      <c r="G295" s="11"/>
      <c r="H295" s="11"/>
      <c r="I295" s="11"/>
      <c r="J295" s="12"/>
      <c r="K295" s="13"/>
      <c r="L295" s="12"/>
      <c r="M295" s="13"/>
      <c r="N295" s="13"/>
      <c r="O295" s="13"/>
    </row>
    <row r="296">
      <c r="B296" s="11"/>
      <c r="C296" s="11"/>
      <c r="D296" s="11"/>
      <c r="E296" s="15"/>
      <c r="F296" s="11"/>
      <c r="G296" s="11"/>
      <c r="H296" s="11"/>
      <c r="I296" s="11"/>
      <c r="J296" s="12"/>
      <c r="K296" s="13"/>
      <c r="L296" s="12"/>
      <c r="M296" s="13"/>
      <c r="N296" s="13"/>
      <c r="O296" s="13"/>
    </row>
    <row r="297">
      <c r="B297" s="11"/>
      <c r="C297" s="11"/>
      <c r="D297" s="11"/>
      <c r="E297" s="15"/>
      <c r="F297" s="11"/>
      <c r="G297" s="11"/>
      <c r="H297" s="11"/>
      <c r="I297" s="11"/>
      <c r="J297" s="12"/>
      <c r="K297" s="13"/>
      <c r="L297" s="12"/>
      <c r="M297" s="13"/>
      <c r="N297" s="13"/>
      <c r="O297" s="13"/>
    </row>
    <row r="298">
      <c r="B298" s="11"/>
      <c r="C298" s="11"/>
      <c r="D298" s="11"/>
      <c r="E298" s="15"/>
      <c r="F298" s="11"/>
      <c r="G298" s="11"/>
      <c r="H298" s="11"/>
      <c r="I298" s="11"/>
      <c r="J298" s="12"/>
      <c r="K298" s="13"/>
      <c r="L298" s="12"/>
      <c r="M298" s="13"/>
      <c r="N298" s="13"/>
      <c r="O298" s="13"/>
    </row>
    <row r="299">
      <c r="B299" s="11"/>
      <c r="C299" s="11"/>
      <c r="D299" s="11"/>
      <c r="E299" s="15"/>
      <c r="F299" s="11"/>
      <c r="G299" s="11"/>
      <c r="H299" s="11"/>
      <c r="I299" s="11"/>
      <c r="J299" s="12"/>
      <c r="K299" s="13"/>
      <c r="L299" s="12"/>
      <c r="M299" s="13"/>
      <c r="N299" s="13"/>
      <c r="O299" s="13"/>
    </row>
    <row r="300">
      <c r="B300" s="11"/>
      <c r="C300" s="11"/>
      <c r="D300" s="11"/>
      <c r="E300" s="15"/>
      <c r="F300" s="11"/>
      <c r="G300" s="11"/>
      <c r="H300" s="11"/>
      <c r="I300" s="11"/>
      <c r="J300" s="12"/>
      <c r="K300" s="13"/>
      <c r="L300" s="12"/>
      <c r="M300" s="13"/>
      <c r="N300" s="13"/>
      <c r="O300" s="13"/>
    </row>
    <row r="301">
      <c r="B301" s="11"/>
      <c r="C301" s="11"/>
      <c r="D301" s="11"/>
      <c r="E301" s="15"/>
      <c r="F301" s="11"/>
      <c r="G301" s="11"/>
      <c r="H301" s="11"/>
      <c r="I301" s="11"/>
      <c r="J301" s="12"/>
      <c r="K301" s="13"/>
      <c r="L301" s="12"/>
      <c r="M301" s="13"/>
      <c r="N301" s="13"/>
      <c r="O301" s="13"/>
    </row>
    <row r="302">
      <c r="B302" s="11"/>
      <c r="C302" s="11"/>
      <c r="D302" s="11"/>
      <c r="E302" s="15"/>
      <c r="F302" s="11"/>
      <c r="G302" s="11"/>
      <c r="H302" s="11"/>
      <c r="I302" s="11"/>
      <c r="J302" s="12"/>
      <c r="K302" s="13"/>
      <c r="L302" s="12"/>
      <c r="M302" s="13"/>
      <c r="N302" s="13"/>
      <c r="O302" s="13"/>
    </row>
    <row r="303">
      <c r="B303" s="11"/>
      <c r="C303" s="11"/>
      <c r="D303" s="11"/>
      <c r="E303" s="15"/>
      <c r="F303" s="11"/>
      <c r="G303" s="11"/>
      <c r="H303" s="11"/>
      <c r="I303" s="11"/>
      <c r="J303" s="12"/>
      <c r="K303" s="13"/>
      <c r="L303" s="12"/>
      <c r="M303" s="13"/>
      <c r="N303" s="13"/>
      <c r="O303" s="13"/>
    </row>
    <row r="304">
      <c r="B304" s="11"/>
      <c r="C304" s="11"/>
      <c r="D304" s="11"/>
      <c r="E304" s="15"/>
      <c r="F304" s="11"/>
      <c r="G304" s="11"/>
      <c r="H304" s="11"/>
      <c r="I304" s="11"/>
      <c r="J304" s="12"/>
      <c r="K304" s="13"/>
      <c r="L304" s="12"/>
      <c r="M304" s="13"/>
      <c r="N304" s="13"/>
      <c r="O304" s="13"/>
    </row>
    <row r="305">
      <c r="B305" s="11"/>
      <c r="C305" s="11"/>
      <c r="D305" s="11"/>
      <c r="E305" s="15"/>
      <c r="F305" s="11"/>
      <c r="G305" s="11"/>
      <c r="H305" s="11"/>
      <c r="I305" s="11"/>
      <c r="J305" s="12"/>
      <c r="K305" s="13"/>
      <c r="L305" s="12"/>
      <c r="M305" s="13"/>
      <c r="N305" s="13"/>
      <c r="O305" s="13"/>
    </row>
    <row r="306">
      <c r="B306" s="11"/>
      <c r="C306" s="11"/>
      <c r="D306" s="11"/>
      <c r="E306" s="15"/>
      <c r="F306" s="11"/>
      <c r="G306" s="11"/>
      <c r="H306" s="11"/>
      <c r="I306" s="11"/>
      <c r="J306" s="12"/>
      <c r="K306" s="13"/>
      <c r="L306" s="12"/>
      <c r="M306" s="13"/>
      <c r="N306" s="13"/>
      <c r="O306" s="13"/>
    </row>
    <row r="307">
      <c r="B307" s="11"/>
      <c r="C307" s="11"/>
      <c r="D307" s="11"/>
      <c r="E307" s="15"/>
      <c r="F307" s="11"/>
      <c r="G307" s="11"/>
      <c r="H307" s="11"/>
      <c r="I307" s="11"/>
      <c r="J307" s="12"/>
      <c r="K307" s="13"/>
      <c r="L307" s="12"/>
      <c r="M307" s="13"/>
      <c r="N307" s="13"/>
      <c r="O307" s="13"/>
    </row>
    <row r="308">
      <c r="B308" s="11"/>
      <c r="C308" s="11"/>
      <c r="D308" s="11"/>
      <c r="E308" s="15"/>
      <c r="F308" s="11"/>
      <c r="G308" s="11"/>
      <c r="H308" s="11"/>
      <c r="I308" s="11"/>
      <c r="J308" s="12"/>
      <c r="K308" s="13"/>
      <c r="L308" s="12"/>
      <c r="M308" s="13"/>
      <c r="N308" s="13"/>
      <c r="O308" s="13"/>
    </row>
    <row r="309">
      <c r="B309" s="11"/>
      <c r="C309" s="11"/>
      <c r="D309" s="11"/>
      <c r="E309" s="15"/>
      <c r="F309" s="11"/>
      <c r="G309" s="11"/>
      <c r="H309" s="11"/>
      <c r="I309" s="11"/>
      <c r="J309" s="12"/>
      <c r="K309" s="13"/>
      <c r="L309" s="12"/>
      <c r="M309" s="13"/>
      <c r="N309" s="13"/>
      <c r="O309" s="13"/>
    </row>
    <row r="310">
      <c r="B310" s="11"/>
      <c r="C310" s="11"/>
      <c r="D310" s="11"/>
      <c r="E310" s="15"/>
      <c r="F310" s="11"/>
      <c r="G310" s="11"/>
      <c r="H310" s="11"/>
      <c r="I310" s="11"/>
      <c r="J310" s="12"/>
      <c r="K310" s="13"/>
      <c r="L310" s="12"/>
      <c r="M310" s="13"/>
      <c r="N310" s="13"/>
      <c r="O310" s="13"/>
    </row>
    <row r="311">
      <c r="B311" s="11"/>
      <c r="C311" s="11"/>
      <c r="D311" s="11"/>
      <c r="E311" s="15"/>
      <c r="F311" s="11"/>
      <c r="G311" s="11"/>
      <c r="H311" s="11"/>
      <c r="I311" s="11"/>
      <c r="J311" s="12"/>
      <c r="K311" s="13"/>
      <c r="L311" s="12"/>
      <c r="M311" s="13"/>
      <c r="N311" s="13"/>
      <c r="O311" s="13"/>
    </row>
    <row r="312">
      <c r="B312" s="11"/>
      <c r="C312" s="11"/>
      <c r="D312" s="11"/>
      <c r="E312" s="15"/>
      <c r="F312" s="11"/>
      <c r="G312" s="11"/>
      <c r="H312" s="11"/>
      <c r="I312" s="11"/>
      <c r="J312" s="12"/>
      <c r="K312" s="13"/>
      <c r="L312" s="12"/>
      <c r="M312" s="13"/>
      <c r="N312" s="13"/>
      <c r="O312" s="13"/>
    </row>
    <row r="313">
      <c r="B313" s="11"/>
      <c r="C313" s="11"/>
      <c r="D313" s="11"/>
      <c r="E313" s="15"/>
      <c r="F313" s="11"/>
      <c r="G313" s="11"/>
      <c r="H313" s="11"/>
      <c r="I313" s="11"/>
      <c r="J313" s="12"/>
      <c r="K313" s="13"/>
      <c r="L313" s="12"/>
      <c r="M313" s="13"/>
      <c r="N313" s="13"/>
      <c r="O313" s="13"/>
    </row>
    <row r="314">
      <c r="B314" s="11"/>
      <c r="C314" s="11"/>
      <c r="D314" s="11"/>
      <c r="E314" s="15"/>
      <c r="F314" s="11"/>
      <c r="G314" s="11"/>
      <c r="H314" s="11"/>
      <c r="I314" s="11"/>
      <c r="J314" s="12"/>
      <c r="K314" s="13"/>
      <c r="L314" s="12"/>
      <c r="M314" s="13"/>
      <c r="N314" s="13"/>
      <c r="O314" s="13"/>
    </row>
    <row r="315">
      <c r="B315" s="11"/>
      <c r="C315" s="11"/>
      <c r="D315" s="11"/>
      <c r="E315" s="15"/>
      <c r="F315" s="11"/>
      <c r="G315" s="11"/>
      <c r="H315" s="11"/>
      <c r="I315" s="11"/>
      <c r="J315" s="12"/>
      <c r="K315" s="13"/>
      <c r="L315" s="12"/>
      <c r="M315" s="13"/>
      <c r="N315" s="13"/>
      <c r="O315" s="13"/>
    </row>
    <row r="316">
      <c r="B316" s="11"/>
      <c r="C316" s="11"/>
      <c r="D316" s="11"/>
      <c r="E316" s="15"/>
      <c r="F316" s="11"/>
      <c r="G316" s="11"/>
      <c r="H316" s="11"/>
      <c r="I316" s="11"/>
      <c r="J316" s="12"/>
      <c r="K316" s="13"/>
      <c r="L316" s="12"/>
      <c r="M316" s="13"/>
      <c r="N316" s="13"/>
      <c r="O316" s="13"/>
    </row>
    <row r="317">
      <c r="B317" s="11"/>
      <c r="C317" s="11"/>
      <c r="D317" s="11"/>
      <c r="E317" s="15"/>
      <c r="F317" s="11"/>
      <c r="G317" s="11"/>
      <c r="H317" s="11"/>
      <c r="I317" s="11"/>
      <c r="J317" s="12"/>
      <c r="K317" s="13"/>
      <c r="L317" s="12"/>
      <c r="M317" s="13"/>
      <c r="N317" s="13"/>
      <c r="O317" s="13"/>
    </row>
    <row r="318">
      <c r="B318" s="11"/>
      <c r="C318" s="11"/>
      <c r="D318" s="11"/>
      <c r="E318" s="15"/>
      <c r="F318" s="11"/>
      <c r="G318" s="11"/>
      <c r="H318" s="11"/>
      <c r="I318" s="11"/>
      <c r="J318" s="12"/>
      <c r="K318" s="13"/>
      <c r="L318" s="12"/>
      <c r="M318" s="13"/>
      <c r="N318" s="13"/>
      <c r="O318" s="13"/>
    </row>
    <row r="319">
      <c r="B319" s="11"/>
      <c r="C319" s="11"/>
      <c r="D319" s="11"/>
      <c r="E319" s="15"/>
      <c r="F319" s="11"/>
      <c r="G319" s="11"/>
      <c r="H319" s="11"/>
      <c r="I319" s="11"/>
      <c r="J319" s="12"/>
      <c r="K319" s="13"/>
      <c r="L319" s="12"/>
      <c r="M319" s="13"/>
      <c r="N319" s="13"/>
      <c r="O319" s="13"/>
    </row>
    <row r="320">
      <c r="B320" s="11"/>
      <c r="C320" s="11"/>
      <c r="D320" s="11"/>
      <c r="E320" s="15"/>
      <c r="F320" s="11"/>
      <c r="G320" s="11"/>
      <c r="H320" s="11"/>
      <c r="I320" s="11"/>
      <c r="J320" s="12"/>
      <c r="K320" s="13"/>
      <c r="L320" s="12"/>
      <c r="M320" s="13"/>
      <c r="N320" s="13"/>
      <c r="O320" s="13"/>
    </row>
    <row r="321">
      <c r="B321" s="11"/>
      <c r="C321" s="11"/>
      <c r="D321" s="11"/>
      <c r="E321" s="15"/>
      <c r="F321" s="11"/>
      <c r="G321" s="11"/>
      <c r="H321" s="11"/>
      <c r="I321" s="11"/>
      <c r="J321" s="12"/>
      <c r="K321" s="13"/>
      <c r="L321" s="12"/>
      <c r="M321" s="13"/>
      <c r="N321" s="13"/>
      <c r="O321" s="13"/>
    </row>
    <row r="322">
      <c r="B322" s="11"/>
      <c r="C322" s="11"/>
      <c r="D322" s="11"/>
      <c r="E322" s="15"/>
      <c r="F322" s="11"/>
      <c r="G322" s="11"/>
      <c r="H322" s="11"/>
      <c r="I322" s="11"/>
      <c r="J322" s="12"/>
      <c r="K322" s="13"/>
      <c r="L322" s="12"/>
      <c r="M322" s="13"/>
      <c r="N322" s="13"/>
      <c r="O322" s="13"/>
    </row>
    <row r="323">
      <c r="B323" s="11"/>
      <c r="C323" s="11"/>
      <c r="D323" s="11"/>
      <c r="E323" s="15"/>
      <c r="F323" s="11"/>
      <c r="G323" s="11"/>
      <c r="H323" s="11"/>
      <c r="I323" s="11"/>
      <c r="J323" s="12"/>
      <c r="K323" s="13"/>
      <c r="L323" s="12"/>
      <c r="M323" s="13"/>
      <c r="N323" s="13"/>
      <c r="O323" s="13"/>
    </row>
    <row r="324">
      <c r="B324" s="11"/>
      <c r="C324" s="11"/>
      <c r="D324" s="11"/>
      <c r="E324" s="15"/>
      <c r="F324" s="11"/>
      <c r="G324" s="11"/>
      <c r="H324" s="11"/>
      <c r="I324" s="11"/>
      <c r="J324" s="12"/>
      <c r="K324" s="13"/>
      <c r="L324" s="12"/>
      <c r="M324" s="13"/>
      <c r="N324" s="13"/>
      <c r="O324" s="13"/>
    </row>
    <row r="325">
      <c r="B325" s="11"/>
      <c r="C325" s="11"/>
      <c r="D325" s="11"/>
      <c r="E325" s="15"/>
      <c r="F325" s="11"/>
      <c r="G325" s="11"/>
      <c r="H325" s="11"/>
      <c r="I325" s="11"/>
      <c r="J325" s="12"/>
      <c r="K325" s="13"/>
      <c r="L325" s="12"/>
      <c r="M325" s="13"/>
      <c r="N325" s="13"/>
      <c r="O325" s="13"/>
    </row>
    <row r="326">
      <c r="B326" s="11"/>
      <c r="C326" s="11"/>
      <c r="D326" s="11"/>
      <c r="E326" s="15"/>
      <c r="F326" s="11"/>
      <c r="G326" s="11"/>
      <c r="H326" s="11"/>
      <c r="I326" s="11"/>
      <c r="J326" s="12"/>
      <c r="K326" s="13"/>
      <c r="L326" s="12"/>
      <c r="M326" s="13"/>
      <c r="N326" s="13"/>
      <c r="O326" s="13"/>
    </row>
    <row r="327">
      <c r="B327" s="11"/>
      <c r="C327" s="11"/>
      <c r="D327" s="11"/>
      <c r="E327" s="15"/>
      <c r="F327" s="11"/>
      <c r="G327" s="11"/>
      <c r="H327" s="11"/>
      <c r="I327" s="11"/>
      <c r="J327" s="12"/>
      <c r="K327" s="13"/>
      <c r="L327" s="12"/>
      <c r="M327" s="13"/>
      <c r="N327" s="13"/>
      <c r="O327" s="13"/>
    </row>
    <row r="328">
      <c r="B328" s="11"/>
      <c r="C328" s="11"/>
      <c r="D328" s="11"/>
      <c r="E328" s="15"/>
      <c r="F328" s="11"/>
      <c r="G328" s="11"/>
      <c r="H328" s="11"/>
      <c r="I328" s="11"/>
      <c r="J328" s="12"/>
      <c r="K328" s="13"/>
      <c r="L328" s="12"/>
      <c r="M328" s="13"/>
      <c r="N328" s="13"/>
      <c r="O328" s="13"/>
    </row>
    <row r="329">
      <c r="B329" s="11"/>
      <c r="C329" s="11"/>
      <c r="D329" s="11"/>
      <c r="E329" s="15"/>
      <c r="F329" s="11"/>
      <c r="G329" s="11"/>
      <c r="H329" s="11"/>
      <c r="I329" s="11"/>
      <c r="J329" s="12"/>
      <c r="K329" s="13"/>
      <c r="L329" s="12"/>
      <c r="M329" s="13"/>
      <c r="N329" s="13"/>
      <c r="O329" s="13"/>
    </row>
    <row r="330">
      <c r="B330" s="11"/>
      <c r="C330" s="11"/>
      <c r="D330" s="11"/>
      <c r="E330" s="15"/>
      <c r="F330" s="11"/>
      <c r="G330" s="11"/>
      <c r="H330" s="11"/>
      <c r="I330" s="11"/>
      <c r="J330" s="12"/>
      <c r="K330" s="13"/>
      <c r="L330" s="12"/>
      <c r="M330" s="13"/>
      <c r="N330" s="13"/>
      <c r="O330" s="13"/>
    </row>
    <row r="331">
      <c r="B331" s="11"/>
      <c r="C331" s="11"/>
      <c r="D331" s="11"/>
      <c r="E331" s="15"/>
      <c r="F331" s="11"/>
      <c r="G331" s="11"/>
      <c r="H331" s="11"/>
      <c r="I331" s="11"/>
      <c r="J331" s="12"/>
      <c r="K331" s="13"/>
      <c r="L331" s="12"/>
      <c r="M331" s="13"/>
      <c r="N331" s="13"/>
      <c r="O331" s="13"/>
    </row>
    <row r="332">
      <c r="B332" s="11"/>
      <c r="C332" s="11"/>
      <c r="D332" s="11"/>
      <c r="E332" s="15"/>
      <c r="F332" s="11"/>
      <c r="G332" s="11"/>
      <c r="H332" s="11"/>
      <c r="I332" s="11"/>
      <c r="J332" s="12"/>
      <c r="K332" s="13"/>
      <c r="L332" s="12"/>
      <c r="M332" s="13"/>
      <c r="N332" s="13"/>
      <c r="O332" s="13"/>
    </row>
    <row r="333">
      <c r="B333" s="11"/>
      <c r="C333" s="11"/>
      <c r="D333" s="11"/>
      <c r="E333" s="15"/>
      <c r="F333" s="11"/>
      <c r="G333" s="11"/>
      <c r="H333" s="11"/>
      <c r="I333" s="11"/>
      <c r="J333" s="12"/>
      <c r="K333" s="13"/>
      <c r="L333" s="12"/>
      <c r="M333" s="13"/>
      <c r="N333" s="13"/>
      <c r="O333" s="13"/>
    </row>
    <row r="334">
      <c r="B334" s="11"/>
      <c r="C334" s="11"/>
      <c r="D334" s="11"/>
      <c r="E334" s="15"/>
      <c r="F334" s="11"/>
      <c r="G334" s="11"/>
      <c r="H334" s="11"/>
      <c r="I334" s="11"/>
      <c r="J334" s="12"/>
      <c r="K334" s="13"/>
      <c r="L334" s="12"/>
      <c r="M334" s="13"/>
      <c r="N334" s="13"/>
      <c r="O334" s="13"/>
    </row>
    <row r="335">
      <c r="B335" s="11"/>
      <c r="C335" s="11"/>
      <c r="D335" s="11"/>
      <c r="E335" s="15"/>
      <c r="F335" s="11"/>
      <c r="G335" s="11"/>
      <c r="H335" s="11"/>
      <c r="I335" s="11"/>
      <c r="J335" s="12"/>
      <c r="K335" s="13"/>
      <c r="L335" s="12"/>
      <c r="M335" s="13"/>
      <c r="N335" s="13"/>
      <c r="O335" s="13"/>
    </row>
    <row r="336">
      <c r="B336" s="11"/>
      <c r="C336" s="11"/>
      <c r="D336" s="11"/>
      <c r="E336" s="15"/>
      <c r="F336" s="11"/>
      <c r="G336" s="11"/>
      <c r="H336" s="11"/>
      <c r="I336" s="11"/>
      <c r="J336" s="12"/>
      <c r="K336" s="13"/>
      <c r="L336" s="12"/>
      <c r="M336" s="13"/>
      <c r="N336" s="13"/>
      <c r="O336" s="13"/>
    </row>
    <row r="337">
      <c r="B337" s="11"/>
      <c r="C337" s="11"/>
      <c r="D337" s="11"/>
      <c r="E337" s="15"/>
      <c r="F337" s="11"/>
      <c r="G337" s="11"/>
      <c r="H337" s="11"/>
      <c r="I337" s="11"/>
      <c r="J337" s="12"/>
      <c r="K337" s="13"/>
      <c r="L337" s="12"/>
      <c r="M337" s="13"/>
      <c r="N337" s="13"/>
      <c r="O337" s="13"/>
    </row>
    <row r="338">
      <c r="B338" s="11"/>
      <c r="C338" s="11"/>
      <c r="D338" s="11"/>
      <c r="E338" s="15"/>
      <c r="F338" s="11"/>
      <c r="G338" s="11"/>
      <c r="H338" s="11"/>
      <c r="I338" s="11"/>
      <c r="J338" s="12"/>
      <c r="K338" s="13"/>
      <c r="L338" s="12"/>
      <c r="M338" s="13"/>
      <c r="N338" s="13"/>
      <c r="O338" s="13"/>
    </row>
    <row r="339">
      <c r="B339" s="11"/>
      <c r="C339" s="11"/>
      <c r="D339" s="11"/>
      <c r="E339" s="15"/>
      <c r="F339" s="11"/>
      <c r="G339" s="11"/>
      <c r="H339" s="11"/>
      <c r="I339" s="11"/>
      <c r="J339" s="12"/>
      <c r="K339" s="13"/>
      <c r="L339" s="12"/>
      <c r="M339" s="13"/>
      <c r="N339" s="13"/>
      <c r="O339" s="13"/>
    </row>
    <row r="340">
      <c r="B340" s="11"/>
      <c r="C340" s="11"/>
      <c r="D340" s="11"/>
      <c r="E340" s="15"/>
      <c r="F340" s="11"/>
      <c r="G340" s="11"/>
      <c r="H340" s="11"/>
      <c r="I340" s="11"/>
      <c r="J340" s="12"/>
      <c r="K340" s="13"/>
      <c r="L340" s="12"/>
      <c r="M340" s="13"/>
      <c r="N340" s="13"/>
      <c r="O340" s="13"/>
    </row>
    <row r="341">
      <c r="B341" s="11"/>
      <c r="C341" s="11"/>
      <c r="D341" s="11"/>
      <c r="E341" s="15"/>
      <c r="F341" s="11"/>
      <c r="G341" s="11"/>
      <c r="H341" s="11"/>
      <c r="I341" s="11"/>
      <c r="J341" s="12"/>
      <c r="K341" s="13"/>
      <c r="L341" s="12"/>
      <c r="M341" s="13"/>
      <c r="N341" s="13"/>
      <c r="O341" s="13"/>
    </row>
    <row r="342">
      <c r="B342" s="11"/>
      <c r="C342" s="11"/>
      <c r="D342" s="11"/>
      <c r="E342" s="15"/>
      <c r="F342" s="11"/>
      <c r="G342" s="11"/>
      <c r="H342" s="11"/>
      <c r="I342" s="11"/>
      <c r="J342" s="12"/>
      <c r="K342" s="13"/>
      <c r="L342" s="12"/>
      <c r="M342" s="13"/>
      <c r="N342" s="13"/>
      <c r="O342" s="13"/>
    </row>
    <row r="343">
      <c r="B343" s="11"/>
      <c r="C343" s="11"/>
      <c r="D343" s="11"/>
      <c r="E343" s="15"/>
      <c r="F343" s="11"/>
      <c r="G343" s="11"/>
      <c r="H343" s="11"/>
      <c r="I343" s="11"/>
      <c r="J343" s="12"/>
      <c r="K343" s="13"/>
      <c r="L343" s="12"/>
      <c r="M343" s="13"/>
      <c r="N343" s="13"/>
      <c r="O343" s="13"/>
    </row>
    <row r="344">
      <c r="B344" s="11"/>
      <c r="C344" s="11"/>
      <c r="D344" s="11"/>
      <c r="E344" s="15"/>
      <c r="F344" s="11"/>
      <c r="G344" s="11"/>
      <c r="H344" s="11"/>
      <c r="I344" s="11"/>
      <c r="J344" s="12"/>
      <c r="K344" s="13"/>
      <c r="L344" s="12"/>
      <c r="M344" s="13"/>
      <c r="N344" s="13"/>
      <c r="O344" s="13"/>
    </row>
    <row r="345">
      <c r="B345" s="11"/>
      <c r="C345" s="11"/>
      <c r="D345" s="11"/>
      <c r="E345" s="15"/>
      <c r="F345" s="11"/>
      <c r="G345" s="11"/>
      <c r="H345" s="11"/>
      <c r="I345" s="11"/>
      <c r="J345" s="12"/>
      <c r="K345" s="13"/>
      <c r="L345" s="12"/>
      <c r="M345" s="13"/>
      <c r="N345" s="13"/>
      <c r="O345" s="13"/>
    </row>
    <row r="346">
      <c r="B346" s="11"/>
      <c r="C346" s="11"/>
      <c r="D346" s="11"/>
      <c r="E346" s="15"/>
      <c r="F346" s="11"/>
      <c r="G346" s="11"/>
      <c r="H346" s="11"/>
      <c r="I346" s="11"/>
      <c r="J346" s="12"/>
      <c r="K346" s="13"/>
      <c r="L346" s="12"/>
      <c r="M346" s="13"/>
      <c r="N346" s="13"/>
      <c r="O346" s="13"/>
    </row>
    <row r="347">
      <c r="B347" s="11"/>
      <c r="C347" s="11"/>
      <c r="D347" s="11"/>
      <c r="E347" s="15"/>
      <c r="F347" s="11"/>
      <c r="G347" s="11"/>
      <c r="H347" s="11"/>
      <c r="I347" s="11"/>
      <c r="J347" s="12"/>
      <c r="K347" s="13"/>
      <c r="L347" s="12"/>
      <c r="M347" s="13"/>
      <c r="N347" s="13"/>
      <c r="O347" s="13"/>
    </row>
    <row r="348">
      <c r="B348" s="11"/>
      <c r="C348" s="11"/>
      <c r="D348" s="11"/>
      <c r="E348" s="15"/>
      <c r="F348" s="11"/>
      <c r="G348" s="11"/>
      <c r="H348" s="11"/>
      <c r="I348" s="11"/>
      <c r="J348" s="12"/>
      <c r="K348" s="13"/>
      <c r="L348" s="12"/>
      <c r="M348" s="13"/>
      <c r="N348" s="13"/>
      <c r="O348" s="13"/>
    </row>
    <row r="349">
      <c r="B349" s="11"/>
      <c r="C349" s="11"/>
      <c r="D349" s="11"/>
      <c r="E349" s="15"/>
      <c r="F349" s="11"/>
      <c r="G349" s="11"/>
      <c r="H349" s="11"/>
      <c r="I349" s="11"/>
      <c r="J349" s="12"/>
      <c r="K349" s="13"/>
      <c r="L349" s="12"/>
      <c r="M349" s="13"/>
      <c r="N349" s="13"/>
      <c r="O349" s="13"/>
    </row>
    <row r="350">
      <c r="B350" s="11"/>
      <c r="C350" s="11"/>
      <c r="D350" s="11"/>
      <c r="E350" s="15"/>
      <c r="F350" s="11"/>
      <c r="G350" s="11"/>
      <c r="H350" s="11"/>
      <c r="I350" s="11"/>
      <c r="J350" s="12"/>
      <c r="K350" s="13"/>
      <c r="L350" s="12"/>
      <c r="M350" s="13"/>
      <c r="N350" s="13"/>
      <c r="O350" s="13"/>
    </row>
    <row r="351">
      <c r="B351" s="11"/>
      <c r="C351" s="11"/>
      <c r="D351" s="11"/>
      <c r="E351" s="15"/>
      <c r="F351" s="11"/>
      <c r="G351" s="11"/>
      <c r="H351" s="11"/>
      <c r="I351" s="11"/>
      <c r="J351" s="12"/>
      <c r="K351" s="13"/>
      <c r="L351" s="12"/>
      <c r="M351" s="13"/>
      <c r="N351" s="13"/>
      <c r="O351" s="13"/>
    </row>
    <row r="352">
      <c r="B352" s="11"/>
      <c r="C352" s="11"/>
      <c r="D352" s="11"/>
      <c r="E352" s="15"/>
      <c r="F352" s="11"/>
      <c r="G352" s="11"/>
      <c r="H352" s="11"/>
      <c r="I352" s="11"/>
      <c r="J352" s="12"/>
      <c r="K352" s="13"/>
      <c r="L352" s="12"/>
      <c r="M352" s="13"/>
      <c r="N352" s="13"/>
      <c r="O352" s="13"/>
    </row>
    <row r="353">
      <c r="B353" s="11"/>
      <c r="C353" s="11"/>
      <c r="D353" s="11"/>
      <c r="E353" s="15"/>
      <c r="F353" s="11"/>
      <c r="G353" s="11"/>
      <c r="H353" s="11"/>
      <c r="I353" s="11"/>
      <c r="J353" s="12"/>
      <c r="K353" s="13"/>
      <c r="L353" s="12"/>
      <c r="M353" s="13"/>
      <c r="N353" s="13"/>
      <c r="O353" s="13"/>
    </row>
    <row r="354">
      <c r="B354" s="11"/>
      <c r="C354" s="11"/>
      <c r="D354" s="11"/>
      <c r="E354" s="15"/>
      <c r="F354" s="11"/>
      <c r="G354" s="11"/>
      <c r="H354" s="11"/>
      <c r="I354" s="11"/>
      <c r="J354" s="12"/>
      <c r="K354" s="13"/>
      <c r="L354" s="12"/>
      <c r="M354" s="13"/>
      <c r="N354" s="13"/>
      <c r="O354" s="13"/>
    </row>
    <row r="355">
      <c r="B355" s="11"/>
      <c r="C355" s="11"/>
      <c r="D355" s="11"/>
      <c r="E355" s="15"/>
      <c r="F355" s="11"/>
      <c r="G355" s="11"/>
      <c r="H355" s="11"/>
      <c r="I355" s="11"/>
      <c r="J355" s="12"/>
      <c r="K355" s="13"/>
      <c r="L355" s="12"/>
      <c r="M355" s="13"/>
      <c r="N355" s="13"/>
      <c r="O355" s="13"/>
    </row>
    <row r="356">
      <c r="B356" s="11"/>
      <c r="C356" s="11"/>
      <c r="D356" s="11"/>
      <c r="E356" s="15"/>
      <c r="F356" s="11"/>
      <c r="G356" s="11"/>
      <c r="H356" s="11"/>
      <c r="I356" s="11"/>
      <c r="J356" s="12"/>
      <c r="K356" s="13"/>
      <c r="L356" s="12"/>
      <c r="M356" s="13"/>
      <c r="N356" s="13"/>
      <c r="O356" s="13"/>
    </row>
    <row r="357">
      <c r="B357" s="11"/>
      <c r="C357" s="11"/>
      <c r="D357" s="11"/>
      <c r="E357" s="15"/>
      <c r="F357" s="11"/>
      <c r="G357" s="11"/>
      <c r="H357" s="11"/>
      <c r="I357" s="11"/>
      <c r="J357" s="12"/>
      <c r="K357" s="13"/>
      <c r="L357" s="12"/>
      <c r="M357" s="13"/>
      <c r="N357" s="13"/>
      <c r="O357" s="13"/>
    </row>
    <row r="358">
      <c r="B358" s="11"/>
      <c r="C358" s="11"/>
      <c r="D358" s="11"/>
      <c r="E358" s="15"/>
      <c r="F358" s="11"/>
      <c r="G358" s="11"/>
      <c r="H358" s="11"/>
      <c r="I358" s="11"/>
      <c r="J358" s="12"/>
      <c r="K358" s="13"/>
      <c r="L358" s="12"/>
      <c r="M358" s="13"/>
      <c r="N358" s="13"/>
      <c r="O358" s="13"/>
    </row>
    <row r="359">
      <c r="B359" s="11"/>
      <c r="C359" s="11"/>
      <c r="D359" s="11"/>
      <c r="E359" s="15"/>
      <c r="F359" s="11"/>
      <c r="G359" s="11"/>
      <c r="H359" s="11"/>
      <c r="I359" s="11"/>
      <c r="J359" s="12"/>
      <c r="K359" s="13"/>
      <c r="L359" s="12"/>
      <c r="M359" s="13"/>
      <c r="N359" s="13"/>
      <c r="O359" s="13"/>
    </row>
    <row r="360">
      <c r="B360" s="11"/>
      <c r="C360" s="11"/>
      <c r="D360" s="11"/>
      <c r="E360" s="15"/>
      <c r="F360" s="11"/>
      <c r="G360" s="11"/>
      <c r="H360" s="11"/>
      <c r="I360" s="11"/>
      <c r="J360" s="12"/>
      <c r="K360" s="13"/>
      <c r="L360" s="12"/>
      <c r="M360" s="13"/>
      <c r="N360" s="13"/>
      <c r="O360" s="13"/>
    </row>
    <row r="361">
      <c r="B361" s="11"/>
      <c r="C361" s="11"/>
      <c r="D361" s="11"/>
      <c r="E361" s="15"/>
      <c r="F361" s="11"/>
      <c r="G361" s="11"/>
      <c r="H361" s="11"/>
      <c r="I361" s="11"/>
      <c r="J361" s="12"/>
      <c r="K361" s="13"/>
      <c r="L361" s="12"/>
      <c r="M361" s="13"/>
      <c r="N361" s="13"/>
      <c r="O361" s="13"/>
    </row>
    <row r="362">
      <c r="B362" s="11"/>
      <c r="C362" s="11"/>
      <c r="D362" s="11"/>
      <c r="E362" s="15"/>
      <c r="F362" s="11"/>
      <c r="G362" s="11"/>
      <c r="H362" s="11"/>
      <c r="I362" s="11"/>
      <c r="J362" s="12"/>
      <c r="K362" s="13"/>
      <c r="L362" s="12"/>
      <c r="M362" s="13"/>
      <c r="N362" s="13"/>
      <c r="O362" s="13"/>
    </row>
    <row r="363">
      <c r="B363" s="11"/>
      <c r="C363" s="11"/>
      <c r="D363" s="11"/>
      <c r="E363" s="15"/>
      <c r="F363" s="11"/>
      <c r="G363" s="11"/>
      <c r="H363" s="11"/>
      <c r="I363" s="11"/>
      <c r="J363" s="12"/>
      <c r="K363" s="13"/>
      <c r="L363" s="12"/>
      <c r="M363" s="13"/>
      <c r="N363" s="13"/>
      <c r="O363" s="13"/>
    </row>
    <row r="364">
      <c r="B364" s="11"/>
      <c r="C364" s="11"/>
      <c r="D364" s="11"/>
      <c r="E364" s="15"/>
      <c r="F364" s="11"/>
      <c r="G364" s="11"/>
      <c r="H364" s="11"/>
      <c r="I364" s="11"/>
      <c r="J364" s="12"/>
      <c r="K364" s="13"/>
      <c r="L364" s="12"/>
      <c r="M364" s="13"/>
      <c r="N364" s="13"/>
      <c r="O364" s="13"/>
    </row>
    <row r="365">
      <c r="B365" s="11"/>
      <c r="C365" s="11"/>
      <c r="D365" s="11"/>
      <c r="E365" s="15"/>
      <c r="F365" s="11"/>
      <c r="G365" s="11"/>
      <c r="H365" s="11"/>
      <c r="I365" s="11"/>
      <c r="J365" s="12"/>
      <c r="K365" s="13"/>
      <c r="L365" s="12"/>
      <c r="M365" s="13"/>
      <c r="N365" s="13"/>
      <c r="O365" s="13"/>
    </row>
    <row r="366">
      <c r="B366" s="11"/>
      <c r="C366" s="11"/>
      <c r="D366" s="11"/>
      <c r="E366" s="15"/>
      <c r="F366" s="11"/>
      <c r="G366" s="11"/>
      <c r="H366" s="11"/>
      <c r="I366" s="11"/>
      <c r="J366" s="12"/>
      <c r="K366" s="13"/>
      <c r="L366" s="12"/>
      <c r="M366" s="13"/>
      <c r="N366" s="13"/>
      <c r="O366" s="13"/>
    </row>
    <row r="367">
      <c r="B367" s="11"/>
      <c r="C367" s="11"/>
      <c r="D367" s="11"/>
      <c r="E367" s="15"/>
      <c r="F367" s="11"/>
      <c r="G367" s="11"/>
      <c r="H367" s="11"/>
      <c r="I367" s="11"/>
      <c r="J367" s="12"/>
      <c r="K367" s="13"/>
      <c r="L367" s="12"/>
      <c r="M367" s="13"/>
      <c r="N367" s="13"/>
      <c r="O367" s="13"/>
    </row>
    <row r="368">
      <c r="B368" s="11"/>
      <c r="C368" s="11"/>
      <c r="D368" s="11"/>
      <c r="E368" s="15"/>
      <c r="F368" s="11"/>
      <c r="G368" s="11"/>
      <c r="H368" s="11"/>
      <c r="I368" s="11"/>
      <c r="J368" s="12"/>
      <c r="K368" s="13"/>
      <c r="L368" s="12"/>
      <c r="M368" s="13"/>
      <c r="N368" s="13"/>
      <c r="O368" s="13"/>
    </row>
    <row r="369">
      <c r="B369" s="11"/>
      <c r="C369" s="11"/>
      <c r="D369" s="11"/>
      <c r="E369" s="15"/>
      <c r="F369" s="11"/>
      <c r="G369" s="11"/>
      <c r="H369" s="11"/>
      <c r="I369" s="11"/>
      <c r="J369" s="12"/>
      <c r="K369" s="13"/>
      <c r="L369" s="12"/>
      <c r="M369" s="13"/>
      <c r="N369" s="13"/>
      <c r="O369" s="13"/>
    </row>
    <row r="370">
      <c r="B370" s="11"/>
      <c r="C370" s="11"/>
      <c r="D370" s="11"/>
      <c r="E370" s="15"/>
      <c r="F370" s="11"/>
      <c r="G370" s="11"/>
      <c r="H370" s="11"/>
      <c r="I370" s="11"/>
      <c r="J370" s="12"/>
      <c r="K370" s="13"/>
      <c r="L370" s="12"/>
      <c r="M370" s="13"/>
      <c r="N370" s="13"/>
      <c r="O370" s="13"/>
    </row>
    <row r="371">
      <c r="B371" s="11"/>
      <c r="C371" s="11"/>
      <c r="D371" s="11"/>
      <c r="E371" s="15"/>
      <c r="F371" s="11"/>
      <c r="G371" s="11"/>
      <c r="H371" s="11"/>
      <c r="I371" s="11"/>
      <c r="J371" s="12"/>
      <c r="K371" s="13"/>
      <c r="L371" s="12"/>
      <c r="M371" s="13"/>
      <c r="N371" s="13"/>
      <c r="O371" s="13"/>
    </row>
    <row r="372">
      <c r="B372" s="11"/>
      <c r="C372" s="11"/>
      <c r="D372" s="11"/>
      <c r="E372" s="15"/>
      <c r="F372" s="11"/>
      <c r="G372" s="11"/>
      <c r="H372" s="11"/>
      <c r="I372" s="11"/>
      <c r="J372" s="12"/>
      <c r="K372" s="13"/>
      <c r="L372" s="12"/>
      <c r="M372" s="13"/>
      <c r="N372" s="13"/>
      <c r="O372" s="13"/>
    </row>
    <row r="373">
      <c r="B373" s="11"/>
      <c r="C373" s="11"/>
      <c r="D373" s="11"/>
      <c r="E373" s="15"/>
      <c r="F373" s="11"/>
      <c r="G373" s="11"/>
      <c r="H373" s="11"/>
      <c r="I373" s="11"/>
      <c r="J373" s="12"/>
      <c r="K373" s="13"/>
      <c r="L373" s="12"/>
      <c r="M373" s="13"/>
      <c r="N373" s="13"/>
      <c r="O373" s="13"/>
    </row>
    <row r="374">
      <c r="B374" s="11"/>
      <c r="C374" s="11"/>
      <c r="D374" s="11"/>
      <c r="E374" s="15"/>
      <c r="F374" s="11"/>
      <c r="G374" s="11"/>
      <c r="H374" s="11"/>
      <c r="I374" s="11"/>
      <c r="J374" s="12"/>
      <c r="K374" s="13"/>
      <c r="L374" s="12"/>
      <c r="M374" s="13"/>
      <c r="N374" s="13"/>
      <c r="O374" s="13"/>
    </row>
    <row r="375">
      <c r="B375" s="11"/>
      <c r="C375" s="11"/>
      <c r="D375" s="11"/>
      <c r="E375" s="15"/>
      <c r="F375" s="11"/>
      <c r="G375" s="11"/>
      <c r="H375" s="11"/>
      <c r="I375" s="11"/>
      <c r="J375" s="12"/>
      <c r="K375" s="13"/>
      <c r="L375" s="12"/>
      <c r="M375" s="13"/>
      <c r="N375" s="13"/>
      <c r="O375" s="13"/>
    </row>
    <row r="376">
      <c r="B376" s="11"/>
      <c r="C376" s="11"/>
      <c r="D376" s="11"/>
      <c r="E376" s="15"/>
      <c r="F376" s="11"/>
      <c r="G376" s="11"/>
      <c r="H376" s="11"/>
      <c r="I376" s="11"/>
      <c r="J376" s="12"/>
      <c r="K376" s="13"/>
      <c r="L376" s="12"/>
      <c r="M376" s="13"/>
      <c r="N376" s="13"/>
      <c r="O376" s="13"/>
    </row>
    <row r="377">
      <c r="B377" s="11"/>
      <c r="C377" s="11"/>
      <c r="D377" s="11"/>
      <c r="E377" s="15"/>
      <c r="F377" s="11"/>
      <c r="G377" s="11"/>
      <c r="H377" s="11"/>
      <c r="I377" s="11"/>
      <c r="J377" s="12"/>
      <c r="K377" s="13"/>
      <c r="L377" s="12"/>
      <c r="M377" s="13"/>
      <c r="N377" s="13"/>
      <c r="O377" s="13"/>
    </row>
    <row r="378">
      <c r="B378" s="11"/>
      <c r="C378" s="11"/>
      <c r="D378" s="11"/>
      <c r="E378" s="15"/>
      <c r="F378" s="11"/>
      <c r="G378" s="11"/>
      <c r="H378" s="11"/>
      <c r="I378" s="11"/>
      <c r="J378" s="12"/>
      <c r="K378" s="13"/>
      <c r="L378" s="12"/>
      <c r="M378" s="13"/>
      <c r="N378" s="13"/>
      <c r="O378" s="13"/>
    </row>
    <row r="379">
      <c r="B379" s="11"/>
      <c r="C379" s="11"/>
      <c r="D379" s="11"/>
      <c r="E379" s="15"/>
      <c r="F379" s="11"/>
      <c r="G379" s="11"/>
      <c r="H379" s="11"/>
      <c r="I379" s="11"/>
      <c r="J379" s="12"/>
      <c r="K379" s="13"/>
      <c r="L379" s="12"/>
      <c r="M379" s="13"/>
      <c r="N379" s="13"/>
      <c r="O379" s="13"/>
    </row>
    <row r="380">
      <c r="B380" s="11"/>
      <c r="C380" s="11"/>
      <c r="D380" s="11"/>
      <c r="E380" s="15"/>
      <c r="F380" s="11"/>
      <c r="G380" s="11"/>
      <c r="H380" s="11"/>
      <c r="I380" s="11"/>
      <c r="J380" s="12"/>
      <c r="K380" s="13"/>
      <c r="L380" s="12"/>
      <c r="M380" s="13"/>
      <c r="N380" s="13"/>
      <c r="O380" s="13"/>
    </row>
    <row r="381">
      <c r="B381" s="11"/>
      <c r="C381" s="11"/>
      <c r="D381" s="11"/>
      <c r="E381" s="15"/>
      <c r="F381" s="11"/>
      <c r="G381" s="11"/>
      <c r="H381" s="11"/>
      <c r="I381" s="11"/>
      <c r="J381" s="12"/>
      <c r="K381" s="13"/>
      <c r="L381" s="12"/>
      <c r="M381" s="13"/>
      <c r="N381" s="13"/>
      <c r="O381" s="13"/>
    </row>
    <row r="382">
      <c r="B382" s="11"/>
      <c r="C382" s="11"/>
      <c r="D382" s="11"/>
      <c r="E382" s="15"/>
      <c r="F382" s="11"/>
      <c r="G382" s="11"/>
      <c r="H382" s="11"/>
      <c r="I382" s="11"/>
      <c r="J382" s="12"/>
      <c r="K382" s="13"/>
      <c r="L382" s="12"/>
      <c r="M382" s="13"/>
      <c r="N382" s="13"/>
      <c r="O382" s="13"/>
    </row>
    <row r="383">
      <c r="B383" s="11"/>
      <c r="C383" s="11"/>
      <c r="D383" s="11"/>
      <c r="E383" s="15"/>
      <c r="F383" s="11"/>
      <c r="G383" s="11"/>
      <c r="H383" s="11"/>
      <c r="I383" s="11"/>
      <c r="J383" s="12"/>
      <c r="K383" s="13"/>
      <c r="L383" s="12"/>
      <c r="M383" s="13"/>
      <c r="N383" s="13"/>
      <c r="O383" s="13"/>
    </row>
    <row r="384">
      <c r="B384" s="11"/>
      <c r="C384" s="11"/>
      <c r="D384" s="11"/>
      <c r="E384" s="15"/>
      <c r="F384" s="11"/>
      <c r="G384" s="11"/>
      <c r="H384" s="11"/>
      <c r="I384" s="11"/>
      <c r="J384" s="12"/>
      <c r="K384" s="13"/>
      <c r="L384" s="12"/>
      <c r="M384" s="13"/>
      <c r="N384" s="13"/>
      <c r="O384" s="13"/>
    </row>
    <row r="385">
      <c r="B385" s="11"/>
      <c r="C385" s="11"/>
      <c r="D385" s="11"/>
      <c r="E385" s="15"/>
      <c r="F385" s="11"/>
      <c r="G385" s="11"/>
      <c r="H385" s="11"/>
      <c r="I385" s="11"/>
      <c r="J385" s="12"/>
      <c r="K385" s="13"/>
      <c r="L385" s="12"/>
      <c r="M385" s="13"/>
      <c r="N385" s="13"/>
      <c r="O385" s="13"/>
    </row>
    <row r="386">
      <c r="B386" s="11"/>
      <c r="C386" s="11"/>
      <c r="D386" s="11"/>
      <c r="E386" s="15"/>
      <c r="F386" s="11"/>
      <c r="G386" s="11"/>
      <c r="H386" s="11"/>
      <c r="I386" s="11"/>
      <c r="J386" s="12"/>
      <c r="K386" s="13"/>
      <c r="L386" s="12"/>
      <c r="M386" s="13"/>
      <c r="N386" s="13"/>
      <c r="O386" s="13"/>
    </row>
    <row r="387">
      <c r="B387" s="11"/>
      <c r="C387" s="11"/>
      <c r="D387" s="11"/>
      <c r="E387" s="15"/>
      <c r="F387" s="11"/>
      <c r="G387" s="11"/>
      <c r="H387" s="11"/>
      <c r="I387" s="11"/>
      <c r="J387" s="12"/>
      <c r="K387" s="13"/>
      <c r="L387" s="12"/>
      <c r="M387" s="13"/>
      <c r="N387" s="13"/>
      <c r="O387" s="13"/>
    </row>
    <row r="388">
      <c r="B388" s="11"/>
      <c r="C388" s="11"/>
      <c r="D388" s="11"/>
      <c r="E388" s="15"/>
      <c r="F388" s="11"/>
      <c r="G388" s="11"/>
      <c r="H388" s="11"/>
      <c r="I388" s="11"/>
      <c r="J388" s="12"/>
      <c r="K388" s="13"/>
      <c r="L388" s="12"/>
      <c r="M388" s="13"/>
      <c r="N388" s="13"/>
      <c r="O388" s="13"/>
    </row>
    <row r="389">
      <c r="B389" s="11"/>
      <c r="C389" s="11"/>
      <c r="D389" s="11"/>
      <c r="E389" s="15"/>
      <c r="F389" s="11"/>
      <c r="G389" s="11"/>
      <c r="H389" s="11"/>
      <c r="I389" s="11"/>
      <c r="J389" s="12"/>
      <c r="K389" s="13"/>
      <c r="L389" s="12"/>
      <c r="M389" s="13"/>
      <c r="N389" s="13"/>
      <c r="O389" s="13"/>
    </row>
    <row r="390">
      <c r="B390" s="11"/>
      <c r="C390" s="11"/>
      <c r="D390" s="11"/>
      <c r="E390" s="15"/>
      <c r="F390" s="11"/>
      <c r="G390" s="11"/>
      <c r="H390" s="11"/>
      <c r="I390" s="11"/>
      <c r="J390" s="12"/>
      <c r="K390" s="13"/>
      <c r="L390" s="12"/>
      <c r="M390" s="13"/>
      <c r="N390" s="13"/>
      <c r="O390" s="13"/>
    </row>
    <row r="391">
      <c r="B391" s="11"/>
      <c r="C391" s="11"/>
      <c r="D391" s="11"/>
      <c r="E391" s="15"/>
      <c r="F391" s="11"/>
      <c r="G391" s="11"/>
      <c r="H391" s="11"/>
      <c r="I391" s="11"/>
      <c r="J391" s="12"/>
      <c r="K391" s="13"/>
      <c r="L391" s="12"/>
      <c r="M391" s="13"/>
      <c r="N391" s="13"/>
      <c r="O391" s="13"/>
    </row>
    <row r="392">
      <c r="B392" s="11"/>
      <c r="C392" s="11"/>
      <c r="D392" s="11"/>
      <c r="E392" s="15"/>
      <c r="F392" s="11"/>
      <c r="G392" s="11"/>
      <c r="H392" s="11"/>
      <c r="I392" s="11"/>
      <c r="J392" s="12"/>
      <c r="K392" s="13"/>
      <c r="L392" s="12"/>
      <c r="M392" s="13"/>
      <c r="N392" s="13"/>
      <c r="O392" s="13"/>
    </row>
    <row r="393">
      <c r="B393" s="11"/>
      <c r="C393" s="11"/>
      <c r="D393" s="11"/>
      <c r="E393" s="15"/>
      <c r="F393" s="11"/>
      <c r="G393" s="11"/>
      <c r="H393" s="11"/>
      <c r="I393" s="11"/>
      <c r="J393" s="12"/>
      <c r="K393" s="13"/>
      <c r="L393" s="12"/>
      <c r="M393" s="13"/>
      <c r="N393" s="13"/>
      <c r="O393" s="13"/>
    </row>
    <row r="394">
      <c r="B394" s="11"/>
      <c r="C394" s="11"/>
      <c r="D394" s="11"/>
      <c r="E394" s="15"/>
      <c r="F394" s="11"/>
      <c r="G394" s="11"/>
      <c r="H394" s="11"/>
      <c r="I394" s="11"/>
      <c r="J394" s="12"/>
      <c r="K394" s="13"/>
      <c r="L394" s="12"/>
      <c r="M394" s="13"/>
      <c r="N394" s="13"/>
      <c r="O394" s="13"/>
    </row>
    <row r="395">
      <c r="B395" s="11"/>
      <c r="C395" s="11"/>
      <c r="D395" s="11"/>
      <c r="E395" s="15"/>
      <c r="F395" s="11"/>
      <c r="G395" s="11"/>
      <c r="H395" s="11"/>
      <c r="I395" s="11"/>
      <c r="J395" s="12"/>
      <c r="K395" s="13"/>
      <c r="L395" s="12"/>
      <c r="M395" s="13"/>
      <c r="N395" s="13"/>
      <c r="O395" s="13"/>
    </row>
    <row r="396">
      <c r="B396" s="11"/>
      <c r="C396" s="11"/>
      <c r="D396" s="11"/>
      <c r="E396" s="15"/>
      <c r="F396" s="11"/>
      <c r="G396" s="11"/>
      <c r="H396" s="11"/>
      <c r="I396" s="11"/>
      <c r="J396" s="12"/>
      <c r="K396" s="13"/>
      <c r="L396" s="12"/>
      <c r="M396" s="13"/>
      <c r="N396" s="13"/>
      <c r="O396" s="13"/>
    </row>
    <row r="397">
      <c r="B397" s="11"/>
      <c r="C397" s="11"/>
      <c r="D397" s="11"/>
      <c r="E397" s="15"/>
      <c r="F397" s="11"/>
      <c r="G397" s="11"/>
      <c r="H397" s="11"/>
      <c r="I397" s="11"/>
      <c r="J397" s="12"/>
      <c r="K397" s="13"/>
      <c r="L397" s="12"/>
      <c r="M397" s="13"/>
      <c r="N397" s="13"/>
      <c r="O397" s="13"/>
    </row>
    <row r="398">
      <c r="B398" s="11"/>
      <c r="C398" s="11"/>
      <c r="D398" s="11"/>
      <c r="E398" s="15"/>
      <c r="F398" s="11"/>
      <c r="G398" s="11"/>
      <c r="H398" s="11"/>
      <c r="I398" s="11"/>
      <c r="J398" s="12"/>
      <c r="K398" s="13"/>
      <c r="L398" s="12"/>
      <c r="M398" s="13"/>
      <c r="N398" s="13"/>
      <c r="O398" s="13"/>
    </row>
    <row r="399">
      <c r="B399" s="11"/>
      <c r="C399" s="11"/>
      <c r="D399" s="11"/>
      <c r="E399" s="15"/>
      <c r="F399" s="11"/>
      <c r="G399" s="11"/>
      <c r="H399" s="11"/>
      <c r="I399" s="11"/>
      <c r="J399" s="12"/>
      <c r="K399" s="13"/>
      <c r="L399" s="12"/>
      <c r="M399" s="13"/>
      <c r="N399" s="13"/>
      <c r="O399" s="13"/>
    </row>
    <row r="400">
      <c r="B400" s="11"/>
      <c r="C400" s="11"/>
      <c r="D400" s="11"/>
      <c r="E400" s="15"/>
      <c r="F400" s="11"/>
      <c r="G400" s="11"/>
      <c r="H400" s="11"/>
      <c r="I400" s="11"/>
      <c r="J400" s="12"/>
      <c r="K400" s="13"/>
      <c r="L400" s="12"/>
      <c r="M400" s="13"/>
      <c r="N400" s="13"/>
      <c r="O400" s="13"/>
    </row>
    <row r="401">
      <c r="B401" s="11"/>
      <c r="C401" s="11"/>
      <c r="D401" s="11"/>
      <c r="E401" s="15"/>
      <c r="F401" s="11"/>
      <c r="G401" s="11"/>
      <c r="H401" s="11"/>
      <c r="I401" s="11"/>
      <c r="J401" s="12"/>
      <c r="K401" s="13"/>
      <c r="L401" s="12"/>
      <c r="M401" s="13"/>
      <c r="N401" s="13"/>
      <c r="O401" s="13"/>
    </row>
    <row r="402">
      <c r="B402" s="11"/>
      <c r="C402" s="11"/>
      <c r="D402" s="11"/>
      <c r="E402" s="15"/>
      <c r="F402" s="11"/>
      <c r="G402" s="11"/>
      <c r="H402" s="11"/>
      <c r="I402" s="11"/>
      <c r="J402" s="12"/>
      <c r="K402" s="13"/>
      <c r="L402" s="12"/>
      <c r="M402" s="13"/>
      <c r="N402" s="13"/>
      <c r="O402" s="13"/>
    </row>
    <row r="403">
      <c r="B403" s="11"/>
      <c r="C403" s="11"/>
      <c r="D403" s="11"/>
      <c r="E403" s="15"/>
      <c r="F403" s="11"/>
      <c r="G403" s="11"/>
      <c r="H403" s="11"/>
      <c r="I403" s="11"/>
      <c r="J403" s="12"/>
      <c r="K403" s="13"/>
      <c r="L403" s="12"/>
      <c r="M403" s="13"/>
      <c r="N403" s="13"/>
      <c r="O403" s="13"/>
    </row>
    <row r="404">
      <c r="B404" s="11"/>
      <c r="C404" s="11"/>
      <c r="D404" s="11"/>
      <c r="E404" s="15"/>
      <c r="F404" s="11"/>
      <c r="G404" s="11"/>
      <c r="H404" s="11"/>
      <c r="I404" s="11"/>
      <c r="J404" s="12"/>
      <c r="K404" s="13"/>
      <c r="L404" s="12"/>
      <c r="M404" s="13"/>
      <c r="N404" s="13"/>
      <c r="O404" s="13"/>
    </row>
    <row r="405">
      <c r="B405" s="11"/>
      <c r="C405" s="11"/>
      <c r="D405" s="11"/>
      <c r="E405" s="15"/>
      <c r="F405" s="11"/>
      <c r="G405" s="11"/>
      <c r="H405" s="11"/>
      <c r="I405" s="11"/>
      <c r="J405" s="12"/>
      <c r="K405" s="13"/>
      <c r="L405" s="12"/>
      <c r="M405" s="13"/>
      <c r="N405" s="13"/>
      <c r="O405" s="13"/>
    </row>
    <row r="406">
      <c r="B406" s="11"/>
      <c r="C406" s="11"/>
      <c r="D406" s="11"/>
      <c r="E406" s="15"/>
      <c r="F406" s="11"/>
      <c r="G406" s="11"/>
      <c r="H406" s="11"/>
      <c r="I406" s="11"/>
      <c r="J406" s="12"/>
      <c r="K406" s="13"/>
      <c r="L406" s="12"/>
      <c r="M406" s="13"/>
      <c r="N406" s="13"/>
      <c r="O406" s="13"/>
    </row>
    <row r="407">
      <c r="B407" s="11"/>
      <c r="C407" s="11"/>
      <c r="D407" s="11"/>
      <c r="E407" s="15"/>
      <c r="F407" s="11"/>
      <c r="G407" s="11"/>
      <c r="H407" s="11"/>
      <c r="I407" s="11"/>
      <c r="J407" s="12"/>
      <c r="K407" s="13"/>
      <c r="L407" s="12"/>
      <c r="M407" s="13"/>
      <c r="N407" s="13"/>
      <c r="O407" s="13"/>
    </row>
    <row r="408">
      <c r="B408" s="11"/>
      <c r="C408" s="11"/>
      <c r="D408" s="11"/>
      <c r="E408" s="15"/>
      <c r="F408" s="11"/>
      <c r="G408" s="11"/>
      <c r="H408" s="11"/>
      <c r="I408" s="11"/>
      <c r="J408" s="12"/>
      <c r="K408" s="13"/>
      <c r="L408" s="12"/>
      <c r="M408" s="13"/>
      <c r="N408" s="13"/>
      <c r="O408" s="13"/>
    </row>
    <row r="409">
      <c r="B409" s="11"/>
      <c r="C409" s="11"/>
      <c r="D409" s="11"/>
      <c r="E409" s="15"/>
      <c r="F409" s="11"/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B410" s="11"/>
      <c r="C410" s="11"/>
      <c r="D410" s="11"/>
      <c r="E410" s="15"/>
      <c r="F410" s="11"/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B411" s="11"/>
      <c r="C411" s="11"/>
      <c r="D411" s="11"/>
      <c r="E411" s="15"/>
      <c r="F411" s="11"/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B412" s="11"/>
      <c r="C412" s="11"/>
      <c r="D412" s="11"/>
      <c r="E412" s="15"/>
      <c r="F412" s="11"/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B413" s="11"/>
      <c r="C413" s="11"/>
      <c r="D413" s="11"/>
      <c r="E413" s="15"/>
      <c r="F413" s="11"/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B414" s="11"/>
      <c r="C414" s="11"/>
      <c r="D414" s="11"/>
      <c r="E414" s="15"/>
      <c r="F414" s="11"/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B415" s="11"/>
      <c r="C415" s="11"/>
      <c r="D415" s="11"/>
      <c r="E415" s="15"/>
      <c r="F415" s="11"/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B416" s="11"/>
      <c r="C416" s="11"/>
      <c r="D416" s="11"/>
      <c r="E416" s="15"/>
      <c r="F416" s="11"/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B417" s="11"/>
      <c r="C417" s="11"/>
      <c r="D417" s="11"/>
      <c r="E417" s="15"/>
      <c r="F417" s="11"/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B418" s="11"/>
      <c r="C418" s="11"/>
      <c r="D418" s="11"/>
      <c r="E418" s="15"/>
      <c r="F418" s="11"/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B419" s="11"/>
      <c r="C419" s="11"/>
      <c r="D419" s="11"/>
      <c r="E419" s="15"/>
      <c r="F419" s="11"/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B420" s="11"/>
      <c r="C420" s="11"/>
      <c r="D420" s="11"/>
      <c r="E420" s="15"/>
      <c r="F420" s="11"/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B421" s="11"/>
      <c r="C421" s="11"/>
      <c r="D421" s="11"/>
      <c r="E421" s="15"/>
      <c r="F421" s="11"/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B422" s="11"/>
      <c r="C422" s="11"/>
      <c r="D422" s="11"/>
      <c r="E422" s="15"/>
      <c r="F422" s="11"/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B423" s="11"/>
      <c r="C423" s="11"/>
      <c r="D423" s="11"/>
      <c r="E423" s="15"/>
      <c r="F423" s="11"/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B424" s="11"/>
      <c r="C424" s="11"/>
      <c r="D424" s="11"/>
      <c r="E424" s="15"/>
      <c r="F424" s="11"/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B425" s="11"/>
      <c r="C425" s="11"/>
      <c r="D425" s="11"/>
      <c r="E425" s="15"/>
      <c r="F425" s="11"/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B426" s="11"/>
      <c r="C426" s="11"/>
      <c r="D426" s="11"/>
      <c r="E426" s="15"/>
      <c r="F426" s="11"/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B427" s="11"/>
      <c r="C427" s="11"/>
      <c r="D427" s="11"/>
      <c r="E427" s="15"/>
      <c r="F427" s="11"/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B428" s="11"/>
      <c r="C428" s="11"/>
      <c r="D428" s="11"/>
      <c r="E428" s="15"/>
      <c r="F428" s="11"/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B429" s="11"/>
      <c r="C429" s="11"/>
      <c r="D429" s="11"/>
      <c r="E429" s="15"/>
      <c r="F429" s="11"/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B430" s="11"/>
      <c r="C430" s="11"/>
      <c r="D430" s="11"/>
      <c r="E430" s="15"/>
      <c r="F430" s="11"/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B431" s="11"/>
      <c r="C431" s="11"/>
      <c r="D431" s="11"/>
      <c r="E431" s="15"/>
      <c r="F431" s="11"/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B432" s="11"/>
      <c r="C432" s="11"/>
      <c r="D432" s="11"/>
      <c r="E432" s="15"/>
      <c r="F432" s="11"/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B433" s="11"/>
      <c r="C433" s="11"/>
      <c r="D433" s="11"/>
      <c r="E433" s="15"/>
      <c r="F433" s="11"/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B434" s="11"/>
      <c r="C434" s="11"/>
      <c r="D434" s="11"/>
      <c r="E434" s="15"/>
      <c r="F434" s="11"/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B435" s="11"/>
      <c r="C435" s="11"/>
      <c r="D435" s="11"/>
      <c r="E435" s="15"/>
      <c r="F435" s="11"/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B436" s="11"/>
      <c r="C436" s="11"/>
      <c r="D436" s="11"/>
      <c r="E436" s="15"/>
      <c r="F436" s="11"/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B437" s="11"/>
      <c r="C437" s="11"/>
      <c r="D437" s="11"/>
      <c r="E437" s="15"/>
      <c r="F437" s="11"/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B438" s="11"/>
      <c r="C438" s="11"/>
      <c r="D438" s="11"/>
      <c r="E438" s="15"/>
      <c r="F438" s="11"/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B439" s="11"/>
      <c r="C439" s="11"/>
      <c r="D439" s="11"/>
      <c r="E439" s="15"/>
      <c r="F439" s="11"/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B440" s="11"/>
      <c r="C440" s="11"/>
      <c r="D440" s="11"/>
      <c r="E440" s="15"/>
      <c r="F440" s="11"/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B441" s="11"/>
      <c r="C441" s="11"/>
      <c r="D441" s="11"/>
      <c r="E441" s="15"/>
      <c r="F441" s="11"/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B442" s="11"/>
      <c r="C442" s="11"/>
      <c r="D442" s="11"/>
      <c r="E442" s="15"/>
      <c r="F442" s="11"/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B443" s="11"/>
      <c r="C443" s="11"/>
      <c r="D443" s="11"/>
      <c r="E443" s="15"/>
      <c r="F443" s="11"/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B444" s="11"/>
      <c r="C444" s="11"/>
      <c r="D444" s="11"/>
      <c r="E444" s="15"/>
      <c r="F444" s="11"/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B445" s="11"/>
      <c r="C445" s="11"/>
      <c r="D445" s="11"/>
      <c r="E445" s="15"/>
      <c r="F445" s="11"/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B446" s="11"/>
      <c r="C446" s="11"/>
      <c r="D446" s="11"/>
      <c r="E446" s="15"/>
      <c r="F446" s="11"/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B447" s="11"/>
      <c r="C447" s="11"/>
      <c r="D447" s="11"/>
      <c r="E447" s="15"/>
      <c r="F447" s="11"/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B448" s="11"/>
      <c r="C448" s="11"/>
      <c r="D448" s="11"/>
      <c r="E448" s="15"/>
      <c r="F448" s="11"/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B449" s="11"/>
      <c r="C449" s="11"/>
      <c r="D449" s="11"/>
      <c r="E449" s="15"/>
      <c r="F449" s="11"/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B450" s="11"/>
      <c r="C450" s="11"/>
      <c r="D450" s="11"/>
      <c r="E450" s="15"/>
      <c r="F450" s="11"/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B451" s="11"/>
      <c r="C451" s="11"/>
      <c r="D451" s="11"/>
      <c r="E451" s="15"/>
      <c r="F451" s="11"/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B452" s="11"/>
      <c r="C452" s="11"/>
      <c r="D452" s="11"/>
      <c r="E452" s="15"/>
      <c r="F452" s="11"/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B453" s="11"/>
      <c r="C453" s="11"/>
      <c r="D453" s="11"/>
      <c r="E453" s="15"/>
      <c r="F453" s="11"/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B454" s="11"/>
      <c r="C454" s="11"/>
      <c r="D454" s="11"/>
      <c r="E454" s="15"/>
      <c r="F454" s="11"/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B455" s="11"/>
      <c r="C455" s="11"/>
      <c r="D455" s="11"/>
      <c r="E455" s="15"/>
      <c r="F455" s="11"/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B456" s="11"/>
      <c r="C456" s="11"/>
      <c r="D456" s="11"/>
      <c r="E456" s="15"/>
      <c r="F456" s="11"/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B457" s="11"/>
      <c r="C457" s="11"/>
      <c r="D457" s="11"/>
      <c r="E457" s="15"/>
      <c r="F457" s="11"/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B458" s="11"/>
      <c r="C458" s="11"/>
      <c r="D458" s="11"/>
      <c r="E458" s="15"/>
      <c r="F458" s="11"/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B459" s="11"/>
      <c r="C459" s="11"/>
      <c r="D459" s="11"/>
      <c r="E459" s="15"/>
      <c r="F459" s="11"/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B460" s="11"/>
      <c r="C460" s="11"/>
      <c r="D460" s="11"/>
      <c r="E460" s="15"/>
      <c r="F460" s="11"/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B461" s="11"/>
      <c r="C461" s="11"/>
      <c r="D461" s="11"/>
      <c r="E461" s="15"/>
      <c r="F461" s="11"/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B462" s="11"/>
      <c r="C462" s="11"/>
      <c r="D462" s="11"/>
      <c r="E462" s="15"/>
      <c r="F462" s="11"/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B463" s="11"/>
      <c r="C463" s="11"/>
      <c r="D463" s="11"/>
      <c r="E463" s="15"/>
      <c r="F463" s="11"/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B464" s="11"/>
      <c r="C464" s="11"/>
      <c r="D464" s="11"/>
      <c r="E464" s="15"/>
      <c r="F464" s="11"/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B465" s="11"/>
      <c r="C465" s="11"/>
      <c r="D465" s="11"/>
      <c r="E465" s="15"/>
      <c r="F465" s="11"/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B466" s="11"/>
      <c r="C466" s="11"/>
      <c r="D466" s="11"/>
      <c r="E466" s="15"/>
      <c r="F466" s="11"/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B467" s="11"/>
      <c r="C467" s="11"/>
      <c r="D467" s="11"/>
      <c r="E467" s="15"/>
      <c r="F467" s="11"/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B468" s="11"/>
      <c r="C468" s="11"/>
      <c r="D468" s="11"/>
      <c r="E468" s="15"/>
      <c r="F468" s="11"/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B469" s="11"/>
      <c r="C469" s="11"/>
      <c r="D469" s="11"/>
      <c r="E469" s="15"/>
      <c r="F469" s="11"/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B470" s="11"/>
      <c r="C470" s="11"/>
      <c r="D470" s="11"/>
      <c r="E470" s="15"/>
      <c r="F470" s="11"/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B471" s="11"/>
      <c r="C471" s="11"/>
      <c r="D471" s="11"/>
      <c r="E471" s="15"/>
      <c r="F471" s="11"/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B472" s="11"/>
      <c r="C472" s="11"/>
      <c r="D472" s="11"/>
      <c r="E472" s="15"/>
      <c r="F472" s="11"/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B473" s="11"/>
      <c r="C473" s="11"/>
      <c r="D473" s="11"/>
      <c r="E473" s="15"/>
      <c r="F473" s="11"/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B474" s="11"/>
      <c r="C474" s="11"/>
      <c r="D474" s="11"/>
      <c r="E474" s="15"/>
      <c r="F474" s="11"/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B475" s="11"/>
      <c r="C475" s="11"/>
      <c r="D475" s="11"/>
      <c r="E475" s="15"/>
      <c r="F475" s="11"/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B476" s="11"/>
      <c r="C476" s="11"/>
      <c r="D476" s="11"/>
      <c r="E476" s="15"/>
      <c r="F476" s="11"/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B477" s="11"/>
      <c r="C477" s="11"/>
      <c r="D477" s="11"/>
      <c r="E477" s="15"/>
      <c r="F477" s="11"/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B478" s="11"/>
      <c r="C478" s="11"/>
      <c r="D478" s="11"/>
      <c r="E478" s="15"/>
      <c r="F478" s="11"/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B479" s="11"/>
      <c r="C479" s="11"/>
      <c r="D479" s="11"/>
      <c r="E479" s="15"/>
      <c r="F479" s="11"/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B480" s="11"/>
      <c r="C480" s="11"/>
      <c r="D480" s="11"/>
      <c r="E480" s="15"/>
      <c r="F480" s="11"/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B481" s="11"/>
      <c r="C481" s="11"/>
      <c r="D481" s="11"/>
      <c r="E481" s="15"/>
      <c r="F481" s="11"/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B482" s="11"/>
      <c r="C482" s="11"/>
      <c r="D482" s="11"/>
      <c r="E482" s="15"/>
      <c r="F482" s="11"/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B483" s="11"/>
      <c r="C483" s="11"/>
      <c r="D483" s="11"/>
      <c r="E483" s="15"/>
      <c r="F483" s="11"/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B484" s="11"/>
      <c r="C484" s="11"/>
      <c r="D484" s="11"/>
      <c r="E484" s="15"/>
      <c r="F484" s="11"/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B485" s="11"/>
      <c r="C485" s="11"/>
      <c r="D485" s="11"/>
      <c r="E485" s="15"/>
      <c r="F485" s="11"/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B486" s="11"/>
      <c r="C486" s="11"/>
      <c r="D486" s="11"/>
      <c r="E486" s="15"/>
      <c r="F486" s="11"/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B487" s="11"/>
      <c r="C487" s="11"/>
      <c r="D487" s="11"/>
      <c r="E487" s="15"/>
      <c r="F487" s="11"/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B488" s="11"/>
      <c r="C488" s="11"/>
      <c r="D488" s="11"/>
      <c r="E488" s="15"/>
      <c r="F488" s="11"/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B489" s="11"/>
      <c r="C489" s="11"/>
      <c r="D489" s="11"/>
      <c r="E489" s="15"/>
      <c r="F489" s="11"/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B490" s="11"/>
      <c r="C490" s="11"/>
      <c r="D490" s="11"/>
      <c r="E490" s="15"/>
      <c r="F490" s="11"/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B491" s="11"/>
      <c r="C491" s="11"/>
      <c r="D491" s="11"/>
      <c r="E491" s="15"/>
      <c r="F491" s="11"/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B492" s="11"/>
      <c r="C492" s="11"/>
      <c r="D492" s="11"/>
      <c r="E492" s="15"/>
      <c r="F492" s="11"/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B493" s="11"/>
      <c r="C493" s="11"/>
      <c r="D493" s="11"/>
      <c r="E493" s="15"/>
      <c r="F493" s="11"/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B494" s="11"/>
      <c r="C494" s="11"/>
      <c r="D494" s="11"/>
      <c r="E494" s="15"/>
      <c r="F494" s="11"/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B495" s="11"/>
      <c r="C495" s="11"/>
      <c r="D495" s="11"/>
      <c r="E495" s="15"/>
      <c r="F495" s="11"/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B496" s="11"/>
      <c r="C496" s="11"/>
      <c r="D496" s="11"/>
      <c r="E496" s="15"/>
      <c r="F496" s="11"/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B497" s="11"/>
      <c r="C497" s="11"/>
      <c r="D497" s="11"/>
      <c r="E497" s="15"/>
      <c r="F497" s="11"/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B498" s="11"/>
      <c r="C498" s="11"/>
      <c r="D498" s="11"/>
      <c r="E498" s="15"/>
      <c r="F498" s="11"/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B499" s="11"/>
      <c r="C499" s="11"/>
      <c r="D499" s="11"/>
      <c r="E499" s="15"/>
      <c r="F499" s="11"/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B500" s="11"/>
      <c r="C500" s="11"/>
      <c r="D500" s="11"/>
      <c r="E500" s="15"/>
      <c r="F500" s="11"/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B501" s="11"/>
      <c r="C501" s="11"/>
      <c r="D501" s="11"/>
      <c r="E501" s="15"/>
      <c r="F501" s="11"/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B502" s="11"/>
      <c r="C502" s="11"/>
      <c r="D502" s="11"/>
      <c r="E502" s="15"/>
      <c r="F502" s="11"/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B503" s="11"/>
      <c r="C503" s="11"/>
      <c r="D503" s="11"/>
      <c r="E503" s="15"/>
      <c r="F503" s="11"/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B504" s="11"/>
      <c r="C504" s="11"/>
      <c r="D504" s="11"/>
      <c r="E504" s="15"/>
      <c r="F504" s="11"/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B505" s="11"/>
      <c r="C505" s="11"/>
      <c r="D505" s="11"/>
      <c r="E505" s="15"/>
      <c r="F505" s="11"/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B506" s="11"/>
      <c r="C506" s="11"/>
      <c r="D506" s="11"/>
      <c r="E506" s="15"/>
      <c r="F506" s="11"/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B507" s="11"/>
      <c r="C507" s="11"/>
      <c r="D507" s="11"/>
      <c r="E507" s="15"/>
      <c r="F507" s="11"/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B508" s="11"/>
      <c r="C508" s="11"/>
      <c r="D508" s="11"/>
      <c r="E508" s="15"/>
      <c r="F508" s="11"/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B509" s="11"/>
      <c r="C509" s="11"/>
      <c r="D509" s="11"/>
      <c r="E509" s="15"/>
      <c r="F509" s="11"/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B510" s="11"/>
      <c r="C510" s="11"/>
      <c r="D510" s="11"/>
      <c r="E510" s="15"/>
      <c r="F510" s="11"/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B511" s="11"/>
      <c r="C511" s="11"/>
      <c r="D511" s="11"/>
      <c r="E511" s="15"/>
      <c r="F511" s="11"/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B512" s="11"/>
      <c r="C512" s="11"/>
      <c r="D512" s="11"/>
      <c r="E512" s="15"/>
      <c r="F512" s="11"/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B513" s="11"/>
      <c r="C513" s="11"/>
      <c r="D513" s="11"/>
      <c r="E513" s="15"/>
      <c r="F513" s="11"/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B514" s="11"/>
      <c r="C514" s="11"/>
      <c r="D514" s="11"/>
      <c r="E514" s="15"/>
      <c r="F514" s="11"/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B515" s="11"/>
      <c r="C515" s="11"/>
      <c r="D515" s="11"/>
      <c r="E515" s="15"/>
      <c r="F515" s="11"/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B516" s="11"/>
      <c r="C516" s="11"/>
      <c r="D516" s="11"/>
      <c r="E516" s="15"/>
      <c r="F516" s="11"/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B517" s="11"/>
      <c r="C517" s="11"/>
      <c r="D517" s="11"/>
      <c r="E517" s="15"/>
      <c r="F517" s="11"/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B518" s="11"/>
      <c r="C518" s="11"/>
      <c r="D518" s="11"/>
      <c r="E518" s="15"/>
      <c r="F518" s="11"/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B519" s="11"/>
      <c r="C519" s="11"/>
      <c r="D519" s="11"/>
      <c r="E519" s="15"/>
      <c r="F519" s="11"/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B520" s="11"/>
      <c r="C520" s="11"/>
      <c r="D520" s="11"/>
      <c r="E520" s="15"/>
      <c r="F520" s="11"/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B521" s="11"/>
      <c r="C521" s="11"/>
      <c r="D521" s="11"/>
      <c r="E521" s="15"/>
      <c r="F521" s="11"/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B522" s="11"/>
      <c r="C522" s="11"/>
      <c r="D522" s="11"/>
      <c r="E522" s="15"/>
      <c r="F522" s="11"/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B523" s="11"/>
      <c r="C523" s="11"/>
      <c r="D523" s="11"/>
      <c r="E523" s="15"/>
      <c r="F523" s="11"/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B524" s="11"/>
      <c r="C524" s="11"/>
      <c r="D524" s="11"/>
      <c r="E524" s="15"/>
      <c r="F524" s="11"/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B525" s="11"/>
      <c r="C525" s="11"/>
      <c r="D525" s="11"/>
      <c r="E525" s="15"/>
      <c r="F525" s="11"/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B526" s="11"/>
      <c r="C526" s="11"/>
      <c r="D526" s="11"/>
      <c r="E526" s="15"/>
      <c r="F526" s="11"/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B527" s="11"/>
      <c r="C527" s="11"/>
      <c r="D527" s="11"/>
      <c r="E527" s="15"/>
      <c r="F527" s="11"/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B528" s="11"/>
      <c r="C528" s="11"/>
      <c r="D528" s="11"/>
      <c r="E528" s="15"/>
      <c r="F528" s="11"/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B529" s="11"/>
      <c r="C529" s="11"/>
      <c r="D529" s="11"/>
      <c r="E529" s="15"/>
      <c r="F529" s="11"/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B530" s="11"/>
      <c r="C530" s="11"/>
      <c r="D530" s="11"/>
      <c r="E530" s="15"/>
      <c r="F530" s="11"/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B531" s="11"/>
      <c r="C531" s="11"/>
      <c r="D531" s="11"/>
      <c r="E531" s="15"/>
      <c r="F531" s="11"/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B532" s="11"/>
      <c r="C532" s="11"/>
      <c r="D532" s="11"/>
      <c r="E532" s="15"/>
      <c r="F532" s="11"/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B533" s="11"/>
      <c r="C533" s="11"/>
      <c r="D533" s="11"/>
      <c r="E533" s="15"/>
      <c r="F533" s="11"/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B534" s="11"/>
      <c r="C534" s="11"/>
      <c r="D534" s="11"/>
      <c r="E534" s="15"/>
      <c r="F534" s="11"/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B535" s="11"/>
      <c r="C535" s="11"/>
      <c r="D535" s="11"/>
      <c r="E535" s="15"/>
      <c r="F535" s="11"/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B536" s="11"/>
      <c r="C536" s="11"/>
      <c r="D536" s="11"/>
      <c r="E536" s="15"/>
      <c r="F536" s="11"/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B537" s="11"/>
      <c r="C537" s="11"/>
      <c r="D537" s="11"/>
      <c r="E537" s="15"/>
      <c r="F537" s="11"/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B538" s="11"/>
      <c r="C538" s="11"/>
      <c r="D538" s="11"/>
      <c r="E538" s="15"/>
      <c r="F538" s="11"/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B539" s="11"/>
      <c r="C539" s="11"/>
      <c r="D539" s="11"/>
      <c r="E539" s="15"/>
      <c r="F539" s="11"/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B540" s="11"/>
      <c r="C540" s="11"/>
      <c r="D540" s="11"/>
      <c r="E540" s="15"/>
      <c r="F540" s="11"/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B541" s="11"/>
      <c r="C541" s="11"/>
      <c r="D541" s="11"/>
      <c r="E541" s="15"/>
      <c r="F541" s="11"/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B542" s="11"/>
      <c r="C542" s="11"/>
      <c r="D542" s="11"/>
      <c r="E542" s="15"/>
      <c r="F542" s="11"/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B543" s="11"/>
      <c r="C543" s="11"/>
      <c r="D543" s="11"/>
      <c r="E543" s="15"/>
      <c r="F543" s="11"/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B544" s="11"/>
      <c r="C544" s="11"/>
      <c r="D544" s="11"/>
      <c r="E544" s="15"/>
      <c r="F544" s="11"/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B545" s="11"/>
      <c r="C545" s="11"/>
      <c r="D545" s="11"/>
      <c r="E545" s="15"/>
      <c r="F545" s="11"/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B546" s="11"/>
      <c r="C546" s="11"/>
      <c r="D546" s="11"/>
      <c r="E546" s="15"/>
      <c r="F546" s="11"/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B547" s="11"/>
      <c r="C547" s="11"/>
      <c r="D547" s="11"/>
      <c r="E547" s="15"/>
      <c r="F547" s="11"/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B548" s="11"/>
      <c r="C548" s="11"/>
      <c r="D548" s="11"/>
      <c r="E548" s="15"/>
      <c r="F548" s="11"/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B549" s="11"/>
      <c r="C549" s="11"/>
      <c r="D549" s="11"/>
      <c r="E549" s="15"/>
      <c r="F549" s="11"/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B550" s="11"/>
      <c r="C550" s="11"/>
      <c r="D550" s="11"/>
      <c r="E550" s="15"/>
      <c r="F550" s="11"/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B551" s="11"/>
      <c r="C551" s="11"/>
      <c r="D551" s="11"/>
      <c r="E551" s="15"/>
      <c r="F551" s="11"/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B552" s="11"/>
      <c r="C552" s="11"/>
      <c r="D552" s="11"/>
      <c r="E552" s="15"/>
      <c r="F552" s="11"/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B553" s="11"/>
      <c r="C553" s="11"/>
      <c r="D553" s="11"/>
      <c r="E553" s="15"/>
      <c r="F553" s="11"/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B554" s="11"/>
      <c r="C554" s="11"/>
      <c r="D554" s="11"/>
      <c r="E554" s="15"/>
      <c r="F554" s="11"/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B555" s="11"/>
      <c r="C555" s="11"/>
      <c r="D555" s="11"/>
      <c r="E555" s="15"/>
      <c r="F555" s="11"/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B556" s="11"/>
      <c r="C556" s="11"/>
      <c r="D556" s="11"/>
      <c r="E556" s="15"/>
      <c r="F556" s="11"/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B557" s="11"/>
      <c r="C557" s="11"/>
      <c r="D557" s="11"/>
      <c r="E557" s="15"/>
      <c r="F557" s="11"/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B558" s="11"/>
      <c r="C558" s="11"/>
      <c r="D558" s="11"/>
      <c r="E558" s="15"/>
      <c r="F558" s="11"/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B559" s="11"/>
      <c r="C559" s="11"/>
      <c r="D559" s="11"/>
      <c r="E559" s="15"/>
      <c r="F559" s="11"/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B560" s="11"/>
      <c r="C560" s="11"/>
      <c r="D560" s="11"/>
      <c r="E560" s="15"/>
      <c r="F560" s="11"/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B561" s="11"/>
      <c r="C561" s="11"/>
      <c r="D561" s="11"/>
      <c r="E561" s="15"/>
      <c r="F561" s="11"/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B562" s="11"/>
      <c r="C562" s="11"/>
      <c r="D562" s="11"/>
      <c r="E562" s="15"/>
      <c r="F562" s="11"/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B563" s="11"/>
      <c r="C563" s="11"/>
      <c r="D563" s="11"/>
      <c r="E563" s="15"/>
      <c r="F563" s="11"/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B564" s="11"/>
      <c r="C564" s="11"/>
      <c r="D564" s="11"/>
      <c r="E564" s="15"/>
      <c r="F564" s="11"/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B565" s="11"/>
      <c r="C565" s="11"/>
      <c r="D565" s="11"/>
      <c r="E565" s="15"/>
      <c r="F565" s="11"/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B566" s="11"/>
      <c r="C566" s="11"/>
      <c r="D566" s="11"/>
      <c r="E566" s="15"/>
      <c r="F566" s="11"/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B567" s="11"/>
      <c r="C567" s="11"/>
      <c r="D567" s="11"/>
      <c r="E567" s="15"/>
      <c r="F567" s="11"/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B568" s="11"/>
      <c r="C568" s="11"/>
      <c r="D568" s="11"/>
      <c r="E568" s="15"/>
      <c r="F568" s="11"/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B569" s="11"/>
      <c r="C569" s="11"/>
      <c r="D569" s="11"/>
      <c r="E569" s="15"/>
      <c r="F569" s="11"/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B570" s="11"/>
      <c r="C570" s="11"/>
      <c r="D570" s="11"/>
      <c r="E570" s="15"/>
      <c r="F570" s="11"/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B571" s="11"/>
      <c r="C571" s="11"/>
      <c r="D571" s="11"/>
      <c r="E571" s="15"/>
      <c r="F571" s="11"/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B572" s="11"/>
      <c r="C572" s="11"/>
      <c r="D572" s="11"/>
      <c r="E572" s="15"/>
      <c r="F572" s="11"/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B573" s="11"/>
      <c r="C573" s="11"/>
      <c r="D573" s="11"/>
      <c r="E573" s="15"/>
      <c r="F573" s="11"/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B574" s="11"/>
      <c r="C574" s="11"/>
      <c r="D574" s="11"/>
      <c r="E574" s="15"/>
      <c r="F574" s="11"/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B575" s="11"/>
      <c r="C575" s="11"/>
      <c r="D575" s="11"/>
      <c r="E575" s="15"/>
      <c r="F575" s="11"/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B576" s="11"/>
      <c r="C576" s="11"/>
      <c r="D576" s="11"/>
      <c r="E576" s="15"/>
      <c r="F576" s="11"/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B577" s="11"/>
      <c r="C577" s="11"/>
      <c r="D577" s="11"/>
      <c r="E577" s="15"/>
      <c r="F577" s="11"/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B578" s="11"/>
      <c r="C578" s="11"/>
      <c r="D578" s="11"/>
      <c r="E578" s="15"/>
      <c r="F578" s="11"/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B579" s="11"/>
      <c r="C579" s="11"/>
      <c r="D579" s="11"/>
      <c r="E579" s="15"/>
      <c r="F579" s="11"/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B580" s="11"/>
      <c r="C580" s="11"/>
      <c r="D580" s="11"/>
      <c r="E580" s="15"/>
      <c r="F580" s="11"/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B581" s="11"/>
      <c r="C581" s="11"/>
      <c r="D581" s="11"/>
      <c r="E581" s="15"/>
      <c r="F581" s="11"/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B582" s="11"/>
      <c r="C582" s="11"/>
      <c r="D582" s="11"/>
      <c r="E582" s="15"/>
      <c r="F582" s="11"/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B583" s="11"/>
      <c r="C583" s="11"/>
      <c r="D583" s="11"/>
      <c r="E583" s="15"/>
      <c r="F583" s="11"/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B584" s="11"/>
      <c r="C584" s="11"/>
      <c r="D584" s="11"/>
      <c r="E584" s="15"/>
      <c r="F584" s="11"/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B585" s="11"/>
      <c r="C585" s="11"/>
      <c r="D585" s="11"/>
      <c r="E585" s="15"/>
      <c r="F585" s="11"/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B586" s="11"/>
      <c r="C586" s="11"/>
      <c r="D586" s="11"/>
      <c r="E586" s="15"/>
      <c r="F586" s="11"/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B587" s="11"/>
      <c r="C587" s="11"/>
      <c r="D587" s="11"/>
      <c r="E587" s="15"/>
      <c r="F587" s="11"/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B588" s="11"/>
      <c r="C588" s="11"/>
      <c r="D588" s="11"/>
      <c r="E588" s="15"/>
      <c r="F588" s="11"/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B589" s="11"/>
      <c r="C589" s="11"/>
      <c r="D589" s="11"/>
      <c r="E589" s="15"/>
      <c r="F589" s="11"/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B590" s="11"/>
      <c r="C590" s="11"/>
      <c r="D590" s="11"/>
      <c r="E590" s="15"/>
      <c r="F590" s="11"/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B591" s="11"/>
      <c r="C591" s="11"/>
      <c r="D591" s="11"/>
      <c r="E591" s="15"/>
      <c r="F591" s="11"/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B592" s="11"/>
      <c r="C592" s="11"/>
      <c r="D592" s="11"/>
      <c r="E592" s="15"/>
      <c r="F592" s="11"/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B593" s="11"/>
      <c r="C593" s="11"/>
      <c r="D593" s="11"/>
      <c r="E593" s="15"/>
      <c r="F593" s="11"/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B594" s="11"/>
      <c r="C594" s="11"/>
      <c r="D594" s="11"/>
      <c r="E594" s="15"/>
      <c r="F594" s="11"/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B595" s="11"/>
      <c r="C595" s="11"/>
      <c r="D595" s="11"/>
      <c r="E595" s="15"/>
      <c r="F595" s="11"/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B596" s="11"/>
      <c r="C596" s="11"/>
      <c r="D596" s="11"/>
      <c r="E596" s="15"/>
      <c r="F596" s="11"/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B597" s="11"/>
      <c r="C597" s="11"/>
      <c r="D597" s="11"/>
      <c r="E597" s="15"/>
      <c r="F597" s="11"/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B598" s="11"/>
      <c r="C598" s="11"/>
      <c r="D598" s="11"/>
      <c r="E598" s="15"/>
      <c r="F598" s="11"/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B599" s="11"/>
      <c r="C599" s="11"/>
      <c r="D599" s="11"/>
      <c r="E599" s="15"/>
      <c r="F599" s="11"/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B600" s="11"/>
      <c r="C600" s="11"/>
      <c r="D600" s="11"/>
      <c r="E600" s="15"/>
      <c r="F600" s="11"/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B601" s="11"/>
      <c r="C601" s="11"/>
      <c r="D601" s="11"/>
      <c r="E601" s="15"/>
      <c r="F601" s="11"/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B602" s="11"/>
      <c r="C602" s="11"/>
      <c r="D602" s="11"/>
      <c r="E602" s="15"/>
      <c r="F602" s="11"/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B603" s="11"/>
      <c r="C603" s="11"/>
      <c r="D603" s="11"/>
      <c r="E603" s="15"/>
      <c r="F603" s="11"/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B604" s="11"/>
      <c r="C604" s="11"/>
      <c r="D604" s="11"/>
      <c r="E604" s="15"/>
      <c r="F604" s="11"/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B605" s="11"/>
      <c r="C605" s="11"/>
      <c r="D605" s="11"/>
      <c r="E605" s="15"/>
      <c r="F605" s="11"/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B606" s="11"/>
      <c r="C606" s="11"/>
      <c r="D606" s="11"/>
      <c r="E606" s="15"/>
      <c r="F606" s="11"/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B607" s="11"/>
      <c r="C607" s="11"/>
      <c r="D607" s="11"/>
      <c r="E607" s="15"/>
      <c r="F607" s="11"/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B608" s="11"/>
      <c r="C608" s="11"/>
      <c r="D608" s="11"/>
      <c r="E608" s="15"/>
      <c r="F608" s="11"/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B609" s="11"/>
      <c r="C609" s="11"/>
      <c r="D609" s="11"/>
      <c r="E609" s="15"/>
      <c r="F609" s="11"/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B610" s="11"/>
      <c r="C610" s="11"/>
      <c r="D610" s="11"/>
      <c r="E610" s="15"/>
      <c r="F610" s="11"/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B611" s="11"/>
      <c r="C611" s="11"/>
      <c r="D611" s="11"/>
      <c r="E611" s="15"/>
      <c r="F611" s="11"/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B612" s="11"/>
      <c r="C612" s="11"/>
      <c r="D612" s="11"/>
      <c r="E612" s="15"/>
      <c r="F612" s="11"/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B613" s="11"/>
      <c r="C613" s="11"/>
      <c r="D613" s="11"/>
      <c r="E613" s="15"/>
      <c r="F613" s="11"/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B614" s="11"/>
      <c r="C614" s="11"/>
      <c r="D614" s="11"/>
      <c r="E614" s="15"/>
      <c r="F614" s="11"/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B615" s="11"/>
      <c r="C615" s="11"/>
      <c r="D615" s="11"/>
      <c r="E615" s="15"/>
      <c r="F615" s="11"/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B616" s="11"/>
      <c r="C616" s="11"/>
      <c r="D616" s="11"/>
      <c r="E616" s="15"/>
      <c r="F616" s="11"/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B617" s="11"/>
      <c r="C617" s="11"/>
      <c r="D617" s="11"/>
      <c r="E617" s="15"/>
      <c r="F617" s="11"/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B618" s="11"/>
      <c r="C618" s="11"/>
      <c r="D618" s="11"/>
      <c r="E618" s="15"/>
      <c r="F618" s="11"/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B619" s="11"/>
      <c r="C619" s="11"/>
      <c r="D619" s="11"/>
      <c r="E619" s="15"/>
      <c r="F619" s="11"/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B620" s="11"/>
      <c r="C620" s="11"/>
      <c r="D620" s="11"/>
      <c r="E620" s="15"/>
      <c r="F620" s="11"/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B621" s="11"/>
      <c r="C621" s="11"/>
      <c r="D621" s="11"/>
      <c r="E621" s="15"/>
      <c r="F621" s="11"/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B622" s="11"/>
      <c r="C622" s="11"/>
      <c r="D622" s="11"/>
      <c r="E622" s="15"/>
      <c r="F622" s="11"/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B623" s="11"/>
      <c r="C623" s="11"/>
      <c r="D623" s="11"/>
      <c r="E623" s="15"/>
      <c r="F623" s="11"/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B624" s="11"/>
      <c r="C624" s="11"/>
      <c r="D624" s="11"/>
      <c r="E624" s="15"/>
      <c r="F624" s="11"/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B625" s="11"/>
      <c r="C625" s="11"/>
      <c r="D625" s="11"/>
      <c r="E625" s="15"/>
      <c r="F625" s="11"/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B626" s="11"/>
      <c r="C626" s="11"/>
      <c r="D626" s="11"/>
      <c r="E626" s="15"/>
      <c r="F626" s="11"/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B627" s="11"/>
      <c r="C627" s="11"/>
      <c r="D627" s="11"/>
      <c r="E627" s="15"/>
      <c r="F627" s="11"/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B628" s="11"/>
      <c r="C628" s="11"/>
      <c r="D628" s="11"/>
      <c r="E628" s="15"/>
      <c r="F628" s="11"/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B629" s="11"/>
      <c r="C629" s="11"/>
      <c r="D629" s="11"/>
      <c r="E629" s="15"/>
      <c r="F629" s="11"/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B630" s="11"/>
      <c r="C630" s="11"/>
      <c r="D630" s="11"/>
      <c r="E630" s="15"/>
      <c r="F630" s="11"/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B631" s="11"/>
      <c r="C631" s="11"/>
      <c r="D631" s="11"/>
      <c r="E631" s="15"/>
      <c r="F631" s="11"/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B632" s="11"/>
      <c r="C632" s="11"/>
      <c r="D632" s="11"/>
      <c r="E632" s="15"/>
      <c r="F632" s="11"/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B633" s="11"/>
      <c r="C633" s="11"/>
      <c r="D633" s="11"/>
      <c r="E633" s="15"/>
      <c r="F633" s="11"/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B634" s="11"/>
      <c r="C634" s="11"/>
      <c r="D634" s="11"/>
      <c r="E634" s="15"/>
      <c r="F634" s="11"/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B635" s="11"/>
      <c r="C635" s="11"/>
      <c r="D635" s="11"/>
      <c r="E635" s="15"/>
      <c r="F635" s="11"/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B636" s="11"/>
      <c r="C636" s="11"/>
      <c r="D636" s="11"/>
      <c r="E636" s="15"/>
      <c r="F636" s="11"/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B637" s="11"/>
      <c r="C637" s="11"/>
      <c r="D637" s="11"/>
      <c r="E637" s="15"/>
      <c r="F637" s="11"/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B638" s="11"/>
      <c r="C638" s="11"/>
      <c r="D638" s="11"/>
      <c r="E638" s="15"/>
      <c r="F638" s="11"/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B639" s="11"/>
      <c r="C639" s="11"/>
      <c r="D639" s="11"/>
      <c r="E639" s="15"/>
      <c r="F639" s="11"/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B640" s="11"/>
      <c r="C640" s="11"/>
      <c r="D640" s="11"/>
      <c r="E640" s="15"/>
      <c r="F640" s="11"/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B641" s="11"/>
      <c r="C641" s="11"/>
      <c r="D641" s="11"/>
      <c r="E641" s="15"/>
      <c r="F641" s="11"/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B642" s="11"/>
      <c r="C642" s="11"/>
      <c r="D642" s="11"/>
      <c r="E642" s="15"/>
      <c r="F642" s="11"/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B643" s="11"/>
      <c r="C643" s="11"/>
      <c r="D643" s="11"/>
      <c r="E643" s="15"/>
      <c r="F643" s="11"/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B644" s="11"/>
      <c r="C644" s="11"/>
      <c r="D644" s="11"/>
      <c r="E644" s="15"/>
      <c r="F644" s="11"/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B645" s="11"/>
      <c r="C645" s="11"/>
      <c r="D645" s="11"/>
      <c r="E645" s="15"/>
      <c r="F645" s="11"/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B646" s="11"/>
      <c r="C646" s="11"/>
      <c r="D646" s="11"/>
      <c r="E646" s="15"/>
      <c r="F646" s="11"/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B647" s="11"/>
      <c r="C647" s="11"/>
      <c r="D647" s="11"/>
      <c r="E647" s="15"/>
      <c r="F647" s="11"/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B648" s="11"/>
      <c r="C648" s="11"/>
      <c r="D648" s="11"/>
      <c r="E648" s="15"/>
      <c r="F648" s="11"/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B649" s="11"/>
      <c r="C649" s="11"/>
      <c r="D649" s="11"/>
      <c r="E649" s="15"/>
      <c r="F649" s="11"/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B650" s="11"/>
      <c r="C650" s="11"/>
      <c r="D650" s="11"/>
      <c r="E650" s="15"/>
      <c r="F650" s="11"/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B651" s="11"/>
      <c r="C651" s="11"/>
      <c r="D651" s="11"/>
      <c r="E651" s="15"/>
      <c r="F651" s="11"/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B652" s="11"/>
      <c r="C652" s="11"/>
      <c r="D652" s="11"/>
      <c r="E652" s="15"/>
      <c r="F652" s="11"/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B653" s="11"/>
      <c r="C653" s="11"/>
      <c r="D653" s="11"/>
      <c r="E653" s="15"/>
      <c r="F653" s="11"/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B654" s="11"/>
      <c r="C654" s="11"/>
      <c r="D654" s="11"/>
      <c r="E654" s="15"/>
      <c r="F654" s="11"/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B655" s="11"/>
      <c r="C655" s="11"/>
      <c r="D655" s="11"/>
      <c r="E655" s="15"/>
      <c r="F655" s="11"/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B656" s="11"/>
      <c r="C656" s="11"/>
      <c r="D656" s="11"/>
      <c r="E656" s="15"/>
      <c r="F656" s="11"/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B657" s="11"/>
      <c r="C657" s="11"/>
      <c r="D657" s="11"/>
      <c r="E657" s="15"/>
      <c r="F657" s="11"/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B658" s="11"/>
      <c r="C658" s="11"/>
      <c r="D658" s="11"/>
      <c r="E658" s="15"/>
      <c r="F658" s="11"/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B659" s="11"/>
      <c r="C659" s="11"/>
      <c r="D659" s="11"/>
      <c r="E659" s="15"/>
      <c r="F659" s="11"/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B660" s="11"/>
      <c r="C660" s="11"/>
      <c r="D660" s="11"/>
      <c r="E660" s="15"/>
      <c r="F660" s="11"/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B661" s="11"/>
      <c r="C661" s="11"/>
      <c r="D661" s="11"/>
      <c r="E661" s="15"/>
      <c r="F661" s="11"/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B662" s="11"/>
      <c r="C662" s="11"/>
      <c r="D662" s="11"/>
      <c r="E662" s="15"/>
      <c r="F662" s="11"/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B663" s="11"/>
      <c r="C663" s="11"/>
      <c r="D663" s="11"/>
      <c r="E663" s="15"/>
      <c r="F663" s="11"/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B664" s="11"/>
      <c r="C664" s="11"/>
      <c r="D664" s="11"/>
      <c r="E664" s="15"/>
      <c r="F664" s="11"/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B665" s="11"/>
      <c r="C665" s="11"/>
      <c r="D665" s="11"/>
      <c r="E665" s="15"/>
      <c r="F665" s="11"/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B666" s="11"/>
      <c r="C666" s="11"/>
      <c r="D666" s="11"/>
      <c r="E666" s="15"/>
      <c r="F666" s="11"/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B667" s="11"/>
      <c r="C667" s="11"/>
      <c r="D667" s="11"/>
      <c r="E667" s="15"/>
      <c r="F667" s="11"/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B668" s="11"/>
      <c r="C668" s="11"/>
      <c r="D668" s="11"/>
      <c r="E668" s="15"/>
      <c r="F668" s="11"/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B669" s="11"/>
      <c r="C669" s="11"/>
      <c r="D669" s="11"/>
      <c r="E669" s="15"/>
      <c r="F669" s="11"/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B670" s="11"/>
      <c r="C670" s="11"/>
      <c r="D670" s="11"/>
      <c r="E670" s="15"/>
      <c r="F670" s="11"/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B671" s="11"/>
      <c r="C671" s="11"/>
      <c r="D671" s="11"/>
      <c r="E671" s="15"/>
      <c r="F671" s="11"/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B672" s="11"/>
      <c r="C672" s="11"/>
      <c r="D672" s="11"/>
      <c r="E672" s="15"/>
      <c r="F672" s="11"/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B673" s="11"/>
      <c r="C673" s="11"/>
      <c r="D673" s="11"/>
      <c r="E673" s="15"/>
      <c r="F673" s="11"/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B674" s="11"/>
      <c r="C674" s="11"/>
      <c r="D674" s="11"/>
      <c r="E674" s="15"/>
      <c r="F674" s="11"/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B675" s="11"/>
      <c r="C675" s="11"/>
      <c r="D675" s="11"/>
      <c r="E675" s="15"/>
      <c r="F675" s="11"/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B676" s="11"/>
      <c r="C676" s="11"/>
      <c r="D676" s="11"/>
      <c r="E676" s="15"/>
      <c r="F676" s="11"/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B677" s="11"/>
      <c r="C677" s="11"/>
      <c r="D677" s="11"/>
      <c r="E677" s="15"/>
      <c r="F677" s="11"/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1:I1000">
    <cfRule type="cellIs" dxfId="1" priority="2" operator="equal">
      <formula>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696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1.0</v>
      </c>
      <c r="H3" s="9">
        <v>0.0</v>
      </c>
      <c r="I3" s="9">
        <v>0.0</v>
      </c>
      <c r="J3" s="17">
        <v>-594.0</v>
      </c>
      <c r="K3" s="18">
        <v>-683.538</v>
      </c>
      <c r="L3" s="17">
        <v>-604.0</v>
      </c>
      <c r="M3" s="18">
        <v>-604.0</v>
      </c>
      <c r="N3" s="18">
        <v>0.0</v>
      </c>
      <c r="O3" s="18">
        <v>2.852</v>
      </c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1.0</v>
      </c>
      <c r="H4" s="9">
        <v>0.0</v>
      </c>
      <c r="I4" s="9">
        <v>0.0</v>
      </c>
      <c r="J4" s="17">
        <v>-638.0</v>
      </c>
      <c r="K4" s="18">
        <v>-766.798</v>
      </c>
      <c r="L4" s="17">
        <v>-665.0</v>
      </c>
      <c r="M4" s="18">
        <v>-665.0</v>
      </c>
      <c r="N4" s="18">
        <v>0.0</v>
      </c>
      <c r="O4" s="18">
        <v>4.78</v>
      </c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1.0</v>
      </c>
      <c r="H5" s="9">
        <v>0.0</v>
      </c>
      <c r="I5" s="9">
        <v>0.0</v>
      </c>
      <c r="J5" s="17">
        <v>-686.0</v>
      </c>
      <c r="K5" s="18">
        <v>-823.366</v>
      </c>
      <c r="L5" s="17">
        <v>-730.0</v>
      </c>
      <c r="M5" s="18">
        <v>-730.0</v>
      </c>
      <c r="N5" s="18">
        <v>0.0</v>
      </c>
      <c r="O5" s="18">
        <v>4.532</v>
      </c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1.0</v>
      </c>
      <c r="H6" s="9">
        <v>0.0</v>
      </c>
      <c r="I6" s="9">
        <v>0.0</v>
      </c>
      <c r="J6" s="17">
        <v>-595.0</v>
      </c>
      <c r="K6" s="18">
        <v>-742.716</v>
      </c>
      <c r="L6" s="17">
        <v>-634.0</v>
      </c>
      <c r="M6" s="18">
        <v>-634.0</v>
      </c>
      <c r="N6" s="18">
        <v>0.0</v>
      </c>
      <c r="O6" s="18">
        <v>6.147</v>
      </c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1.0</v>
      </c>
      <c r="H7" s="9">
        <v>0.0</v>
      </c>
      <c r="I7" s="9">
        <v>0.0</v>
      </c>
      <c r="J7" s="17">
        <v>-653.0</v>
      </c>
      <c r="K7" s="18">
        <v>-749.717</v>
      </c>
      <c r="L7" s="17">
        <v>-653.0</v>
      </c>
      <c r="M7" s="18">
        <v>-653.0</v>
      </c>
      <c r="N7" s="18">
        <v>0.0</v>
      </c>
      <c r="O7" s="18">
        <v>5.611</v>
      </c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1.0</v>
      </c>
      <c r="H8" s="9">
        <v>0.0</v>
      </c>
      <c r="I8" s="9">
        <v>0.0</v>
      </c>
      <c r="J8" s="17">
        <v>-421.0</v>
      </c>
      <c r="K8" s="18">
        <v>-508.927</v>
      </c>
      <c r="L8" s="17">
        <v>-442.0</v>
      </c>
      <c r="M8" s="18">
        <v>-442.0</v>
      </c>
      <c r="N8" s="18">
        <v>0.0</v>
      </c>
      <c r="O8" s="18">
        <v>5.427</v>
      </c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1.0</v>
      </c>
      <c r="H9" s="9">
        <v>0.0</v>
      </c>
      <c r="I9" s="9">
        <v>0.0</v>
      </c>
      <c r="J9" s="17">
        <v>-531.0</v>
      </c>
      <c r="K9" s="18">
        <v>-659.407</v>
      </c>
      <c r="L9" s="17">
        <v>-574.0</v>
      </c>
      <c r="M9" s="18">
        <v>-574.0</v>
      </c>
      <c r="N9" s="18">
        <v>0.0</v>
      </c>
      <c r="O9" s="18">
        <v>4.794</v>
      </c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1.0</v>
      </c>
      <c r="H10" s="9">
        <v>0.0</v>
      </c>
      <c r="I10" s="9">
        <v>0.0</v>
      </c>
      <c r="J10" s="17">
        <v>-484.0</v>
      </c>
      <c r="K10" s="18">
        <v>-578.695</v>
      </c>
      <c r="L10" s="17">
        <v>-500.0</v>
      </c>
      <c r="M10" s="18">
        <v>-500.0</v>
      </c>
      <c r="N10" s="18">
        <v>0.0</v>
      </c>
      <c r="O10" s="18">
        <v>12.365</v>
      </c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1.0</v>
      </c>
      <c r="H11" s="9">
        <v>0.0</v>
      </c>
      <c r="I11" s="9">
        <v>0.0</v>
      </c>
      <c r="J11" s="17">
        <v>-400.0</v>
      </c>
      <c r="K11" s="18">
        <v>-507.422</v>
      </c>
      <c r="L11" s="17">
        <v>-402.0</v>
      </c>
      <c r="M11" s="18">
        <v>-402.0</v>
      </c>
      <c r="N11" s="18">
        <v>0.0</v>
      </c>
      <c r="O11" s="18">
        <v>16.788</v>
      </c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1.0</v>
      </c>
      <c r="H12" s="9">
        <v>0.0</v>
      </c>
      <c r="I12" s="9">
        <v>0.0</v>
      </c>
      <c r="J12" s="17">
        <v>-456.0</v>
      </c>
      <c r="K12" s="18">
        <v>-547.403</v>
      </c>
      <c r="L12" s="17">
        <v>-481.0</v>
      </c>
      <c r="M12" s="18">
        <v>-481.0</v>
      </c>
      <c r="N12" s="18">
        <v>0.0</v>
      </c>
      <c r="O12" s="18">
        <v>11.393</v>
      </c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1.0</v>
      </c>
      <c r="H13" s="9">
        <v>0.0</v>
      </c>
      <c r="I13" s="9">
        <v>0.0</v>
      </c>
      <c r="J13" s="17">
        <v>1450.0</v>
      </c>
      <c r="K13" s="18">
        <v>1321.92</v>
      </c>
      <c r="L13" s="17">
        <v>1422.0</v>
      </c>
      <c r="M13" s="18">
        <v>1422.0</v>
      </c>
      <c r="N13" s="18">
        <v>0.0</v>
      </c>
      <c r="O13" s="18">
        <v>4.728</v>
      </c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1.0</v>
      </c>
      <c r="H14" s="9">
        <v>0.0</v>
      </c>
      <c r="I14" s="9">
        <v>0.0</v>
      </c>
      <c r="J14" s="17">
        <v>233.0</v>
      </c>
      <c r="K14" s="18">
        <v>233.0</v>
      </c>
      <c r="L14" s="17">
        <v>233.0</v>
      </c>
      <c r="M14" s="18">
        <v>233.0</v>
      </c>
      <c r="N14" s="18">
        <v>0.0</v>
      </c>
      <c r="O14" s="18">
        <v>0.138</v>
      </c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1.0</v>
      </c>
      <c r="H15" s="9">
        <v>0.0</v>
      </c>
      <c r="I15" s="9">
        <v>0.0</v>
      </c>
      <c r="J15" s="17">
        <v>1645.0</v>
      </c>
      <c r="K15" s="18">
        <v>1494.65</v>
      </c>
      <c r="L15" s="17">
        <v>1634.0</v>
      </c>
      <c r="M15" s="18">
        <v>1634.0</v>
      </c>
      <c r="N15" s="18">
        <v>0.0</v>
      </c>
      <c r="O15" s="18">
        <v>20.858</v>
      </c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1.0</v>
      </c>
      <c r="H16" s="9">
        <v>0.0</v>
      </c>
      <c r="I16" s="9">
        <v>0.0</v>
      </c>
      <c r="J16" s="17">
        <v>1860.0</v>
      </c>
      <c r="K16" s="18">
        <v>1852.57</v>
      </c>
      <c r="L16" s="17">
        <v>1860.0</v>
      </c>
      <c r="M16" s="18">
        <v>1860.0</v>
      </c>
      <c r="N16" s="18">
        <v>0.0</v>
      </c>
      <c r="O16" s="18">
        <v>0.207</v>
      </c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1.0</v>
      </c>
      <c r="H17" s="9">
        <v>0.0</v>
      </c>
      <c r="I17" s="9">
        <v>0.0</v>
      </c>
      <c r="J17" s="17">
        <v>1361.0</v>
      </c>
      <c r="K17" s="18">
        <v>1361.0</v>
      </c>
      <c r="L17" s="17">
        <v>1361.0</v>
      </c>
      <c r="M17" s="18">
        <v>1361.0</v>
      </c>
      <c r="N17" s="18">
        <v>0.0</v>
      </c>
      <c r="O17" s="18">
        <v>0.179</v>
      </c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1.0</v>
      </c>
      <c r="H18" s="9">
        <v>0.0</v>
      </c>
      <c r="I18" s="9">
        <v>0.0</v>
      </c>
      <c r="J18" s="17">
        <v>-798.0</v>
      </c>
      <c r="K18" s="18">
        <v>-1500.07</v>
      </c>
      <c r="L18" s="17">
        <v>-1091.0</v>
      </c>
      <c r="M18" s="18">
        <v>-1091.0</v>
      </c>
      <c r="N18" s="18">
        <v>0.0</v>
      </c>
      <c r="O18" s="18">
        <v>49.958</v>
      </c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1.0</v>
      </c>
      <c r="H19" s="9">
        <v>0.0</v>
      </c>
      <c r="I19" s="9">
        <v>0.0</v>
      </c>
      <c r="J19" s="17">
        <v>-800.0</v>
      </c>
      <c r="K19" s="18">
        <v>-1558.98</v>
      </c>
      <c r="L19" s="17">
        <v>-1074.0</v>
      </c>
      <c r="M19" s="18">
        <v>-1074.0</v>
      </c>
      <c r="N19" s="18">
        <v>0.0</v>
      </c>
      <c r="O19" s="18">
        <v>91.117</v>
      </c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1.0</v>
      </c>
      <c r="H20" s="9">
        <v>0.0</v>
      </c>
      <c r="I20" s="9">
        <v>0.0</v>
      </c>
      <c r="J20" s="17">
        <v>-670.0</v>
      </c>
      <c r="K20" s="18">
        <v>-1410.73</v>
      </c>
      <c r="L20" s="17">
        <v>-1002.0</v>
      </c>
      <c r="M20" s="18">
        <v>-1002.0</v>
      </c>
      <c r="N20" s="18">
        <v>0.0</v>
      </c>
      <c r="O20" s="18">
        <v>65.537</v>
      </c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1.0</v>
      </c>
      <c r="H21" s="9">
        <v>0.0</v>
      </c>
      <c r="I21" s="9">
        <v>0.0</v>
      </c>
      <c r="J21" s="17">
        <v>-804.0</v>
      </c>
      <c r="K21" s="18">
        <v>-1317.75</v>
      </c>
      <c r="L21" s="17">
        <v>-990.0</v>
      </c>
      <c r="M21" s="18">
        <v>-990.0</v>
      </c>
      <c r="N21" s="18">
        <v>0.0</v>
      </c>
      <c r="O21" s="18">
        <v>22.393</v>
      </c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1.0</v>
      </c>
      <c r="H22" s="9">
        <v>0.0</v>
      </c>
      <c r="I22" s="9">
        <v>0.0</v>
      </c>
      <c r="J22" s="17">
        <v>-711.0</v>
      </c>
      <c r="K22" s="18">
        <v>-1878.56</v>
      </c>
      <c r="L22" s="17">
        <v>-1146.0</v>
      </c>
      <c r="M22" s="18">
        <v>-1146.0</v>
      </c>
      <c r="N22" s="18">
        <v>0.0</v>
      </c>
      <c r="O22" s="18">
        <v>595.957</v>
      </c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17">
        <v>-698.0</v>
      </c>
      <c r="K23" s="18">
        <v>-922.844</v>
      </c>
      <c r="L23" s="17">
        <v>-719.0</v>
      </c>
      <c r="M23" s="18">
        <v>-719.0</v>
      </c>
      <c r="N23" s="18">
        <v>0.0</v>
      </c>
      <c r="O23" s="18">
        <v>73.849</v>
      </c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1.0</v>
      </c>
      <c r="H24" s="9">
        <v>0.0</v>
      </c>
      <c r="I24" s="9">
        <v>0.0</v>
      </c>
      <c r="J24" s="17">
        <v>-797.0</v>
      </c>
      <c r="K24" s="18">
        <v>-1093.43</v>
      </c>
      <c r="L24" s="17">
        <v>-847.0</v>
      </c>
      <c r="M24" s="18">
        <v>-847.0</v>
      </c>
      <c r="N24" s="18">
        <v>0.0</v>
      </c>
      <c r="O24" s="18">
        <v>77.321</v>
      </c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1.0</v>
      </c>
      <c r="H25" s="9">
        <v>0.0</v>
      </c>
      <c r="I25" s="9">
        <v>0.0</v>
      </c>
      <c r="J25" s="17">
        <v>-814.0</v>
      </c>
      <c r="K25" s="18">
        <v>-1047.84</v>
      </c>
      <c r="L25" s="17">
        <v>-871.0</v>
      </c>
      <c r="M25" s="18">
        <v>-871.0</v>
      </c>
      <c r="N25" s="18">
        <v>0.0</v>
      </c>
      <c r="O25" s="18">
        <v>35.592</v>
      </c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1.0</v>
      </c>
      <c r="H26" s="9">
        <v>0.0</v>
      </c>
      <c r="I26" s="9">
        <v>0.0</v>
      </c>
      <c r="J26" s="17">
        <v>-712.0</v>
      </c>
      <c r="K26" s="18">
        <v>-1010.57</v>
      </c>
      <c r="L26" s="17">
        <v>-810.0</v>
      </c>
      <c r="M26" s="18">
        <v>-810.0</v>
      </c>
      <c r="N26" s="18">
        <v>0.0</v>
      </c>
      <c r="O26" s="18">
        <v>36.738</v>
      </c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1.0</v>
      </c>
      <c r="H27" s="9">
        <v>0.0</v>
      </c>
      <c r="I27" s="9">
        <v>0.0</v>
      </c>
      <c r="J27" s="17">
        <v>-546.0</v>
      </c>
      <c r="K27" s="18">
        <v>-1055.96</v>
      </c>
      <c r="L27" s="17">
        <v>-689.0</v>
      </c>
      <c r="M27" s="18">
        <v>-689.0</v>
      </c>
      <c r="N27" s="18">
        <v>0.0</v>
      </c>
      <c r="O27" s="18">
        <v>1008.74</v>
      </c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1.0</v>
      </c>
      <c r="H28" s="9">
        <v>0.0</v>
      </c>
      <c r="I28" s="9">
        <v>0.0</v>
      </c>
      <c r="J28" s="17">
        <v>1520.0</v>
      </c>
      <c r="K28" s="18">
        <v>1436.83</v>
      </c>
      <c r="L28" s="17">
        <v>1520.0</v>
      </c>
      <c r="M28" s="18">
        <v>1520.0</v>
      </c>
      <c r="N28" s="18">
        <v>0.0</v>
      </c>
      <c r="O28" s="18">
        <v>1.557</v>
      </c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1.0</v>
      </c>
      <c r="H29" s="9">
        <v>0.0</v>
      </c>
      <c r="I29" s="9">
        <v>0.0</v>
      </c>
      <c r="J29" s="17">
        <v>368.0</v>
      </c>
      <c r="K29" s="18">
        <v>368.0</v>
      </c>
      <c r="L29" s="17">
        <v>368.0</v>
      </c>
      <c r="M29" s="18">
        <v>368.0</v>
      </c>
      <c r="N29" s="18">
        <v>0.0</v>
      </c>
      <c r="O29" s="18">
        <v>0.178</v>
      </c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1.0</v>
      </c>
      <c r="H30" s="9">
        <v>0.0</v>
      </c>
      <c r="I30" s="9">
        <v>0.0</v>
      </c>
      <c r="J30" s="17">
        <v>-499.0</v>
      </c>
      <c r="K30" s="18">
        <v>-508.566</v>
      </c>
      <c r="L30" s="17">
        <v>-499.0</v>
      </c>
      <c r="M30" s="18">
        <v>-499.0</v>
      </c>
      <c r="N30" s="18">
        <v>0.0</v>
      </c>
      <c r="O30" s="18">
        <v>0.192</v>
      </c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1.0</v>
      </c>
      <c r="H31" s="9">
        <v>0.0</v>
      </c>
      <c r="I31" s="9">
        <v>0.0</v>
      </c>
      <c r="J31" s="17">
        <v>-370.0</v>
      </c>
      <c r="K31" s="18">
        <v>-396.081</v>
      </c>
      <c r="L31" s="17">
        <v>-374.0</v>
      </c>
      <c r="M31" s="18">
        <v>-374.0</v>
      </c>
      <c r="N31" s="18">
        <v>0.0</v>
      </c>
      <c r="O31" s="18">
        <v>0.249</v>
      </c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1.0</v>
      </c>
      <c r="H32" s="9">
        <v>0.0</v>
      </c>
      <c r="I32" s="9">
        <v>0.0</v>
      </c>
      <c r="J32" s="17">
        <v>3840.0</v>
      </c>
      <c r="K32" s="18">
        <v>3644.93</v>
      </c>
      <c r="L32" s="17">
        <v>3782.0</v>
      </c>
      <c r="M32" s="18">
        <v>3782.0</v>
      </c>
      <c r="N32" s="18">
        <v>0.0</v>
      </c>
      <c r="O32" s="18">
        <v>13.07</v>
      </c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1.0</v>
      </c>
      <c r="H33" s="9">
        <v>0.0</v>
      </c>
      <c r="I33" s="9">
        <v>0.0</v>
      </c>
      <c r="J33" s="17">
        <v>-663.0</v>
      </c>
      <c r="K33" s="18">
        <v>-1974.6</v>
      </c>
      <c r="L33" s="17">
        <v>-1186.0</v>
      </c>
      <c r="M33" s="18">
        <v>-1186.0</v>
      </c>
      <c r="N33" s="18">
        <v>0.0</v>
      </c>
      <c r="O33" s="18">
        <v>399.575</v>
      </c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1.0</v>
      </c>
      <c r="H34" s="9">
        <v>0.0</v>
      </c>
      <c r="I34" s="9">
        <v>0.0</v>
      </c>
      <c r="J34" s="17">
        <v>-838.0</v>
      </c>
      <c r="K34" s="18">
        <v>-1862.06</v>
      </c>
      <c r="L34" s="17">
        <v>-1122.0</v>
      </c>
      <c r="M34" s="18">
        <v>-1122.0</v>
      </c>
      <c r="N34" s="18">
        <v>0.0</v>
      </c>
      <c r="O34" s="18">
        <v>612.218</v>
      </c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1.0</v>
      </c>
      <c r="H35" s="9">
        <v>0.0</v>
      </c>
      <c r="I35" s="9">
        <v>0.0</v>
      </c>
      <c r="J35" s="17">
        <v>-736.0</v>
      </c>
      <c r="K35" s="18">
        <v>-1865.7</v>
      </c>
      <c r="L35" s="17">
        <v>-1137.0</v>
      </c>
      <c r="M35" s="18">
        <v>-1137.0</v>
      </c>
      <c r="N35" s="18">
        <v>0.0</v>
      </c>
      <c r="O35" s="18">
        <v>467.902</v>
      </c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1.0</v>
      </c>
      <c r="H36" s="9">
        <v>0.0</v>
      </c>
      <c r="I36" s="9">
        <v>0.0</v>
      </c>
      <c r="J36" s="17">
        <v>-877.0</v>
      </c>
      <c r="K36" s="18">
        <v>-1787.99</v>
      </c>
      <c r="L36" s="17">
        <v>-1101.0</v>
      </c>
      <c r="M36" s="18">
        <v>-1101.0</v>
      </c>
      <c r="N36" s="18">
        <v>0.0</v>
      </c>
      <c r="O36" s="18">
        <v>241.648</v>
      </c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1.0</v>
      </c>
      <c r="H37" s="9">
        <v>0.0</v>
      </c>
      <c r="I37" s="9">
        <v>0.0</v>
      </c>
      <c r="J37" s="17">
        <v>-737.0</v>
      </c>
      <c r="K37" s="18">
        <v>-1715.44</v>
      </c>
      <c r="L37" s="17">
        <v>-1083.0</v>
      </c>
      <c r="M37" s="18">
        <v>-1083.0</v>
      </c>
      <c r="N37" s="18">
        <v>0.0</v>
      </c>
      <c r="O37" s="18">
        <v>137.869</v>
      </c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1.0</v>
      </c>
      <c r="H38" s="9">
        <v>0.0</v>
      </c>
      <c r="I38" s="9">
        <v>0.0</v>
      </c>
      <c r="J38" s="17">
        <v>-655.0</v>
      </c>
      <c r="K38" s="18">
        <v>-1295.08</v>
      </c>
      <c r="L38" s="17">
        <v>-952.0</v>
      </c>
      <c r="M38" s="18">
        <v>-952.0</v>
      </c>
      <c r="N38" s="18">
        <v>0.0</v>
      </c>
      <c r="O38" s="18">
        <v>132.765</v>
      </c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1.0</v>
      </c>
      <c r="H39" s="9">
        <v>0.0</v>
      </c>
      <c r="I39" s="9">
        <v>0.0</v>
      </c>
      <c r="J39" s="17">
        <v>-775.0</v>
      </c>
      <c r="K39" s="18">
        <v>-1311.0</v>
      </c>
      <c r="L39" s="17">
        <v>-976.0</v>
      </c>
      <c r="M39" s="18">
        <v>-976.0</v>
      </c>
      <c r="N39" s="18">
        <v>0.0</v>
      </c>
      <c r="O39" s="18">
        <v>76.025</v>
      </c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1.0</v>
      </c>
      <c r="H40" s="9">
        <v>0.0</v>
      </c>
      <c r="I40" s="9">
        <v>0.0</v>
      </c>
      <c r="J40" s="17">
        <v>-736.0</v>
      </c>
      <c r="K40" s="18">
        <v>-1060.73</v>
      </c>
      <c r="L40" s="17">
        <v>-811.0</v>
      </c>
      <c r="M40" s="18">
        <v>-811.0</v>
      </c>
      <c r="N40" s="18">
        <v>0.0</v>
      </c>
      <c r="O40" s="18">
        <v>61.517</v>
      </c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1.0</v>
      </c>
      <c r="H41" s="9">
        <v>0.0</v>
      </c>
      <c r="I41" s="9">
        <v>0.0</v>
      </c>
      <c r="J41" s="17">
        <v>-587.0</v>
      </c>
      <c r="K41" s="18">
        <v>-1078.8</v>
      </c>
      <c r="L41" s="17">
        <v>-822.0</v>
      </c>
      <c r="M41" s="18">
        <v>-822.0</v>
      </c>
      <c r="N41" s="18">
        <v>0.0</v>
      </c>
      <c r="O41" s="18">
        <v>44.199</v>
      </c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1.0</v>
      </c>
      <c r="H42" s="9">
        <v>0.0</v>
      </c>
      <c r="I42" s="9">
        <v>0.0</v>
      </c>
      <c r="J42" s="17">
        <v>-533.0</v>
      </c>
      <c r="K42" s="18">
        <v>-902.719</v>
      </c>
      <c r="L42" s="17">
        <v>-634.0</v>
      </c>
      <c r="M42" s="18">
        <v>-634.0</v>
      </c>
      <c r="N42" s="18">
        <v>0.0</v>
      </c>
      <c r="O42" s="18">
        <v>79.882</v>
      </c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1.0</v>
      </c>
      <c r="H43" s="9">
        <v>0.0</v>
      </c>
      <c r="I43" s="9">
        <v>0.0</v>
      </c>
      <c r="J43" s="17">
        <v>549.0</v>
      </c>
      <c r="K43" s="18">
        <v>411.58</v>
      </c>
      <c r="L43" s="17">
        <v>485.0</v>
      </c>
      <c r="M43" s="18">
        <v>485.0</v>
      </c>
      <c r="N43" s="18">
        <v>0.0</v>
      </c>
      <c r="O43" s="18">
        <v>1.077</v>
      </c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1.0</v>
      </c>
      <c r="H44" s="9">
        <v>0.0</v>
      </c>
      <c r="I44" s="9">
        <v>0.0</v>
      </c>
      <c r="J44" s="17">
        <v>-135.0</v>
      </c>
      <c r="K44" s="18">
        <v>-400.07</v>
      </c>
      <c r="L44" s="17">
        <v>-234.0</v>
      </c>
      <c r="M44" s="18">
        <v>-234.0</v>
      </c>
      <c r="N44" s="18">
        <v>0.0</v>
      </c>
      <c r="O44" s="18">
        <v>1.313</v>
      </c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1.0</v>
      </c>
      <c r="H45" s="9">
        <v>0.0</v>
      </c>
      <c r="I45" s="9">
        <v>0.0</v>
      </c>
      <c r="J45" s="17">
        <v>2169.0</v>
      </c>
      <c r="K45" s="18">
        <v>2018.12</v>
      </c>
      <c r="L45" s="17">
        <v>2130.0</v>
      </c>
      <c r="M45" s="18">
        <v>2130.0</v>
      </c>
      <c r="N45" s="18">
        <v>0.0</v>
      </c>
      <c r="O45" s="18">
        <v>1.94</v>
      </c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1.0</v>
      </c>
      <c r="H46" s="9">
        <v>0.0</v>
      </c>
      <c r="I46" s="9">
        <v>0.0</v>
      </c>
      <c r="J46" s="17">
        <v>3674.0</v>
      </c>
      <c r="K46" s="18">
        <v>3632.63</v>
      </c>
      <c r="L46" s="17">
        <v>3663.0</v>
      </c>
      <c r="M46" s="18">
        <v>3663.0</v>
      </c>
      <c r="N46" s="18">
        <v>0.0</v>
      </c>
      <c r="O46" s="18">
        <v>0.278</v>
      </c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1.0</v>
      </c>
      <c r="H47" s="9">
        <v>0.0</v>
      </c>
      <c r="I47" s="9">
        <v>0.0</v>
      </c>
      <c r="J47" s="17">
        <v>4325.0</v>
      </c>
      <c r="K47" s="18">
        <v>4325.0</v>
      </c>
      <c r="L47" s="17">
        <v>4325.0</v>
      </c>
      <c r="M47" s="18">
        <v>4325.0</v>
      </c>
      <c r="N47" s="18">
        <v>0.0</v>
      </c>
      <c r="O47" s="18">
        <v>0.189</v>
      </c>
    </row>
    <row r="48">
      <c r="A48" s="8" t="s">
        <v>53</v>
      </c>
      <c r="B48" s="9">
        <v>30.0</v>
      </c>
      <c r="C48" s="9" t="s">
        <v>8</v>
      </c>
      <c r="D48" s="9">
        <v>25.0</v>
      </c>
      <c r="E48" s="10">
        <v>0.6</v>
      </c>
      <c r="F48" s="9">
        <v>1.0</v>
      </c>
      <c r="G48" s="9">
        <v>1.0</v>
      </c>
      <c r="H48" s="9">
        <v>0.0</v>
      </c>
      <c r="I48" s="9">
        <v>0.0</v>
      </c>
      <c r="J48" s="17">
        <v>-814.0</v>
      </c>
      <c r="K48" s="18">
        <v>-1156.54</v>
      </c>
      <c r="L48" s="17">
        <v>-968.0</v>
      </c>
      <c r="M48" s="18">
        <v>-968.0</v>
      </c>
      <c r="N48" s="18">
        <v>0.0</v>
      </c>
      <c r="O48" s="18">
        <v>25.135</v>
      </c>
    </row>
    <row r="49">
      <c r="A49" s="8" t="s">
        <v>54</v>
      </c>
      <c r="B49" s="9">
        <v>30.0</v>
      </c>
      <c r="C49" s="9" t="s">
        <v>8</v>
      </c>
      <c r="D49" s="9">
        <v>25.0</v>
      </c>
      <c r="E49" s="10">
        <v>0.6</v>
      </c>
      <c r="F49" s="9">
        <v>2.0</v>
      </c>
      <c r="G49" s="9">
        <v>1.0</v>
      </c>
      <c r="H49" s="9">
        <v>0.0</v>
      </c>
      <c r="I49" s="9">
        <v>0.0</v>
      </c>
      <c r="J49" s="17">
        <v>-686.0</v>
      </c>
      <c r="K49" s="18">
        <v>-935.993</v>
      </c>
      <c r="L49" s="17">
        <v>-749.0</v>
      </c>
      <c r="M49" s="18">
        <v>-749.0</v>
      </c>
      <c r="N49" s="18">
        <v>0.0</v>
      </c>
      <c r="O49" s="18">
        <v>57.844</v>
      </c>
    </row>
    <row r="50">
      <c r="A50" s="8" t="s">
        <v>55</v>
      </c>
      <c r="B50" s="9">
        <v>30.0</v>
      </c>
      <c r="C50" s="9" t="s">
        <v>8</v>
      </c>
      <c r="D50" s="9">
        <v>25.0</v>
      </c>
      <c r="E50" s="10">
        <v>0.6</v>
      </c>
      <c r="F50" s="9">
        <v>3.0</v>
      </c>
      <c r="G50" s="9">
        <v>1.0</v>
      </c>
      <c r="H50" s="9">
        <v>0.0</v>
      </c>
      <c r="I50" s="9">
        <v>0.0</v>
      </c>
      <c r="J50" s="17">
        <v>-832.0</v>
      </c>
      <c r="K50" s="18">
        <v>-1216.69</v>
      </c>
      <c r="L50" s="17">
        <v>-935.0</v>
      </c>
      <c r="M50" s="18">
        <v>-935.0</v>
      </c>
      <c r="N50" s="18">
        <v>0.0</v>
      </c>
      <c r="O50" s="18">
        <v>66.266</v>
      </c>
    </row>
    <row r="51">
      <c r="A51" s="8" t="s">
        <v>56</v>
      </c>
      <c r="B51" s="9">
        <v>30.0</v>
      </c>
      <c r="C51" s="9" t="s">
        <v>8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-795.0</v>
      </c>
      <c r="K51" s="18">
        <v>-1434.15</v>
      </c>
      <c r="L51" s="17">
        <v>-1126.0</v>
      </c>
      <c r="M51" s="18">
        <v>-1126.0</v>
      </c>
      <c r="N51" s="18">
        <v>0.0</v>
      </c>
      <c r="O51" s="18">
        <v>83.087</v>
      </c>
    </row>
    <row r="52">
      <c r="A52" s="8" t="s">
        <v>57</v>
      </c>
      <c r="B52" s="9">
        <v>30.0</v>
      </c>
      <c r="C52" s="9" t="s">
        <v>8</v>
      </c>
      <c r="D52" s="9">
        <v>25.0</v>
      </c>
      <c r="E52" s="10">
        <v>0.6</v>
      </c>
      <c r="F52" s="9">
        <v>5.0</v>
      </c>
      <c r="G52" s="9">
        <v>1.0</v>
      </c>
      <c r="H52" s="9">
        <v>0.0</v>
      </c>
      <c r="I52" s="9">
        <v>0.0</v>
      </c>
      <c r="J52" s="17">
        <v>-903.0</v>
      </c>
      <c r="K52" s="18">
        <v>-1340.33</v>
      </c>
      <c r="L52" s="17">
        <v>-1010.0</v>
      </c>
      <c r="M52" s="18">
        <v>-1010.0</v>
      </c>
      <c r="N52" s="18">
        <v>0.0</v>
      </c>
      <c r="O52" s="18">
        <v>92.037</v>
      </c>
    </row>
    <row r="53">
      <c r="A53" s="8" t="s">
        <v>58</v>
      </c>
      <c r="B53" s="9">
        <v>30.0</v>
      </c>
      <c r="C53" s="9" t="s">
        <v>8</v>
      </c>
      <c r="D53" s="9">
        <v>25.0</v>
      </c>
      <c r="E53" s="10">
        <v>1.0</v>
      </c>
      <c r="F53" s="9">
        <v>1.0</v>
      </c>
      <c r="G53" s="9">
        <v>1.0</v>
      </c>
      <c r="H53" s="9">
        <v>0.0</v>
      </c>
      <c r="I53" s="9">
        <v>0.0</v>
      </c>
      <c r="J53" s="17">
        <v>-851.0</v>
      </c>
      <c r="K53" s="18">
        <v>-1002.63</v>
      </c>
      <c r="L53" s="17">
        <v>-908.0</v>
      </c>
      <c r="M53" s="18">
        <v>-908.0</v>
      </c>
      <c r="N53" s="18">
        <v>0.0</v>
      </c>
      <c r="O53" s="18">
        <v>11.03</v>
      </c>
    </row>
    <row r="54">
      <c r="A54" s="8" t="s">
        <v>59</v>
      </c>
      <c r="B54" s="9">
        <v>30.0</v>
      </c>
      <c r="C54" s="9" t="s">
        <v>8</v>
      </c>
      <c r="D54" s="9">
        <v>25.0</v>
      </c>
      <c r="E54" s="10">
        <v>1.0</v>
      </c>
      <c r="F54" s="9">
        <v>2.0</v>
      </c>
      <c r="G54" s="9">
        <v>1.0</v>
      </c>
      <c r="H54" s="9">
        <v>0.0</v>
      </c>
      <c r="I54" s="9">
        <v>0.0</v>
      </c>
      <c r="J54" s="17">
        <v>-565.0</v>
      </c>
      <c r="K54" s="18">
        <v>-746.261</v>
      </c>
      <c r="L54" s="17">
        <v>-610.0</v>
      </c>
      <c r="M54" s="18">
        <v>-610.0</v>
      </c>
      <c r="N54" s="18">
        <v>0.0</v>
      </c>
      <c r="O54" s="18">
        <v>86.136</v>
      </c>
    </row>
    <row r="55">
      <c r="A55" s="8" t="s">
        <v>60</v>
      </c>
      <c r="B55" s="9">
        <v>30.0</v>
      </c>
      <c r="C55" s="9" t="s">
        <v>8</v>
      </c>
      <c r="D55" s="9">
        <v>25.0</v>
      </c>
      <c r="E55" s="10">
        <v>1.0</v>
      </c>
      <c r="F55" s="9">
        <v>3.0</v>
      </c>
      <c r="G55" s="9">
        <v>1.0</v>
      </c>
      <c r="H55" s="9">
        <v>0.0</v>
      </c>
      <c r="I55" s="9">
        <v>0.0</v>
      </c>
      <c r="J55" s="17">
        <v>-794.0</v>
      </c>
      <c r="K55" s="18">
        <v>-1033.73</v>
      </c>
      <c r="L55" s="17">
        <v>-835.0</v>
      </c>
      <c r="M55" s="18">
        <v>-835.0</v>
      </c>
      <c r="N55" s="18">
        <v>0.0</v>
      </c>
      <c r="O55" s="18">
        <v>109.671</v>
      </c>
    </row>
    <row r="56">
      <c r="A56" s="8" t="s">
        <v>61</v>
      </c>
      <c r="B56" s="9">
        <v>30.0</v>
      </c>
      <c r="C56" s="9" t="s">
        <v>8</v>
      </c>
      <c r="D56" s="9">
        <v>25.0</v>
      </c>
      <c r="E56" s="10">
        <v>1.0</v>
      </c>
      <c r="F56" s="9">
        <v>4.0</v>
      </c>
      <c r="G56" s="9">
        <v>1.0</v>
      </c>
      <c r="H56" s="9">
        <v>0.0</v>
      </c>
      <c r="I56" s="9">
        <v>0.0</v>
      </c>
      <c r="J56" s="17">
        <v>-701.0</v>
      </c>
      <c r="K56" s="18">
        <v>-1126.63</v>
      </c>
      <c r="L56" s="17">
        <v>-852.0</v>
      </c>
      <c r="M56" s="18">
        <v>-852.0</v>
      </c>
      <c r="N56" s="18">
        <v>0.0</v>
      </c>
      <c r="O56" s="18">
        <v>496.436</v>
      </c>
    </row>
    <row r="57">
      <c r="A57" s="8" t="s">
        <v>62</v>
      </c>
      <c r="B57" s="9">
        <v>30.0</v>
      </c>
      <c r="C57" s="9" t="s">
        <v>8</v>
      </c>
      <c r="D57" s="9">
        <v>25.0</v>
      </c>
      <c r="E57" s="10">
        <v>1.0</v>
      </c>
      <c r="F57" s="9">
        <v>5.0</v>
      </c>
      <c r="G57" s="9">
        <v>1.0</v>
      </c>
      <c r="H57" s="9">
        <v>0.0</v>
      </c>
      <c r="I57" s="9">
        <v>0.0</v>
      </c>
      <c r="J57" s="17">
        <v>-732.0</v>
      </c>
      <c r="K57" s="18">
        <v>-1091.28</v>
      </c>
      <c r="L57" s="17">
        <v>-865.0</v>
      </c>
      <c r="M57" s="18">
        <v>-865.0</v>
      </c>
      <c r="N57" s="18">
        <v>0.0</v>
      </c>
      <c r="O57" s="18">
        <v>188.559</v>
      </c>
    </row>
    <row r="58">
      <c r="A58" s="8" t="s">
        <v>63</v>
      </c>
      <c r="B58" s="9">
        <v>30.0</v>
      </c>
      <c r="C58" s="9" t="s">
        <v>8</v>
      </c>
      <c r="D58" s="9">
        <v>25.0</v>
      </c>
      <c r="E58" s="10">
        <v>2.0</v>
      </c>
      <c r="F58" s="9">
        <v>1.0</v>
      </c>
      <c r="G58" s="9">
        <v>1.0</v>
      </c>
      <c r="H58" s="9">
        <v>0.0</v>
      </c>
      <c r="I58" s="9">
        <v>0.0</v>
      </c>
      <c r="J58" s="17">
        <v>-328.0</v>
      </c>
      <c r="K58" s="18">
        <v>-361.541</v>
      </c>
      <c r="L58" s="17">
        <v>-336.0</v>
      </c>
      <c r="M58" s="18">
        <v>-336.0</v>
      </c>
      <c r="N58" s="18">
        <v>0.0</v>
      </c>
      <c r="O58" s="18">
        <v>1.131</v>
      </c>
    </row>
    <row r="59">
      <c r="A59" s="8" t="s">
        <v>64</v>
      </c>
      <c r="B59" s="9">
        <v>30.0</v>
      </c>
      <c r="C59" s="9" t="s">
        <v>8</v>
      </c>
      <c r="D59" s="9">
        <v>25.0</v>
      </c>
      <c r="E59" s="10">
        <v>2.0</v>
      </c>
      <c r="F59" s="9">
        <v>2.0</v>
      </c>
      <c r="G59" s="9">
        <v>1.0</v>
      </c>
      <c r="H59" s="9">
        <v>0.0</v>
      </c>
      <c r="I59" s="9">
        <v>0.0</v>
      </c>
      <c r="J59" s="17">
        <v>928.0</v>
      </c>
      <c r="K59" s="18">
        <v>823.558</v>
      </c>
      <c r="L59" s="17">
        <v>916.0</v>
      </c>
      <c r="M59" s="18">
        <v>916.0</v>
      </c>
      <c r="N59" s="18">
        <v>0.0</v>
      </c>
      <c r="O59" s="18">
        <v>81.609</v>
      </c>
    </row>
    <row r="60">
      <c r="A60" s="8" t="s">
        <v>65</v>
      </c>
      <c r="B60" s="9">
        <v>30.0</v>
      </c>
      <c r="C60" s="9" t="s">
        <v>8</v>
      </c>
      <c r="D60" s="9">
        <v>25.0</v>
      </c>
      <c r="E60" s="10">
        <v>2.0</v>
      </c>
      <c r="F60" s="9">
        <v>3.0</v>
      </c>
      <c r="G60" s="9">
        <v>1.0</v>
      </c>
      <c r="H60" s="9">
        <v>0.0</v>
      </c>
      <c r="I60" s="9">
        <v>0.0</v>
      </c>
      <c r="J60" s="17">
        <v>-540.0</v>
      </c>
      <c r="K60" s="18">
        <v>-573.573</v>
      </c>
      <c r="L60" s="17">
        <v>-540.0</v>
      </c>
      <c r="M60" s="18">
        <v>-540.0</v>
      </c>
      <c r="N60" s="18">
        <v>0.0</v>
      </c>
      <c r="O60" s="18">
        <v>1.239</v>
      </c>
    </row>
    <row r="61">
      <c r="A61" s="8" t="s">
        <v>66</v>
      </c>
      <c r="B61" s="9">
        <v>30.0</v>
      </c>
      <c r="C61" s="9" t="s">
        <v>8</v>
      </c>
      <c r="D61" s="9">
        <v>25.0</v>
      </c>
      <c r="E61" s="10">
        <v>2.0</v>
      </c>
      <c r="F61" s="9">
        <v>4.0</v>
      </c>
      <c r="G61" s="9">
        <v>1.0</v>
      </c>
      <c r="H61" s="9">
        <v>0.0</v>
      </c>
      <c r="I61" s="9">
        <v>0.0</v>
      </c>
      <c r="J61" s="17">
        <v>1443.0</v>
      </c>
      <c r="K61" s="18">
        <v>1170.61</v>
      </c>
      <c r="L61" s="17">
        <v>1337.0</v>
      </c>
      <c r="M61" s="18">
        <v>1337.0</v>
      </c>
      <c r="N61" s="18">
        <v>0.0</v>
      </c>
      <c r="O61" s="18">
        <v>639.623</v>
      </c>
    </row>
    <row r="62">
      <c r="A62" s="8" t="s">
        <v>67</v>
      </c>
      <c r="B62" s="9">
        <v>30.0</v>
      </c>
      <c r="C62" s="9" t="s">
        <v>8</v>
      </c>
      <c r="D62" s="9">
        <v>25.0</v>
      </c>
      <c r="E62" s="10">
        <v>2.0</v>
      </c>
      <c r="F62" s="9">
        <v>5.0</v>
      </c>
      <c r="G62" s="9">
        <v>1.0</v>
      </c>
      <c r="H62" s="9">
        <v>0.0</v>
      </c>
      <c r="I62" s="9">
        <v>0.0</v>
      </c>
      <c r="J62" s="17">
        <v>131.0</v>
      </c>
      <c r="K62" s="18">
        <v>61.0086</v>
      </c>
      <c r="L62" s="17">
        <v>131.0</v>
      </c>
      <c r="M62" s="18">
        <v>131.0</v>
      </c>
      <c r="N62" s="18">
        <v>0.0</v>
      </c>
      <c r="O62" s="18">
        <v>3.209</v>
      </c>
    </row>
    <row r="63">
      <c r="A63" s="8" t="s">
        <v>68</v>
      </c>
      <c r="B63" s="9">
        <v>30.0</v>
      </c>
      <c r="C63" s="9" t="s">
        <v>8</v>
      </c>
      <c r="D63" s="9">
        <v>50.0</v>
      </c>
      <c r="E63" s="10">
        <v>0.6</v>
      </c>
      <c r="F63" s="9">
        <v>1.0</v>
      </c>
      <c r="G63" s="9">
        <v>1.0</v>
      </c>
      <c r="H63" s="9">
        <v>0.0</v>
      </c>
      <c r="I63" s="9">
        <v>0.0</v>
      </c>
      <c r="J63" s="17">
        <v>-830.0</v>
      </c>
      <c r="K63" s="18">
        <v>-1753.77</v>
      </c>
      <c r="L63" s="17">
        <v>-1084.0</v>
      </c>
      <c r="M63" s="18">
        <v>-1084.0</v>
      </c>
      <c r="N63" s="18">
        <v>0.0</v>
      </c>
      <c r="O63" s="18">
        <v>825.731</v>
      </c>
    </row>
    <row r="64">
      <c r="A64" s="8" t="s">
        <v>69</v>
      </c>
      <c r="B64" s="9">
        <v>30.0</v>
      </c>
      <c r="C64" s="9" t="s">
        <v>8</v>
      </c>
      <c r="D64" s="9">
        <v>50.0</v>
      </c>
      <c r="E64" s="10">
        <v>0.6</v>
      </c>
      <c r="F64" s="9">
        <v>2.0</v>
      </c>
      <c r="G64" s="9">
        <v>1.0</v>
      </c>
      <c r="H64" s="9">
        <v>0.0</v>
      </c>
      <c r="I64" s="9">
        <v>0.0</v>
      </c>
      <c r="J64" s="17">
        <v>-260.0</v>
      </c>
      <c r="K64" s="18">
        <v>-2483.27</v>
      </c>
      <c r="L64" s="17">
        <v>-1550.0</v>
      </c>
      <c r="M64" s="18">
        <v>-1550.0</v>
      </c>
      <c r="N64" s="18">
        <v>0.0</v>
      </c>
      <c r="O64" s="18">
        <v>3077.76</v>
      </c>
    </row>
    <row r="65">
      <c r="A65" s="8" t="s">
        <v>70</v>
      </c>
      <c r="B65" s="9">
        <v>30.0</v>
      </c>
      <c r="C65" s="9" t="s">
        <v>8</v>
      </c>
      <c r="D65" s="9">
        <v>50.0</v>
      </c>
      <c r="E65" s="10">
        <v>0.6</v>
      </c>
      <c r="F65" s="9">
        <v>3.0</v>
      </c>
      <c r="G65" s="9">
        <v>1.0</v>
      </c>
      <c r="H65" s="9">
        <v>0.0</v>
      </c>
      <c r="I65" s="9">
        <v>0.0</v>
      </c>
      <c r="J65" s="17">
        <v>-868.0</v>
      </c>
      <c r="K65" s="18">
        <v>-1790.67</v>
      </c>
      <c r="L65" s="17">
        <v>-1138.0</v>
      </c>
      <c r="M65" s="18">
        <v>-1138.0</v>
      </c>
      <c r="N65" s="18">
        <v>0.0</v>
      </c>
      <c r="O65" s="18">
        <v>733.236</v>
      </c>
    </row>
    <row r="66">
      <c r="A66" s="8" t="s">
        <v>71</v>
      </c>
      <c r="B66" s="9">
        <v>30.0</v>
      </c>
      <c r="C66" s="9" t="s">
        <v>8</v>
      </c>
      <c r="D66" s="9">
        <v>50.0</v>
      </c>
      <c r="E66" s="10">
        <v>0.6</v>
      </c>
      <c r="F66" s="9">
        <v>4.0</v>
      </c>
      <c r="G66" s="9">
        <v>1.0</v>
      </c>
      <c r="H66" s="9">
        <v>0.0</v>
      </c>
      <c r="I66" s="9">
        <v>0.0</v>
      </c>
      <c r="J66" s="17">
        <v>-765.0</v>
      </c>
      <c r="K66" s="18">
        <v>-2264.49</v>
      </c>
      <c r="L66" s="17">
        <v>-1336.0</v>
      </c>
      <c r="M66" s="18">
        <v>-1336.0</v>
      </c>
      <c r="N66" s="18">
        <v>0.0</v>
      </c>
      <c r="O66" s="18">
        <v>2512.29</v>
      </c>
    </row>
    <row r="67">
      <c r="A67" s="8" t="s">
        <v>72</v>
      </c>
      <c r="B67" s="9">
        <v>30.0</v>
      </c>
      <c r="C67" s="9" t="s">
        <v>8</v>
      </c>
      <c r="D67" s="9">
        <v>50.0</v>
      </c>
      <c r="E67" s="10">
        <v>0.6</v>
      </c>
      <c r="F67" s="9">
        <v>5.0</v>
      </c>
      <c r="G67" s="9">
        <v>1.0</v>
      </c>
      <c r="H67" s="9">
        <v>0.0</v>
      </c>
      <c r="I67" s="9">
        <v>0.0</v>
      </c>
      <c r="J67" s="17">
        <v>-1067.0</v>
      </c>
      <c r="K67" s="18">
        <v>-2316.42</v>
      </c>
      <c r="L67" s="17">
        <v>-1459.0</v>
      </c>
      <c r="M67" s="18">
        <v>-1459.0</v>
      </c>
      <c r="N67" s="18">
        <v>0.0</v>
      </c>
      <c r="O67" s="18">
        <v>3026.61</v>
      </c>
    </row>
    <row r="68">
      <c r="A68" s="8" t="s">
        <v>73</v>
      </c>
      <c r="B68" s="9">
        <v>30.0</v>
      </c>
      <c r="C68" s="9" t="s">
        <v>8</v>
      </c>
      <c r="D68" s="9">
        <v>50.0</v>
      </c>
      <c r="E68" s="10">
        <v>1.0</v>
      </c>
      <c r="F68" s="9">
        <v>1.0</v>
      </c>
      <c r="G68" s="9">
        <v>1.0</v>
      </c>
      <c r="H68" s="9">
        <v>0.0</v>
      </c>
      <c r="I68" s="9">
        <v>0.0</v>
      </c>
      <c r="J68" s="17">
        <v>-593.0</v>
      </c>
      <c r="K68" s="18">
        <v>-1167.44</v>
      </c>
      <c r="L68" s="17">
        <v>-848.0</v>
      </c>
      <c r="M68" s="18">
        <v>-848.0</v>
      </c>
      <c r="N68" s="18">
        <v>0.0</v>
      </c>
      <c r="O68" s="18">
        <v>780.318</v>
      </c>
    </row>
    <row r="69">
      <c r="A69" s="8" t="s">
        <v>74</v>
      </c>
      <c r="B69" s="9">
        <v>30.0</v>
      </c>
      <c r="C69" s="9" t="s">
        <v>8</v>
      </c>
      <c r="D69" s="9">
        <v>50.0</v>
      </c>
      <c r="E69" s="10">
        <v>1.0</v>
      </c>
      <c r="F69" s="9">
        <v>2.0</v>
      </c>
      <c r="G69" s="9">
        <v>1.0</v>
      </c>
      <c r="H69" s="9">
        <v>0.0</v>
      </c>
      <c r="I69" s="9">
        <v>0.0</v>
      </c>
      <c r="J69" s="17">
        <v>-1230.0</v>
      </c>
      <c r="K69" s="18">
        <v>-1714.54</v>
      </c>
      <c r="L69" s="17">
        <v>-1303.0</v>
      </c>
      <c r="M69" s="18">
        <v>-1303.0</v>
      </c>
      <c r="N69" s="18">
        <v>0.0</v>
      </c>
      <c r="O69" s="18">
        <v>2378.29</v>
      </c>
    </row>
    <row r="70">
      <c r="A70" s="8" t="s">
        <v>75</v>
      </c>
      <c r="B70" s="9">
        <v>30.0</v>
      </c>
      <c r="C70" s="9" t="s">
        <v>8</v>
      </c>
      <c r="D70" s="9">
        <v>50.0</v>
      </c>
      <c r="E70" s="10">
        <v>1.0</v>
      </c>
      <c r="F70" s="9">
        <v>3.0</v>
      </c>
      <c r="G70" s="9">
        <v>1.0</v>
      </c>
      <c r="H70" s="9">
        <v>0.0</v>
      </c>
      <c r="I70" s="9">
        <v>0.0</v>
      </c>
      <c r="J70" s="17">
        <v>-746.0</v>
      </c>
      <c r="K70" s="18">
        <v>-1278.75</v>
      </c>
      <c r="L70" s="17">
        <v>-910.0</v>
      </c>
      <c r="M70" s="18">
        <v>-910.0</v>
      </c>
      <c r="N70" s="18">
        <v>0.0</v>
      </c>
      <c r="O70" s="18">
        <v>1377.98</v>
      </c>
    </row>
    <row r="71">
      <c r="A71" s="8" t="s">
        <v>76</v>
      </c>
      <c r="B71" s="9">
        <v>30.0</v>
      </c>
      <c r="C71" s="9" t="s">
        <v>8</v>
      </c>
      <c r="D71" s="9">
        <v>50.0</v>
      </c>
      <c r="E71" s="10">
        <v>1.0</v>
      </c>
      <c r="F71" s="9">
        <v>4.0</v>
      </c>
      <c r="G71" s="9">
        <v>1.0</v>
      </c>
      <c r="H71" s="9">
        <v>0.0</v>
      </c>
      <c r="I71" s="9">
        <v>0.0</v>
      </c>
      <c r="J71" s="17">
        <v>-684.0</v>
      </c>
      <c r="K71" s="18">
        <v>-1566.77</v>
      </c>
      <c r="L71" s="17">
        <v>-1126.0</v>
      </c>
      <c r="M71" s="18">
        <v>-1126.0</v>
      </c>
      <c r="N71" s="18">
        <v>0.0</v>
      </c>
      <c r="O71" s="18">
        <v>1725.43</v>
      </c>
    </row>
    <row r="72">
      <c r="A72" s="8" t="s">
        <v>77</v>
      </c>
      <c r="B72" s="9">
        <v>30.0</v>
      </c>
      <c r="C72" s="9" t="s">
        <v>8</v>
      </c>
      <c r="D72" s="9">
        <v>50.0</v>
      </c>
      <c r="E72" s="10">
        <v>1.0</v>
      </c>
      <c r="F72" s="9">
        <v>5.0</v>
      </c>
      <c r="G72" s="9">
        <v>1.0</v>
      </c>
      <c r="H72" s="9">
        <v>0.0</v>
      </c>
      <c r="I72" s="9">
        <v>0.0</v>
      </c>
      <c r="J72" s="17">
        <v>-802.0</v>
      </c>
      <c r="K72" s="18">
        <v>-1541.29</v>
      </c>
      <c r="L72" s="17">
        <v>-1163.0</v>
      </c>
      <c r="M72" s="18">
        <v>-1163.0</v>
      </c>
      <c r="N72" s="18">
        <v>0.0</v>
      </c>
      <c r="O72" s="18">
        <v>2221.96</v>
      </c>
    </row>
    <row r="73">
      <c r="A73" s="8" t="s">
        <v>78</v>
      </c>
      <c r="B73" s="9">
        <v>30.0</v>
      </c>
      <c r="C73" s="9" t="s">
        <v>8</v>
      </c>
      <c r="D73" s="9">
        <v>50.0</v>
      </c>
      <c r="E73" s="10">
        <v>2.0</v>
      </c>
      <c r="F73" s="9">
        <v>1.0</v>
      </c>
      <c r="G73" s="9">
        <v>1.0</v>
      </c>
      <c r="H73" s="9">
        <v>0.0</v>
      </c>
      <c r="I73" s="9">
        <v>0.0</v>
      </c>
      <c r="J73" s="17">
        <v>1775.0</v>
      </c>
      <c r="K73" s="18">
        <v>1546.75</v>
      </c>
      <c r="L73" s="17">
        <v>1739.0</v>
      </c>
      <c r="M73" s="18">
        <v>1739.0</v>
      </c>
      <c r="N73" s="18">
        <v>0.0</v>
      </c>
      <c r="O73" s="18">
        <v>846.531</v>
      </c>
    </row>
    <row r="74">
      <c r="A74" s="8" t="s">
        <v>79</v>
      </c>
      <c r="B74" s="9">
        <v>30.0</v>
      </c>
      <c r="C74" s="9" t="s">
        <v>8</v>
      </c>
      <c r="D74" s="9">
        <v>50.0</v>
      </c>
      <c r="E74" s="10">
        <v>2.0</v>
      </c>
      <c r="F74" s="9">
        <v>2.0</v>
      </c>
      <c r="G74" s="9">
        <v>1.0</v>
      </c>
      <c r="H74" s="9">
        <v>0.0</v>
      </c>
      <c r="I74" s="9">
        <v>0.0</v>
      </c>
      <c r="J74" s="17">
        <v>-13.0</v>
      </c>
      <c r="K74" s="18">
        <v>-95.7103</v>
      </c>
      <c r="L74" s="17">
        <v>-13.0</v>
      </c>
      <c r="M74" s="18">
        <v>-13.0</v>
      </c>
      <c r="N74" s="18">
        <v>0.0</v>
      </c>
      <c r="O74" s="18">
        <v>1.917</v>
      </c>
    </row>
    <row r="75">
      <c r="A75" s="8" t="s">
        <v>80</v>
      </c>
      <c r="B75" s="9">
        <v>30.0</v>
      </c>
      <c r="C75" s="9" t="s">
        <v>8</v>
      </c>
      <c r="D75" s="9">
        <v>50.0</v>
      </c>
      <c r="E75" s="10">
        <v>2.0</v>
      </c>
      <c r="F75" s="9">
        <v>3.0</v>
      </c>
      <c r="G75" s="9">
        <v>1.0</v>
      </c>
      <c r="H75" s="9">
        <v>0.0</v>
      </c>
      <c r="I75" s="9">
        <v>0.0</v>
      </c>
      <c r="J75" s="17">
        <v>1903.0</v>
      </c>
      <c r="K75" s="18">
        <v>1746.08</v>
      </c>
      <c r="L75" s="17">
        <v>1881.0</v>
      </c>
      <c r="M75" s="18">
        <v>1881.0</v>
      </c>
      <c r="N75" s="18">
        <v>0.0</v>
      </c>
      <c r="O75" s="18">
        <v>193.999</v>
      </c>
    </row>
    <row r="76">
      <c r="A76" s="8" t="s">
        <v>81</v>
      </c>
      <c r="B76" s="9">
        <v>30.0</v>
      </c>
      <c r="C76" s="9" t="s">
        <v>8</v>
      </c>
      <c r="D76" s="9">
        <v>50.0</v>
      </c>
      <c r="E76" s="10">
        <v>2.0</v>
      </c>
      <c r="F76" s="9">
        <v>4.0</v>
      </c>
      <c r="G76" s="9">
        <v>1.0</v>
      </c>
      <c r="H76" s="9">
        <v>0.0</v>
      </c>
      <c r="I76" s="9">
        <v>0.0</v>
      </c>
      <c r="J76" s="17">
        <v>506.0</v>
      </c>
      <c r="K76" s="18">
        <v>243.897</v>
      </c>
      <c r="L76" s="17">
        <v>365.0</v>
      </c>
      <c r="M76" s="18">
        <v>365.0</v>
      </c>
      <c r="N76" s="18">
        <v>0.0</v>
      </c>
      <c r="O76" s="18">
        <v>25.512</v>
      </c>
    </row>
    <row r="77">
      <c r="A77" s="8" t="s">
        <v>82</v>
      </c>
      <c r="B77" s="9">
        <v>30.0</v>
      </c>
      <c r="C77" s="9" t="s">
        <v>8</v>
      </c>
      <c r="D77" s="9">
        <v>50.0</v>
      </c>
      <c r="E77" s="10">
        <v>2.0</v>
      </c>
      <c r="F77" s="9">
        <v>5.0</v>
      </c>
      <c r="G77" s="9">
        <v>1.0</v>
      </c>
      <c r="H77" s="9">
        <v>0.0</v>
      </c>
      <c r="I77" s="9">
        <v>0.0</v>
      </c>
      <c r="J77" s="17">
        <v>885.0</v>
      </c>
      <c r="K77" s="18">
        <v>755.295</v>
      </c>
      <c r="L77" s="17">
        <v>885.0</v>
      </c>
      <c r="M77" s="18">
        <v>885.0</v>
      </c>
      <c r="N77" s="18">
        <v>0.0</v>
      </c>
      <c r="O77" s="18">
        <v>49.44</v>
      </c>
    </row>
    <row r="78">
      <c r="A78" s="8" t="s">
        <v>83</v>
      </c>
      <c r="B78" s="9">
        <v>30.0</v>
      </c>
      <c r="C78" s="9" t="s">
        <v>8</v>
      </c>
      <c r="D78" s="9">
        <v>75.0</v>
      </c>
      <c r="E78" s="10">
        <v>0.6</v>
      </c>
      <c r="F78" s="9">
        <v>1.0</v>
      </c>
      <c r="G78" s="9">
        <v>0.0</v>
      </c>
      <c r="H78" s="9">
        <v>1.0</v>
      </c>
      <c r="I78" s="9">
        <v>0.0</v>
      </c>
      <c r="J78" s="17">
        <v>-905.0</v>
      </c>
      <c r="K78" s="18">
        <v>-3068.5</v>
      </c>
      <c r="L78" s="17">
        <v>-1701.0</v>
      </c>
      <c r="M78" s="18">
        <v>-2130.52</v>
      </c>
      <c r="N78" s="18">
        <v>25.2508</v>
      </c>
      <c r="O78" s="18">
        <v>3600.0</v>
      </c>
    </row>
    <row r="79">
      <c r="A79" s="8" t="s">
        <v>84</v>
      </c>
      <c r="B79" s="9">
        <v>30.0</v>
      </c>
      <c r="C79" s="9" t="s">
        <v>8</v>
      </c>
      <c r="D79" s="9">
        <v>75.0</v>
      </c>
      <c r="E79" s="10">
        <v>0.6</v>
      </c>
      <c r="F79" s="9">
        <v>2.0</v>
      </c>
      <c r="G79" s="9">
        <v>0.0</v>
      </c>
      <c r="H79" s="9">
        <v>1.0</v>
      </c>
      <c r="I79" s="9">
        <v>0.0</v>
      </c>
      <c r="J79" s="17">
        <v>-372.0</v>
      </c>
      <c r="K79" s="18">
        <v>-3181.89</v>
      </c>
      <c r="L79" s="17">
        <v>-1556.0</v>
      </c>
      <c r="M79" s="18">
        <v>-2288.36</v>
      </c>
      <c r="N79" s="18">
        <v>47.0671</v>
      </c>
      <c r="O79" s="18">
        <v>3600.0</v>
      </c>
    </row>
    <row r="80">
      <c r="A80" s="8" t="s">
        <v>85</v>
      </c>
      <c r="B80" s="9">
        <v>30.0</v>
      </c>
      <c r="C80" s="9" t="s">
        <v>8</v>
      </c>
      <c r="D80" s="9">
        <v>75.0</v>
      </c>
      <c r="E80" s="10">
        <v>0.6</v>
      </c>
      <c r="F80" s="9">
        <v>3.0</v>
      </c>
      <c r="G80" s="9">
        <v>0.0</v>
      </c>
      <c r="H80" s="9">
        <v>1.0</v>
      </c>
      <c r="I80" s="9">
        <v>0.0</v>
      </c>
      <c r="J80" s="17">
        <v>-409.0</v>
      </c>
      <c r="K80" s="18">
        <v>-3105.7</v>
      </c>
      <c r="L80" s="17">
        <v>-1514.0</v>
      </c>
      <c r="M80" s="18">
        <v>-2277.29</v>
      </c>
      <c r="N80" s="18">
        <v>50.4157</v>
      </c>
      <c r="O80" s="18">
        <v>3600.0</v>
      </c>
    </row>
    <row r="81">
      <c r="A81" s="8" t="s">
        <v>86</v>
      </c>
      <c r="B81" s="9">
        <v>30.0</v>
      </c>
      <c r="C81" s="9" t="s">
        <v>8</v>
      </c>
      <c r="D81" s="9">
        <v>75.0</v>
      </c>
      <c r="E81" s="10">
        <v>0.6</v>
      </c>
      <c r="F81" s="9">
        <v>4.0</v>
      </c>
      <c r="G81" s="9">
        <v>0.0</v>
      </c>
      <c r="H81" s="9">
        <v>1.0</v>
      </c>
      <c r="I81" s="9">
        <v>0.0</v>
      </c>
      <c r="J81" s="17">
        <v>-884.0</v>
      </c>
      <c r="K81" s="18">
        <v>-2988.62</v>
      </c>
      <c r="L81" s="17">
        <v>-1617.0</v>
      </c>
      <c r="M81" s="18">
        <v>-2059.99</v>
      </c>
      <c r="N81" s="18">
        <v>27.3959</v>
      </c>
      <c r="O81" s="18">
        <v>3600.0</v>
      </c>
    </row>
    <row r="82">
      <c r="A82" s="8" t="s">
        <v>87</v>
      </c>
      <c r="B82" s="9">
        <v>30.0</v>
      </c>
      <c r="C82" s="9" t="s">
        <v>8</v>
      </c>
      <c r="D82" s="9">
        <v>75.0</v>
      </c>
      <c r="E82" s="10">
        <v>0.6</v>
      </c>
      <c r="F82" s="9">
        <v>5.0</v>
      </c>
      <c r="G82" s="9">
        <v>0.0</v>
      </c>
      <c r="H82" s="9">
        <v>1.0</v>
      </c>
      <c r="I82" s="9">
        <v>0.0</v>
      </c>
      <c r="J82" s="17">
        <v>-577.0</v>
      </c>
      <c r="K82" s="18">
        <v>-3399.89</v>
      </c>
      <c r="L82" s="17">
        <v>-1772.0</v>
      </c>
      <c r="M82" s="18">
        <v>-2504.26</v>
      </c>
      <c r="N82" s="18">
        <v>41.3239</v>
      </c>
      <c r="O82" s="18">
        <v>3600.0</v>
      </c>
    </row>
    <row r="83">
      <c r="A83" s="8" t="s">
        <v>88</v>
      </c>
      <c r="B83" s="9">
        <v>30.0</v>
      </c>
      <c r="C83" s="9" t="s">
        <v>8</v>
      </c>
      <c r="D83" s="9">
        <v>75.0</v>
      </c>
      <c r="E83" s="10">
        <v>1.0</v>
      </c>
      <c r="F83" s="9">
        <v>1.0</v>
      </c>
      <c r="G83" s="9">
        <v>1.0</v>
      </c>
      <c r="H83" s="9">
        <v>0.0</v>
      </c>
      <c r="I83" s="9">
        <v>0.0</v>
      </c>
      <c r="J83" s="17">
        <v>-1273.0</v>
      </c>
      <c r="K83" s="18">
        <v>-2035.1</v>
      </c>
      <c r="L83" s="17">
        <v>-1556.0</v>
      </c>
      <c r="M83" s="18">
        <v>-1556.0</v>
      </c>
      <c r="N83" s="18">
        <v>0.0</v>
      </c>
      <c r="O83" s="18">
        <v>1587.82</v>
      </c>
    </row>
    <row r="84">
      <c r="A84" s="8" t="s">
        <v>89</v>
      </c>
      <c r="B84" s="9">
        <v>30.0</v>
      </c>
      <c r="C84" s="9" t="s">
        <v>8</v>
      </c>
      <c r="D84" s="9">
        <v>75.0</v>
      </c>
      <c r="E84" s="10">
        <v>1.0</v>
      </c>
      <c r="F84" s="9">
        <v>2.0</v>
      </c>
      <c r="G84" s="9">
        <v>0.0</v>
      </c>
      <c r="H84" s="9">
        <v>1.0</v>
      </c>
      <c r="I84" s="9">
        <v>0.0</v>
      </c>
      <c r="J84" s="17">
        <v>-1238.0</v>
      </c>
      <c r="K84" s="18">
        <v>-1989.61</v>
      </c>
      <c r="L84" s="17">
        <v>-1427.0</v>
      </c>
      <c r="M84" s="18">
        <v>-1594.12</v>
      </c>
      <c r="N84" s="18">
        <v>11.7116</v>
      </c>
      <c r="O84" s="18">
        <v>3600.0</v>
      </c>
    </row>
    <row r="85">
      <c r="A85" s="8" t="s">
        <v>90</v>
      </c>
      <c r="B85" s="9">
        <v>30.0</v>
      </c>
      <c r="C85" s="9" t="s">
        <v>8</v>
      </c>
      <c r="D85" s="9">
        <v>75.0</v>
      </c>
      <c r="E85" s="10">
        <v>1.0</v>
      </c>
      <c r="F85" s="9">
        <v>3.0</v>
      </c>
      <c r="G85" s="9">
        <v>0.0</v>
      </c>
      <c r="H85" s="9">
        <v>1.0</v>
      </c>
      <c r="I85" s="9">
        <v>0.0</v>
      </c>
      <c r="J85" s="17">
        <v>-1117.0</v>
      </c>
      <c r="K85" s="18">
        <v>-1973.51</v>
      </c>
      <c r="L85" s="17">
        <v>-1349.0</v>
      </c>
      <c r="M85" s="18">
        <v>-1562.42</v>
      </c>
      <c r="N85" s="18">
        <v>15.8203</v>
      </c>
      <c r="O85" s="18">
        <v>3600.0</v>
      </c>
    </row>
    <row r="86">
      <c r="A86" s="8" t="s">
        <v>91</v>
      </c>
      <c r="B86" s="9">
        <v>30.0</v>
      </c>
      <c r="C86" s="9" t="s">
        <v>8</v>
      </c>
      <c r="D86" s="9">
        <v>75.0</v>
      </c>
      <c r="E86" s="10">
        <v>1.0</v>
      </c>
      <c r="F86" s="9">
        <v>4.0</v>
      </c>
      <c r="G86" s="9">
        <v>0.0</v>
      </c>
      <c r="H86" s="9">
        <v>1.0</v>
      </c>
      <c r="I86" s="9">
        <v>0.0</v>
      </c>
      <c r="J86" s="17">
        <v>-969.0</v>
      </c>
      <c r="K86" s="18">
        <v>-1792.26</v>
      </c>
      <c r="L86" s="17">
        <v>-1212.0</v>
      </c>
      <c r="M86" s="18">
        <v>-1395.84</v>
      </c>
      <c r="N86" s="18">
        <v>15.1685</v>
      </c>
      <c r="O86" s="18">
        <v>3600.0</v>
      </c>
    </row>
    <row r="87">
      <c r="A87" s="8" t="s">
        <v>92</v>
      </c>
      <c r="B87" s="9">
        <v>30.0</v>
      </c>
      <c r="C87" s="9" t="s">
        <v>8</v>
      </c>
      <c r="D87" s="9">
        <v>75.0</v>
      </c>
      <c r="E87" s="10">
        <v>1.0</v>
      </c>
      <c r="F87" s="9">
        <v>5.0</v>
      </c>
      <c r="G87" s="9">
        <v>0.0</v>
      </c>
      <c r="H87" s="9">
        <v>1.0</v>
      </c>
      <c r="I87" s="9">
        <v>0.0</v>
      </c>
      <c r="J87" s="17">
        <v>-1001.0</v>
      </c>
      <c r="K87" s="18">
        <v>-1987.85</v>
      </c>
      <c r="L87" s="17">
        <v>-1360.0</v>
      </c>
      <c r="M87" s="18">
        <v>-1625.81</v>
      </c>
      <c r="N87" s="18">
        <v>19.5447</v>
      </c>
      <c r="O87" s="18">
        <v>3600.0</v>
      </c>
    </row>
    <row r="88">
      <c r="A88" s="8" t="s">
        <v>93</v>
      </c>
      <c r="B88" s="9">
        <v>30.0</v>
      </c>
      <c r="C88" s="9" t="s">
        <v>8</v>
      </c>
      <c r="D88" s="9">
        <v>75.0</v>
      </c>
      <c r="E88" s="10">
        <v>2.0</v>
      </c>
      <c r="F88" s="9">
        <v>1.0</v>
      </c>
      <c r="G88" s="9">
        <v>1.0</v>
      </c>
      <c r="H88" s="9">
        <v>0.0</v>
      </c>
      <c r="I88" s="9">
        <v>0.0</v>
      </c>
      <c r="J88" s="17">
        <v>-375.0</v>
      </c>
      <c r="K88" s="18">
        <v>-509.12</v>
      </c>
      <c r="L88" s="17">
        <v>-423.0</v>
      </c>
      <c r="M88" s="18">
        <v>-423.0</v>
      </c>
      <c r="N88" s="18">
        <v>0.0</v>
      </c>
      <c r="O88" s="18">
        <v>8.452</v>
      </c>
    </row>
    <row r="89">
      <c r="A89" s="8" t="s">
        <v>94</v>
      </c>
      <c r="B89" s="9">
        <v>30.0</v>
      </c>
      <c r="C89" s="9" t="s">
        <v>8</v>
      </c>
      <c r="D89" s="9">
        <v>75.0</v>
      </c>
      <c r="E89" s="10">
        <v>2.0</v>
      </c>
      <c r="F89" s="9">
        <v>2.0</v>
      </c>
      <c r="G89" s="9">
        <v>1.0</v>
      </c>
      <c r="H89" s="9">
        <v>0.0</v>
      </c>
      <c r="I89" s="9">
        <v>0.0</v>
      </c>
      <c r="J89" s="17">
        <v>-78.0</v>
      </c>
      <c r="K89" s="18">
        <v>-226.615</v>
      </c>
      <c r="L89" s="17">
        <v>-111.0</v>
      </c>
      <c r="M89" s="18">
        <v>-111.0</v>
      </c>
      <c r="N89" s="18">
        <v>0.0</v>
      </c>
      <c r="O89" s="18">
        <v>38.294</v>
      </c>
    </row>
    <row r="90">
      <c r="A90" s="8" t="s">
        <v>95</v>
      </c>
      <c r="B90" s="9">
        <v>30.0</v>
      </c>
      <c r="C90" s="9" t="s">
        <v>8</v>
      </c>
      <c r="D90" s="9">
        <v>75.0</v>
      </c>
      <c r="E90" s="10">
        <v>2.0</v>
      </c>
      <c r="F90" s="9">
        <v>3.0</v>
      </c>
      <c r="G90" s="9">
        <v>1.0</v>
      </c>
      <c r="H90" s="9">
        <v>0.0</v>
      </c>
      <c r="I90" s="9">
        <v>0.0</v>
      </c>
      <c r="J90" s="17">
        <v>292.0</v>
      </c>
      <c r="K90" s="18">
        <v>124.679</v>
      </c>
      <c r="L90" s="17">
        <v>220.0</v>
      </c>
      <c r="M90" s="18">
        <v>220.0</v>
      </c>
      <c r="N90" s="18">
        <v>0.0</v>
      </c>
      <c r="O90" s="18">
        <v>4.947</v>
      </c>
    </row>
    <row r="91">
      <c r="A91" s="8" t="s">
        <v>96</v>
      </c>
      <c r="B91" s="9">
        <v>30.0</v>
      </c>
      <c r="C91" s="9" t="s">
        <v>8</v>
      </c>
      <c r="D91" s="9">
        <v>75.0</v>
      </c>
      <c r="E91" s="10">
        <v>2.0</v>
      </c>
      <c r="F91" s="9">
        <v>4.0</v>
      </c>
      <c r="G91" s="9">
        <v>1.0</v>
      </c>
      <c r="H91" s="9">
        <v>0.0</v>
      </c>
      <c r="I91" s="9">
        <v>0.0</v>
      </c>
      <c r="J91" s="17">
        <v>1903.0</v>
      </c>
      <c r="K91" s="18">
        <v>1597.2</v>
      </c>
      <c r="L91" s="17">
        <v>1730.0</v>
      </c>
      <c r="M91" s="18">
        <v>1730.0</v>
      </c>
      <c r="N91" s="18">
        <v>0.0</v>
      </c>
      <c r="O91" s="18">
        <v>63.033</v>
      </c>
    </row>
    <row r="92">
      <c r="A92" s="8" t="s">
        <v>97</v>
      </c>
      <c r="B92" s="9">
        <v>30.0</v>
      </c>
      <c r="C92" s="9" t="s">
        <v>8</v>
      </c>
      <c r="D92" s="9">
        <v>75.0</v>
      </c>
      <c r="E92" s="10">
        <v>2.0</v>
      </c>
      <c r="F92" s="9">
        <v>5.0</v>
      </c>
      <c r="G92" s="9">
        <v>1.0</v>
      </c>
      <c r="H92" s="9">
        <v>0.0</v>
      </c>
      <c r="I92" s="9">
        <v>0.0</v>
      </c>
      <c r="J92" s="17">
        <v>2510.0</v>
      </c>
      <c r="K92" s="18">
        <v>2223.57</v>
      </c>
      <c r="L92" s="17">
        <v>2510.0</v>
      </c>
      <c r="M92" s="18">
        <v>2510.0</v>
      </c>
      <c r="N92" s="18">
        <v>0.0</v>
      </c>
      <c r="O92" s="18">
        <v>2096.81</v>
      </c>
    </row>
    <row r="93">
      <c r="A93" s="8" t="s">
        <v>98</v>
      </c>
      <c r="B93" s="9">
        <v>35.0</v>
      </c>
      <c r="C93" s="9" t="s">
        <v>8</v>
      </c>
      <c r="D93" s="9">
        <v>25.0</v>
      </c>
      <c r="E93" s="10">
        <v>0.6</v>
      </c>
      <c r="F93" s="9">
        <v>1.0</v>
      </c>
      <c r="G93" s="9">
        <v>1.0</v>
      </c>
      <c r="H93" s="9">
        <v>0.0</v>
      </c>
      <c r="I93" s="9">
        <v>0.0</v>
      </c>
      <c r="J93" s="17">
        <v>-768.0</v>
      </c>
      <c r="K93" s="18">
        <v>-1515.35</v>
      </c>
      <c r="L93" s="17">
        <v>-1153.0</v>
      </c>
      <c r="M93" s="18">
        <v>-1153.0</v>
      </c>
      <c r="N93" s="18">
        <v>0.0</v>
      </c>
      <c r="O93" s="18">
        <v>1518.53</v>
      </c>
    </row>
    <row r="94">
      <c r="A94" s="8" t="s">
        <v>99</v>
      </c>
      <c r="B94" s="9">
        <v>35.0</v>
      </c>
      <c r="C94" s="9" t="s">
        <v>8</v>
      </c>
      <c r="D94" s="9">
        <v>25.0</v>
      </c>
      <c r="E94" s="10">
        <v>0.6</v>
      </c>
      <c r="F94" s="9">
        <v>2.0</v>
      </c>
      <c r="G94" s="9">
        <v>1.0</v>
      </c>
      <c r="H94" s="9">
        <v>0.0</v>
      </c>
      <c r="I94" s="9">
        <v>0.0</v>
      </c>
      <c r="J94" s="17">
        <v>-645.0</v>
      </c>
      <c r="K94" s="18">
        <v>-1521.51</v>
      </c>
      <c r="L94" s="17">
        <v>-1144.0</v>
      </c>
      <c r="M94" s="18">
        <v>-1144.0</v>
      </c>
      <c r="N94" s="18">
        <v>0.0</v>
      </c>
      <c r="O94" s="18">
        <v>801.951</v>
      </c>
    </row>
    <row r="95">
      <c r="A95" s="8" t="s">
        <v>100</v>
      </c>
      <c r="B95" s="9">
        <v>35.0</v>
      </c>
      <c r="C95" s="9" t="s">
        <v>8</v>
      </c>
      <c r="D95" s="9">
        <v>25.0</v>
      </c>
      <c r="E95" s="10">
        <v>0.6</v>
      </c>
      <c r="F95" s="9">
        <v>3.0</v>
      </c>
      <c r="G95" s="9">
        <v>1.0</v>
      </c>
      <c r="H95" s="9">
        <v>0.0</v>
      </c>
      <c r="I95" s="9">
        <v>0.0</v>
      </c>
      <c r="J95" s="17">
        <v>-707.0</v>
      </c>
      <c r="K95" s="18">
        <v>-1894.78</v>
      </c>
      <c r="L95" s="17">
        <v>-1380.0</v>
      </c>
      <c r="M95" s="18">
        <v>-1380.0</v>
      </c>
      <c r="N95" s="18">
        <v>0.0</v>
      </c>
      <c r="O95" s="18">
        <v>1124.91</v>
      </c>
    </row>
    <row r="96">
      <c r="A96" s="8" t="s">
        <v>101</v>
      </c>
      <c r="B96" s="9">
        <v>35.0</v>
      </c>
      <c r="C96" s="9" t="s">
        <v>8</v>
      </c>
      <c r="D96" s="9">
        <v>25.0</v>
      </c>
      <c r="E96" s="10">
        <v>0.6</v>
      </c>
      <c r="F96" s="9">
        <v>4.0</v>
      </c>
      <c r="G96" s="9">
        <v>1.0</v>
      </c>
      <c r="H96" s="9">
        <v>0.0</v>
      </c>
      <c r="I96" s="9">
        <v>0.0</v>
      </c>
      <c r="J96" s="17">
        <v>-473.0</v>
      </c>
      <c r="K96" s="18">
        <v>-1625.96</v>
      </c>
      <c r="L96" s="17">
        <v>-1233.0</v>
      </c>
      <c r="M96" s="18">
        <v>-1233.0</v>
      </c>
      <c r="N96" s="18">
        <v>0.0</v>
      </c>
      <c r="O96" s="18">
        <v>724.766</v>
      </c>
    </row>
    <row r="97">
      <c r="A97" s="8" t="s">
        <v>102</v>
      </c>
      <c r="B97" s="9">
        <v>35.0</v>
      </c>
      <c r="C97" s="9" t="s">
        <v>8</v>
      </c>
      <c r="D97" s="9">
        <v>25.0</v>
      </c>
      <c r="E97" s="10">
        <v>0.6</v>
      </c>
      <c r="F97" s="9">
        <v>5.0</v>
      </c>
      <c r="G97" s="9">
        <v>1.0</v>
      </c>
      <c r="H97" s="9">
        <v>0.0</v>
      </c>
      <c r="I97" s="9">
        <v>0.0</v>
      </c>
      <c r="J97" s="17">
        <v>-615.0</v>
      </c>
      <c r="K97" s="18">
        <v>-1423.6</v>
      </c>
      <c r="L97" s="17">
        <v>-1057.0</v>
      </c>
      <c r="M97" s="18">
        <v>-1057.0</v>
      </c>
      <c r="N97" s="18">
        <v>0.0</v>
      </c>
      <c r="O97" s="18">
        <v>1265.97</v>
      </c>
    </row>
    <row r="98">
      <c r="A98" s="8" t="s">
        <v>103</v>
      </c>
      <c r="B98" s="9">
        <v>35.0</v>
      </c>
      <c r="C98" s="9" t="s">
        <v>8</v>
      </c>
      <c r="D98" s="9">
        <v>25.0</v>
      </c>
      <c r="E98" s="10">
        <v>1.0</v>
      </c>
      <c r="F98" s="9">
        <v>1.0</v>
      </c>
      <c r="G98" s="9">
        <v>1.0</v>
      </c>
      <c r="H98" s="9">
        <v>0.0</v>
      </c>
      <c r="I98" s="9">
        <v>0.0</v>
      </c>
      <c r="J98" s="17">
        <v>-797.0</v>
      </c>
      <c r="K98" s="18">
        <v>-1352.71</v>
      </c>
      <c r="L98" s="17">
        <v>-1074.0</v>
      </c>
      <c r="M98" s="18">
        <v>-1074.0</v>
      </c>
      <c r="N98" s="18">
        <v>0.0</v>
      </c>
      <c r="O98" s="18">
        <v>1909.33</v>
      </c>
    </row>
    <row r="99">
      <c r="A99" s="8" t="s">
        <v>104</v>
      </c>
      <c r="B99" s="9">
        <v>35.0</v>
      </c>
      <c r="C99" s="9" t="s">
        <v>8</v>
      </c>
      <c r="D99" s="9">
        <v>25.0</v>
      </c>
      <c r="E99" s="10">
        <v>1.0</v>
      </c>
      <c r="F99" s="9">
        <v>2.0</v>
      </c>
      <c r="G99" s="9">
        <v>1.0</v>
      </c>
      <c r="H99" s="9">
        <v>0.0</v>
      </c>
      <c r="I99" s="9">
        <v>0.0</v>
      </c>
      <c r="J99" s="17">
        <v>-1029.0</v>
      </c>
      <c r="K99" s="18">
        <v>-1306.76</v>
      </c>
      <c r="L99" s="17">
        <v>-1080.0</v>
      </c>
      <c r="M99" s="18">
        <v>-1080.0</v>
      </c>
      <c r="N99" s="18">
        <v>0.0</v>
      </c>
      <c r="O99" s="18">
        <v>657.952</v>
      </c>
    </row>
    <row r="100">
      <c r="A100" s="8" t="s">
        <v>105</v>
      </c>
      <c r="B100" s="9">
        <v>35.0</v>
      </c>
      <c r="C100" s="9" t="s">
        <v>8</v>
      </c>
      <c r="D100" s="9">
        <v>25.0</v>
      </c>
      <c r="E100" s="10">
        <v>1.0</v>
      </c>
      <c r="F100" s="9">
        <v>3.0</v>
      </c>
      <c r="G100" s="9">
        <v>1.0</v>
      </c>
      <c r="H100" s="9">
        <v>0.0</v>
      </c>
      <c r="I100" s="9">
        <v>0.0</v>
      </c>
      <c r="J100" s="17">
        <v>-982.0</v>
      </c>
      <c r="K100" s="18">
        <v>-1594.39</v>
      </c>
      <c r="L100" s="17">
        <v>-1224.0</v>
      </c>
      <c r="M100" s="18">
        <v>-1224.0</v>
      </c>
      <c r="N100" s="18">
        <v>0.0</v>
      </c>
      <c r="O100" s="18">
        <v>2630.51</v>
      </c>
    </row>
    <row r="101">
      <c r="A101" s="8" t="s">
        <v>106</v>
      </c>
      <c r="B101" s="9">
        <v>35.0</v>
      </c>
      <c r="C101" s="9" t="s">
        <v>8</v>
      </c>
      <c r="D101" s="9">
        <v>25.0</v>
      </c>
      <c r="E101" s="10">
        <v>1.0</v>
      </c>
      <c r="F101" s="9">
        <v>4.0</v>
      </c>
      <c r="G101" s="9">
        <v>1.0</v>
      </c>
      <c r="H101" s="9">
        <v>0.0</v>
      </c>
      <c r="I101" s="9">
        <v>0.0</v>
      </c>
      <c r="J101" s="17">
        <v>-993.0</v>
      </c>
      <c r="K101" s="18">
        <v>-1367.51</v>
      </c>
      <c r="L101" s="17">
        <v>-1132.0</v>
      </c>
      <c r="M101" s="18">
        <v>-1132.0</v>
      </c>
      <c r="N101" s="18">
        <v>0.0</v>
      </c>
      <c r="O101" s="18">
        <v>1331.01</v>
      </c>
    </row>
    <row r="102">
      <c r="A102" s="8" t="s">
        <v>107</v>
      </c>
      <c r="B102" s="9">
        <v>35.0</v>
      </c>
      <c r="C102" s="9" t="s">
        <v>8</v>
      </c>
      <c r="D102" s="9">
        <v>25.0</v>
      </c>
      <c r="E102" s="10">
        <v>1.0</v>
      </c>
      <c r="F102" s="9">
        <v>5.0</v>
      </c>
      <c r="G102" s="9">
        <v>1.0</v>
      </c>
      <c r="H102" s="9">
        <v>0.0</v>
      </c>
      <c r="I102" s="9">
        <v>0.0</v>
      </c>
      <c r="J102" s="17">
        <v>-699.0</v>
      </c>
      <c r="K102" s="18">
        <v>-1210.95</v>
      </c>
      <c r="L102" s="17">
        <v>-970.0</v>
      </c>
      <c r="M102" s="18">
        <v>-970.0</v>
      </c>
      <c r="N102" s="18">
        <v>0.0</v>
      </c>
      <c r="O102" s="18">
        <v>1508.45</v>
      </c>
    </row>
    <row r="103">
      <c r="A103" s="8" t="s">
        <v>108</v>
      </c>
      <c r="B103" s="9">
        <v>35.0</v>
      </c>
      <c r="C103" s="9" t="s">
        <v>8</v>
      </c>
      <c r="D103" s="9">
        <v>25.0</v>
      </c>
      <c r="E103" s="10">
        <v>2.0</v>
      </c>
      <c r="F103" s="9">
        <v>1.0</v>
      </c>
      <c r="G103" s="9">
        <v>1.0</v>
      </c>
      <c r="H103" s="9">
        <v>0.0</v>
      </c>
      <c r="I103" s="9">
        <v>0.0</v>
      </c>
      <c r="J103" s="17">
        <v>-714.0</v>
      </c>
      <c r="K103" s="18">
        <v>-791.091</v>
      </c>
      <c r="L103" s="17">
        <v>-732.0</v>
      </c>
      <c r="M103" s="18">
        <v>-732.0</v>
      </c>
      <c r="N103" s="18">
        <v>0.0</v>
      </c>
      <c r="O103" s="18">
        <v>13.36</v>
      </c>
    </row>
    <row r="104">
      <c r="A104" s="8" t="s">
        <v>109</v>
      </c>
      <c r="B104" s="9">
        <v>35.0</v>
      </c>
      <c r="C104" s="9" t="s">
        <v>8</v>
      </c>
      <c r="D104" s="9">
        <v>25.0</v>
      </c>
      <c r="E104" s="10">
        <v>2.0</v>
      </c>
      <c r="F104" s="9">
        <v>2.0</v>
      </c>
      <c r="G104" s="9">
        <v>1.0</v>
      </c>
      <c r="H104" s="9">
        <v>0.0</v>
      </c>
      <c r="I104" s="9">
        <v>0.0</v>
      </c>
      <c r="J104" s="17">
        <v>-612.0</v>
      </c>
      <c r="K104" s="18">
        <v>-675.126</v>
      </c>
      <c r="L104" s="17">
        <v>-612.0</v>
      </c>
      <c r="M104" s="18">
        <v>-612.0</v>
      </c>
      <c r="N104" s="18">
        <v>0.0</v>
      </c>
      <c r="O104" s="18">
        <v>19.767</v>
      </c>
    </row>
    <row r="105">
      <c r="A105" s="8" t="s">
        <v>110</v>
      </c>
      <c r="B105" s="9">
        <v>35.0</v>
      </c>
      <c r="C105" s="9" t="s">
        <v>8</v>
      </c>
      <c r="D105" s="9">
        <v>25.0</v>
      </c>
      <c r="E105" s="10">
        <v>2.0</v>
      </c>
      <c r="F105" s="9">
        <v>3.0</v>
      </c>
      <c r="G105" s="9">
        <v>1.0</v>
      </c>
      <c r="H105" s="9">
        <v>0.0</v>
      </c>
      <c r="I105" s="9">
        <v>0.0</v>
      </c>
      <c r="J105" s="17">
        <v>-400.0</v>
      </c>
      <c r="K105" s="18">
        <v>-600.654</v>
      </c>
      <c r="L105" s="17">
        <v>-453.0</v>
      </c>
      <c r="M105" s="18">
        <v>-453.0</v>
      </c>
      <c r="N105" s="18">
        <v>0.0</v>
      </c>
      <c r="O105" s="18">
        <v>235.312</v>
      </c>
    </row>
    <row r="106">
      <c r="A106" s="8" t="s">
        <v>111</v>
      </c>
      <c r="B106" s="9">
        <v>35.0</v>
      </c>
      <c r="C106" s="9" t="s">
        <v>8</v>
      </c>
      <c r="D106" s="9">
        <v>25.0</v>
      </c>
      <c r="E106" s="10">
        <v>2.0</v>
      </c>
      <c r="F106" s="9">
        <v>4.0</v>
      </c>
      <c r="G106" s="9">
        <v>1.0</v>
      </c>
      <c r="H106" s="9">
        <v>0.0</v>
      </c>
      <c r="I106" s="9">
        <v>0.0</v>
      </c>
      <c r="J106" s="17">
        <v>-647.0</v>
      </c>
      <c r="K106" s="18">
        <v>-754.097</v>
      </c>
      <c r="L106" s="17">
        <v>-681.0</v>
      </c>
      <c r="M106" s="18">
        <v>-681.0</v>
      </c>
      <c r="N106" s="18">
        <v>0.0</v>
      </c>
      <c r="O106" s="18">
        <v>24.354</v>
      </c>
    </row>
    <row r="107">
      <c r="A107" s="8" t="s">
        <v>112</v>
      </c>
      <c r="B107" s="9">
        <v>35.0</v>
      </c>
      <c r="C107" s="9" t="s">
        <v>8</v>
      </c>
      <c r="D107" s="9">
        <v>25.0</v>
      </c>
      <c r="E107" s="10">
        <v>2.0</v>
      </c>
      <c r="F107" s="9">
        <v>5.0</v>
      </c>
      <c r="G107" s="9">
        <v>1.0</v>
      </c>
      <c r="H107" s="9">
        <v>0.0</v>
      </c>
      <c r="I107" s="9">
        <v>0.0</v>
      </c>
      <c r="J107" s="17">
        <v>-143.0</v>
      </c>
      <c r="K107" s="18">
        <v>-284.434</v>
      </c>
      <c r="L107" s="17">
        <v>-182.0</v>
      </c>
      <c r="M107" s="18">
        <v>-182.0</v>
      </c>
      <c r="N107" s="18">
        <v>0.0</v>
      </c>
      <c r="O107" s="18">
        <v>249.426</v>
      </c>
    </row>
    <row r="108">
      <c r="A108" s="8" t="s">
        <v>113</v>
      </c>
      <c r="B108" s="9">
        <v>35.0</v>
      </c>
      <c r="C108" s="9" t="s">
        <v>8</v>
      </c>
      <c r="D108" s="9">
        <v>50.0</v>
      </c>
      <c r="E108" s="10">
        <v>0.6</v>
      </c>
      <c r="F108" s="9">
        <v>1.0</v>
      </c>
      <c r="G108" s="9">
        <v>0.0</v>
      </c>
      <c r="H108" s="9">
        <v>1.0</v>
      </c>
      <c r="I108" s="9">
        <v>0.0</v>
      </c>
      <c r="J108" s="17">
        <v>-679.0</v>
      </c>
      <c r="K108" s="18">
        <v>-3498.66</v>
      </c>
      <c r="L108" s="17">
        <v>-1794.0</v>
      </c>
      <c r="M108" s="18">
        <v>-2728.85</v>
      </c>
      <c r="N108" s="18">
        <v>52.1096</v>
      </c>
      <c r="O108" s="18">
        <v>3600.0</v>
      </c>
    </row>
    <row r="109">
      <c r="A109" s="8" t="s">
        <v>114</v>
      </c>
      <c r="B109" s="9">
        <v>35.0</v>
      </c>
      <c r="C109" s="9" t="s">
        <v>8</v>
      </c>
      <c r="D109" s="9">
        <v>50.0</v>
      </c>
      <c r="E109" s="10">
        <v>0.6</v>
      </c>
      <c r="F109" s="9">
        <v>2.0</v>
      </c>
      <c r="G109" s="9">
        <v>0.0</v>
      </c>
      <c r="H109" s="9">
        <v>1.0</v>
      </c>
      <c r="I109" s="9">
        <v>0.0</v>
      </c>
      <c r="J109" s="17">
        <v>-133.0</v>
      </c>
      <c r="K109" s="18">
        <v>-3167.44</v>
      </c>
      <c r="L109" s="17">
        <v>-1781.0</v>
      </c>
      <c r="M109" s="18">
        <v>-2435.76</v>
      </c>
      <c r="N109" s="18">
        <v>36.7638</v>
      </c>
      <c r="O109" s="18">
        <v>3600.0</v>
      </c>
    </row>
    <row r="110">
      <c r="A110" s="8" t="s">
        <v>115</v>
      </c>
      <c r="B110" s="9">
        <v>35.0</v>
      </c>
      <c r="C110" s="9" t="s">
        <v>8</v>
      </c>
      <c r="D110" s="9">
        <v>50.0</v>
      </c>
      <c r="E110" s="10">
        <v>0.6</v>
      </c>
      <c r="F110" s="9">
        <v>3.0</v>
      </c>
      <c r="G110" s="9">
        <v>0.0</v>
      </c>
      <c r="H110" s="9">
        <v>1.0</v>
      </c>
      <c r="I110" s="9">
        <v>0.0</v>
      </c>
      <c r="J110" s="17">
        <v>-534.0</v>
      </c>
      <c r="K110" s="18">
        <v>-2821.97</v>
      </c>
      <c r="L110" s="17">
        <v>-1487.0</v>
      </c>
      <c r="M110" s="18">
        <v>-2023.98</v>
      </c>
      <c r="N110" s="18">
        <v>36.1116</v>
      </c>
      <c r="O110" s="18">
        <v>3600.0</v>
      </c>
    </row>
    <row r="111">
      <c r="A111" s="8" t="s">
        <v>116</v>
      </c>
      <c r="B111" s="9">
        <v>35.0</v>
      </c>
      <c r="C111" s="9" t="s">
        <v>8</v>
      </c>
      <c r="D111" s="9">
        <v>50.0</v>
      </c>
      <c r="E111" s="10">
        <v>0.6</v>
      </c>
      <c r="F111" s="9">
        <v>4.0</v>
      </c>
      <c r="G111" s="9">
        <v>0.0</v>
      </c>
      <c r="H111" s="9">
        <v>1.0</v>
      </c>
      <c r="I111" s="9">
        <v>0.0</v>
      </c>
      <c r="J111" s="17">
        <v>-771.0</v>
      </c>
      <c r="K111" s="18">
        <v>-3686.16</v>
      </c>
      <c r="L111" s="17">
        <v>-1590.0</v>
      </c>
      <c r="M111" s="18">
        <v>-2952.89</v>
      </c>
      <c r="N111" s="18">
        <v>85.7164</v>
      </c>
      <c r="O111" s="18">
        <v>3600.0</v>
      </c>
    </row>
    <row r="112">
      <c r="A112" s="8" t="s">
        <v>117</v>
      </c>
      <c r="B112" s="9">
        <v>35.0</v>
      </c>
      <c r="C112" s="9" t="s">
        <v>8</v>
      </c>
      <c r="D112" s="9">
        <v>50.0</v>
      </c>
      <c r="E112" s="10">
        <v>0.6</v>
      </c>
      <c r="F112" s="9">
        <v>5.0</v>
      </c>
      <c r="G112" s="9">
        <v>0.0</v>
      </c>
      <c r="H112" s="9">
        <v>1.0</v>
      </c>
      <c r="I112" s="9">
        <v>0.0</v>
      </c>
      <c r="J112" s="17">
        <v>-729.0</v>
      </c>
      <c r="K112" s="18">
        <v>-3000.77</v>
      </c>
      <c r="L112" s="17">
        <v>-1378.0</v>
      </c>
      <c r="M112" s="18">
        <v>-2344.43</v>
      </c>
      <c r="N112" s="18">
        <v>70.1324</v>
      </c>
      <c r="O112" s="18">
        <v>3600.0</v>
      </c>
    </row>
    <row r="113">
      <c r="A113" s="8" t="s">
        <v>118</v>
      </c>
      <c r="B113" s="9">
        <v>35.0</v>
      </c>
      <c r="C113" s="9" t="s">
        <v>8</v>
      </c>
      <c r="D113" s="9">
        <v>50.0</v>
      </c>
      <c r="E113" s="10">
        <v>1.0</v>
      </c>
      <c r="F113" s="9">
        <v>1.0</v>
      </c>
      <c r="G113" s="9">
        <v>0.0</v>
      </c>
      <c r="H113" s="9">
        <v>1.0</v>
      </c>
      <c r="I113" s="9">
        <v>0.0</v>
      </c>
      <c r="J113" s="17">
        <v>-1280.0</v>
      </c>
      <c r="K113" s="18">
        <v>-2423.96</v>
      </c>
      <c r="L113" s="17">
        <v>-1532.0</v>
      </c>
      <c r="M113" s="18">
        <v>-1989.49</v>
      </c>
      <c r="N113" s="18">
        <v>29.8625</v>
      </c>
      <c r="O113" s="18">
        <v>3600.0</v>
      </c>
    </row>
    <row r="114">
      <c r="A114" s="8" t="s">
        <v>119</v>
      </c>
      <c r="B114" s="9">
        <v>35.0</v>
      </c>
      <c r="C114" s="9" t="s">
        <v>8</v>
      </c>
      <c r="D114" s="9">
        <v>50.0</v>
      </c>
      <c r="E114" s="10">
        <v>1.0</v>
      </c>
      <c r="F114" s="9">
        <v>2.0</v>
      </c>
      <c r="G114" s="9">
        <v>0.0</v>
      </c>
      <c r="H114" s="9">
        <v>1.0</v>
      </c>
      <c r="I114" s="9">
        <v>0.0</v>
      </c>
      <c r="J114" s="17">
        <v>-914.0</v>
      </c>
      <c r="K114" s="18">
        <v>-2309.53</v>
      </c>
      <c r="L114" s="17">
        <v>-1697.0</v>
      </c>
      <c r="M114" s="18">
        <v>-1915.83</v>
      </c>
      <c r="N114" s="18">
        <v>12.8953</v>
      </c>
      <c r="O114" s="18">
        <v>3600.0</v>
      </c>
    </row>
    <row r="115">
      <c r="A115" s="8" t="s">
        <v>120</v>
      </c>
      <c r="B115" s="9">
        <v>35.0</v>
      </c>
      <c r="C115" s="9" t="s">
        <v>8</v>
      </c>
      <c r="D115" s="9">
        <v>50.0</v>
      </c>
      <c r="E115" s="10">
        <v>1.0</v>
      </c>
      <c r="F115" s="9">
        <v>3.0</v>
      </c>
      <c r="G115" s="9">
        <v>0.0</v>
      </c>
      <c r="H115" s="9">
        <v>1.0</v>
      </c>
      <c r="I115" s="9">
        <v>0.0</v>
      </c>
      <c r="J115" s="17">
        <v>-978.0</v>
      </c>
      <c r="K115" s="18">
        <v>-2063.09</v>
      </c>
      <c r="L115" s="17">
        <v>-1291.0</v>
      </c>
      <c r="M115" s="18">
        <v>-1663.02</v>
      </c>
      <c r="N115" s="18">
        <v>28.8162</v>
      </c>
      <c r="O115" s="18">
        <v>3600.0</v>
      </c>
    </row>
    <row r="116">
      <c r="A116" s="8" t="s">
        <v>121</v>
      </c>
      <c r="B116" s="9">
        <v>35.0</v>
      </c>
      <c r="C116" s="9" t="s">
        <v>8</v>
      </c>
      <c r="D116" s="9">
        <v>50.0</v>
      </c>
      <c r="E116" s="10">
        <v>1.0</v>
      </c>
      <c r="F116" s="9">
        <v>4.0</v>
      </c>
      <c r="G116" s="9">
        <v>0.0</v>
      </c>
      <c r="H116" s="9">
        <v>1.0</v>
      </c>
      <c r="I116" s="9">
        <v>0.0</v>
      </c>
      <c r="J116" s="17">
        <v>-1072.0</v>
      </c>
      <c r="K116" s="18">
        <v>-2697.43</v>
      </c>
      <c r="L116" s="17">
        <v>-1560.0</v>
      </c>
      <c r="M116" s="18">
        <v>-2219.89</v>
      </c>
      <c r="N116" s="18">
        <v>42.3009</v>
      </c>
      <c r="O116" s="18">
        <v>3600.0</v>
      </c>
    </row>
    <row r="117">
      <c r="A117" s="8" t="s">
        <v>122</v>
      </c>
      <c r="B117" s="9">
        <v>35.0</v>
      </c>
      <c r="C117" s="9" t="s">
        <v>8</v>
      </c>
      <c r="D117" s="9">
        <v>50.0</v>
      </c>
      <c r="E117" s="10">
        <v>1.0</v>
      </c>
      <c r="F117" s="9">
        <v>5.0</v>
      </c>
      <c r="G117" s="9">
        <v>0.0</v>
      </c>
      <c r="H117" s="9">
        <v>1.0</v>
      </c>
      <c r="I117" s="9">
        <v>0.0</v>
      </c>
      <c r="J117" s="17">
        <v>-791.0</v>
      </c>
      <c r="K117" s="18">
        <v>-2169.96</v>
      </c>
      <c r="L117" s="17">
        <v>-1270.0</v>
      </c>
      <c r="M117" s="18">
        <v>-1840.81</v>
      </c>
      <c r="N117" s="18">
        <v>44.9453</v>
      </c>
      <c r="O117" s="18">
        <v>3600.0</v>
      </c>
    </row>
    <row r="118">
      <c r="A118" s="8" t="s">
        <v>123</v>
      </c>
      <c r="B118" s="9">
        <v>35.0</v>
      </c>
      <c r="C118" s="9" t="s">
        <v>8</v>
      </c>
      <c r="D118" s="9">
        <v>50.0</v>
      </c>
      <c r="E118" s="10">
        <v>2.0</v>
      </c>
      <c r="F118" s="9">
        <v>1.0</v>
      </c>
      <c r="G118" s="9">
        <v>0.0</v>
      </c>
      <c r="H118" s="9">
        <v>1.0</v>
      </c>
      <c r="I118" s="9">
        <v>0.0</v>
      </c>
      <c r="J118" s="17">
        <v>1002.0</v>
      </c>
      <c r="K118" s="18">
        <v>490.907</v>
      </c>
      <c r="L118" s="17">
        <v>802.0</v>
      </c>
      <c r="M118" s="18">
        <v>684.08</v>
      </c>
      <c r="N118" s="18">
        <v>14.7032</v>
      </c>
      <c r="O118" s="18">
        <v>3600.0</v>
      </c>
    </row>
    <row r="119">
      <c r="A119" s="8" t="s">
        <v>124</v>
      </c>
      <c r="B119" s="9">
        <v>35.0</v>
      </c>
      <c r="C119" s="9" t="s">
        <v>8</v>
      </c>
      <c r="D119" s="9">
        <v>50.0</v>
      </c>
      <c r="E119" s="10">
        <v>2.0</v>
      </c>
      <c r="F119" s="9">
        <v>2.0</v>
      </c>
      <c r="G119" s="9">
        <v>1.0</v>
      </c>
      <c r="H119" s="9">
        <v>0.0</v>
      </c>
      <c r="I119" s="9">
        <v>0.0</v>
      </c>
      <c r="J119" s="17">
        <v>-970.0</v>
      </c>
      <c r="K119" s="18">
        <v>-1257.44</v>
      </c>
      <c r="L119" s="17">
        <v>-1058.0</v>
      </c>
      <c r="M119" s="18">
        <v>-1058.0</v>
      </c>
      <c r="N119" s="18">
        <v>0.0</v>
      </c>
      <c r="O119" s="18">
        <v>184.528</v>
      </c>
    </row>
    <row r="120">
      <c r="A120" s="8" t="s">
        <v>125</v>
      </c>
      <c r="B120" s="9">
        <v>35.0</v>
      </c>
      <c r="C120" s="9" t="s">
        <v>8</v>
      </c>
      <c r="D120" s="9">
        <v>50.0</v>
      </c>
      <c r="E120" s="10">
        <v>2.0</v>
      </c>
      <c r="F120" s="9">
        <v>3.0</v>
      </c>
      <c r="G120" s="9">
        <v>0.0</v>
      </c>
      <c r="H120" s="9">
        <v>1.0</v>
      </c>
      <c r="I120" s="9">
        <v>0.0</v>
      </c>
      <c r="J120" s="17">
        <v>387.0</v>
      </c>
      <c r="K120" s="18">
        <v>23.1257</v>
      </c>
      <c r="L120" s="17">
        <v>283.0</v>
      </c>
      <c r="M120" s="18">
        <v>230.91</v>
      </c>
      <c r="N120" s="18">
        <v>18.4065</v>
      </c>
      <c r="O120" s="18">
        <v>3600.0</v>
      </c>
    </row>
    <row r="121">
      <c r="A121" s="8" t="s">
        <v>126</v>
      </c>
      <c r="B121" s="9">
        <v>35.0</v>
      </c>
      <c r="C121" s="9" t="s">
        <v>8</v>
      </c>
      <c r="D121" s="9">
        <v>50.0</v>
      </c>
      <c r="E121" s="10">
        <v>2.0</v>
      </c>
      <c r="F121" s="9">
        <v>4.0</v>
      </c>
      <c r="G121" s="9">
        <v>1.0</v>
      </c>
      <c r="H121" s="9">
        <v>0.0</v>
      </c>
      <c r="I121" s="9">
        <v>0.0</v>
      </c>
      <c r="J121" s="17">
        <v>-313.0</v>
      </c>
      <c r="K121" s="18">
        <v>-788.424</v>
      </c>
      <c r="L121" s="17">
        <v>-542.0</v>
      </c>
      <c r="M121" s="18">
        <v>-542.0</v>
      </c>
      <c r="N121" s="18">
        <v>0.0</v>
      </c>
      <c r="O121" s="18">
        <v>218.448</v>
      </c>
    </row>
    <row r="122">
      <c r="A122" s="8" t="s">
        <v>127</v>
      </c>
      <c r="B122" s="9">
        <v>35.0</v>
      </c>
      <c r="C122" s="9" t="s">
        <v>8</v>
      </c>
      <c r="D122" s="9">
        <v>50.0</v>
      </c>
      <c r="E122" s="10">
        <v>2.0</v>
      </c>
      <c r="F122" s="9">
        <v>5.0</v>
      </c>
      <c r="G122" s="9">
        <v>0.0</v>
      </c>
      <c r="H122" s="9">
        <v>1.0</v>
      </c>
      <c r="I122" s="9">
        <v>0.0</v>
      </c>
      <c r="J122" s="17">
        <v>967.0</v>
      </c>
      <c r="K122" s="18">
        <v>507.357</v>
      </c>
      <c r="L122" s="17">
        <v>837.0</v>
      </c>
      <c r="M122" s="18">
        <v>680.123</v>
      </c>
      <c r="N122" s="18">
        <v>18.7428</v>
      </c>
      <c r="O122" s="18">
        <v>3600.0</v>
      </c>
    </row>
    <row r="123">
      <c r="A123" s="8" t="s">
        <v>128</v>
      </c>
      <c r="B123" s="9">
        <v>35.0</v>
      </c>
      <c r="C123" s="9" t="s">
        <v>8</v>
      </c>
      <c r="D123" s="9">
        <v>75.0</v>
      </c>
      <c r="E123" s="10">
        <v>0.6</v>
      </c>
      <c r="F123" s="9">
        <v>1.0</v>
      </c>
      <c r="G123" s="9">
        <v>0.0</v>
      </c>
      <c r="H123" s="9">
        <v>1.0</v>
      </c>
      <c r="I123" s="9">
        <v>0.0</v>
      </c>
      <c r="J123" s="17">
        <v>-808.0</v>
      </c>
      <c r="K123" s="18">
        <v>-3877.03</v>
      </c>
      <c r="L123" s="17">
        <v>-1784.0</v>
      </c>
      <c r="M123" s="18">
        <v>-3064.81</v>
      </c>
      <c r="N123" s="18">
        <v>71.7943</v>
      </c>
      <c r="O123" s="18">
        <v>3600.0</v>
      </c>
    </row>
    <row r="124">
      <c r="A124" s="8" t="s">
        <v>129</v>
      </c>
      <c r="B124" s="9">
        <v>35.0</v>
      </c>
      <c r="C124" s="9" t="s">
        <v>8</v>
      </c>
      <c r="D124" s="9">
        <v>75.0</v>
      </c>
      <c r="E124" s="10">
        <v>0.6</v>
      </c>
      <c r="F124" s="9">
        <v>2.0</v>
      </c>
      <c r="G124" s="9">
        <v>0.0</v>
      </c>
      <c r="H124" s="9">
        <v>1.0</v>
      </c>
      <c r="I124" s="9">
        <v>0.0</v>
      </c>
      <c r="J124" s="17">
        <v>-628.0</v>
      </c>
      <c r="K124" s="18">
        <v>-4462.56</v>
      </c>
      <c r="L124" s="17">
        <v>-2156.0</v>
      </c>
      <c r="M124" s="18">
        <v>-3607.29</v>
      </c>
      <c r="N124" s="18">
        <v>67.3141</v>
      </c>
      <c r="O124" s="18">
        <v>3600.0</v>
      </c>
    </row>
    <row r="125">
      <c r="A125" s="8" t="s">
        <v>130</v>
      </c>
      <c r="B125" s="9">
        <v>35.0</v>
      </c>
      <c r="C125" s="9" t="s">
        <v>8</v>
      </c>
      <c r="D125" s="9">
        <v>75.0</v>
      </c>
      <c r="E125" s="10">
        <v>0.6</v>
      </c>
      <c r="F125" s="9">
        <v>3.0</v>
      </c>
      <c r="G125" s="9">
        <v>0.0</v>
      </c>
      <c r="H125" s="9">
        <v>1.0</v>
      </c>
      <c r="I125" s="9">
        <v>0.0</v>
      </c>
      <c r="J125" s="17">
        <v>-645.0</v>
      </c>
      <c r="K125" s="18">
        <v>-4088.47</v>
      </c>
      <c r="L125" s="17">
        <v>-1432.0</v>
      </c>
      <c r="M125" s="18">
        <v>-3307.13</v>
      </c>
      <c r="N125" s="18">
        <v>130.945</v>
      </c>
      <c r="O125" s="18">
        <v>3600.0</v>
      </c>
    </row>
    <row r="126">
      <c r="A126" s="8" t="s">
        <v>131</v>
      </c>
      <c r="B126" s="9">
        <v>35.0</v>
      </c>
      <c r="C126" s="9" t="s">
        <v>8</v>
      </c>
      <c r="D126" s="9">
        <v>75.0</v>
      </c>
      <c r="E126" s="10">
        <v>0.6</v>
      </c>
      <c r="F126" s="9">
        <v>4.0</v>
      </c>
      <c r="G126" s="9">
        <v>0.0</v>
      </c>
      <c r="H126" s="9">
        <v>1.0</v>
      </c>
      <c r="I126" s="9">
        <v>0.0</v>
      </c>
      <c r="J126" s="17">
        <v>-859.0</v>
      </c>
      <c r="K126" s="18">
        <v>-4253.67</v>
      </c>
      <c r="L126" s="17">
        <v>-1888.0</v>
      </c>
      <c r="M126" s="18">
        <v>-3463.89</v>
      </c>
      <c r="N126" s="18">
        <v>83.469</v>
      </c>
      <c r="O126" s="18">
        <v>3600.0</v>
      </c>
    </row>
    <row r="127">
      <c r="A127" s="8" t="s">
        <v>132</v>
      </c>
      <c r="B127" s="9">
        <v>35.0</v>
      </c>
      <c r="C127" s="9" t="s">
        <v>8</v>
      </c>
      <c r="D127" s="9">
        <v>75.0</v>
      </c>
      <c r="E127" s="10">
        <v>0.6</v>
      </c>
      <c r="F127" s="9">
        <v>5.0</v>
      </c>
      <c r="G127" s="9">
        <v>0.0</v>
      </c>
      <c r="H127" s="9">
        <v>1.0</v>
      </c>
      <c r="I127" s="9">
        <v>0.0</v>
      </c>
      <c r="J127" s="17">
        <v>-833.0</v>
      </c>
      <c r="K127" s="18">
        <v>-4530.17</v>
      </c>
      <c r="L127" s="17">
        <v>-1862.0</v>
      </c>
      <c r="M127" s="18">
        <v>-3591.57</v>
      </c>
      <c r="N127" s="18">
        <v>92.8877</v>
      </c>
      <c r="O127" s="18">
        <v>3600.0</v>
      </c>
    </row>
    <row r="128">
      <c r="A128" s="8" t="s">
        <v>133</v>
      </c>
      <c r="B128" s="9">
        <v>35.0</v>
      </c>
      <c r="C128" s="9" t="s">
        <v>8</v>
      </c>
      <c r="D128" s="9">
        <v>75.0</v>
      </c>
      <c r="E128" s="10">
        <v>1.0</v>
      </c>
      <c r="F128" s="9">
        <v>1.0</v>
      </c>
      <c r="G128" s="9">
        <v>0.0</v>
      </c>
      <c r="H128" s="9">
        <v>1.0</v>
      </c>
      <c r="I128" s="9">
        <v>0.0</v>
      </c>
      <c r="J128" s="17">
        <v>-964.0</v>
      </c>
      <c r="K128" s="18">
        <v>-2779.29</v>
      </c>
      <c r="L128" s="17">
        <v>-1612.0</v>
      </c>
      <c r="M128" s="18">
        <v>-2285.12</v>
      </c>
      <c r="N128" s="18">
        <v>41.7567</v>
      </c>
      <c r="O128" s="18">
        <v>3600.0</v>
      </c>
    </row>
    <row r="129">
      <c r="A129" s="8" t="s">
        <v>134</v>
      </c>
      <c r="B129" s="9">
        <v>35.0</v>
      </c>
      <c r="C129" s="9" t="s">
        <v>8</v>
      </c>
      <c r="D129" s="9">
        <v>75.0</v>
      </c>
      <c r="E129" s="10">
        <v>1.0</v>
      </c>
      <c r="F129" s="9">
        <v>2.0</v>
      </c>
      <c r="G129" s="9">
        <v>0.0</v>
      </c>
      <c r="H129" s="9">
        <v>1.0</v>
      </c>
      <c r="I129" s="9">
        <v>0.0</v>
      </c>
      <c r="J129" s="17">
        <v>-1147.0</v>
      </c>
      <c r="K129" s="18">
        <v>-2942.71</v>
      </c>
      <c r="L129" s="17">
        <v>-1846.0</v>
      </c>
      <c r="M129" s="18">
        <v>-2512.21</v>
      </c>
      <c r="N129" s="18">
        <v>36.0896</v>
      </c>
      <c r="O129" s="18">
        <v>3600.0</v>
      </c>
    </row>
    <row r="130">
      <c r="A130" s="8" t="s">
        <v>135</v>
      </c>
      <c r="B130" s="9">
        <v>35.0</v>
      </c>
      <c r="C130" s="9" t="s">
        <v>8</v>
      </c>
      <c r="D130" s="9">
        <v>75.0</v>
      </c>
      <c r="E130" s="10">
        <v>1.0</v>
      </c>
      <c r="F130" s="9">
        <v>3.0</v>
      </c>
      <c r="G130" s="9">
        <v>0.0</v>
      </c>
      <c r="H130" s="9">
        <v>1.0</v>
      </c>
      <c r="I130" s="9">
        <v>0.0</v>
      </c>
      <c r="J130" s="17">
        <v>-1337.0</v>
      </c>
      <c r="K130" s="18">
        <v>-2651.53</v>
      </c>
      <c r="L130" s="17">
        <v>-1392.0</v>
      </c>
      <c r="M130" s="18">
        <v>-2239.37</v>
      </c>
      <c r="N130" s="18">
        <v>60.8742</v>
      </c>
      <c r="O130" s="18">
        <v>3600.0</v>
      </c>
    </row>
    <row r="131">
      <c r="A131" s="8" t="s">
        <v>136</v>
      </c>
      <c r="B131" s="9">
        <v>35.0</v>
      </c>
      <c r="C131" s="9" t="s">
        <v>8</v>
      </c>
      <c r="D131" s="9">
        <v>75.0</v>
      </c>
      <c r="E131" s="10">
        <v>1.0</v>
      </c>
      <c r="F131" s="9">
        <v>4.0</v>
      </c>
      <c r="G131" s="9">
        <v>0.0</v>
      </c>
      <c r="H131" s="9">
        <v>1.0</v>
      </c>
      <c r="I131" s="9">
        <v>0.0</v>
      </c>
      <c r="J131" s="17">
        <v>-1308.0</v>
      </c>
      <c r="K131" s="18">
        <v>-3007.56</v>
      </c>
      <c r="L131" s="17">
        <v>-1885.0</v>
      </c>
      <c r="M131" s="18">
        <v>-2590.31</v>
      </c>
      <c r="N131" s="18">
        <v>37.417</v>
      </c>
      <c r="O131" s="18">
        <v>3600.0</v>
      </c>
    </row>
    <row r="132">
      <c r="A132" s="8" t="s">
        <v>137</v>
      </c>
      <c r="B132" s="9">
        <v>35.0</v>
      </c>
      <c r="C132" s="9" t="s">
        <v>8</v>
      </c>
      <c r="D132" s="9">
        <v>75.0</v>
      </c>
      <c r="E132" s="10">
        <v>1.0</v>
      </c>
      <c r="F132" s="9">
        <v>5.0</v>
      </c>
      <c r="G132" s="9">
        <v>0.0</v>
      </c>
      <c r="H132" s="9">
        <v>1.0</v>
      </c>
      <c r="I132" s="9">
        <v>0.0</v>
      </c>
      <c r="J132" s="17">
        <v>-1177.0</v>
      </c>
      <c r="K132" s="18">
        <v>-2988.6</v>
      </c>
      <c r="L132" s="17">
        <v>-1632.0</v>
      </c>
      <c r="M132" s="18">
        <v>-2585.88</v>
      </c>
      <c r="N132" s="18">
        <v>58.4485</v>
      </c>
      <c r="O132" s="18">
        <v>3600.0</v>
      </c>
    </row>
    <row r="133">
      <c r="A133" s="8" t="s">
        <v>138</v>
      </c>
      <c r="B133" s="9">
        <v>35.0</v>
      </c>
      <c r="C133" s="9" t="s">
        <v>8</v>
      </c>
      <c r="D133" s="9">
        <v>75.0</v>
      </c>
      <c r="E133" s="10">
        <v>2.0</v>
      </c>
      <c r="F133" s="9">
        <v>1.0</v>
      </c>
      <c r="G133" s="9">
        <v>0.0</v>
      </c>
      <c r="H133" s="9">
        <v>1.0</v>
      </c>
      <c r="I133" s="9">
        <v>0.0</v>
      </c>
      <c r="J133" s="17">
        <v>623.0</v>
      </c>
      <c r="K133" s="18">
        <v>82.1465</v>
      </c>
      <c r="L133" s="17">
        <v>441.0</v>
      </c>
      <c r="M133" s="18">
        <v>410.021</v>
      </c>
      <c r="N133" s="18">
        <v>7.02467</v>
      </c>
      <c r="O133" s="18">
        <v>3600.0</v>
      </c>
    </row>
    <row r="134">
      <c r="A134" s="8" t="s">
        <v>139</v>
      </c>
      <c r="B134" s="9">
        <v>35.0</v>
      </c>
      <c r="C134" s="9" t="s">
        <v>8</v>
      </c>
      <c r="D134" s="9">
        <v>75.0</v>
      </c>
      <c r="E134" s="10">
        <v>2.0</v>
      </c>
      <c r="F134" s="9">
        <v>2.0</v>
      </c>
      <c r="G134" s="9">
        <v>0.0</v>
      </c>
      <c r="H134" s="9">
        <v>1.0</v>
      </c>
      <c r="I134" s="9">
        <v>0.0</v>
      </c>
      <c r="J134" s="17">
        <v>133.0</v>
      </c>
      <c r="K134" s="18">
        <v>-151.015</v>
      </c>
      <c r="L134" s="17">
        <v>120.0</v>
      </c>
      <c r="M134" s="18">
        <v>63.7828</v>
      </c>
      <c r="N134" s="18">
        <v>46.8477</v>
      </c>
      <c r="O134" s="18">
        <v>3600.0</v>
      </c>
    </row>
    <row r="135">
      <c r="A135" s="8" t="s">
        <v>140</v>
      </c>
      <c r="B135" s="9">
        <v>35.0</v>
      </c>
      <c r="C135" s="9" t="s">
        <v>8</v>
      </c>
      <c r="D135" s="9">
        <v>75.0</v>
      </c>
      <c r="E135" s="10">
        <v>2.0</v>
      </c>
      <c r="F135" s="9">
        <v>3.0</v>
      </c>
      <c r="G135" s="9">
        <v>0.0</v>
      </c>
      <c r="H135" s="9">
        <v>1.0</v>
      </c>
      <c r="I135" s="9">
        <v>0.0</v>
      </c>
      <c r="J135" s="17">
        <v>1094.0</v>
      </c>
      <c r="K135" s="18">
        <v>734.572</v>
      </c>
      <c r="L135" s="17">
        <v>1069.0</v>
      </c>
      <c r="M135" s="18">
        <v>918.226</v>
      </c>
      <c r="N135" s="18">
        <v>14.1042</v>
      </c>
      <c r="O135" s="18">
        <v>3600.0</v>
      </c>
    </row>
    <row r="136">
      <c r="A136" s="8" t="s">
        <v>141</v>
      </c>
      <c r="B136" s="9">
        <v>35.0</v>
      </c>
      <c r="C136" s="9" t="s">
        <v>8</v>
      </c>
      <c r="D136" s="9">
        <v>75.0</v>
      </c>
      <c r="E136" s="10">
        <v>2.0</v>
      </c>
      <c r="F136" s="9">
        <v>4.0</v>
      </c>
      <c r="G136" s="9">
        <v>1.0</v>
      </c>
      <c r="H136" s="9">
        <v>0.0</v>
      </c>
      <c r="I136" s="9">
        <v>0.0</v>
      </c>
      <c r="J136" s="17">
        <v>-1057.0</v>
      </c>
      <c r="K136" s="18">
        <v>-1400.51</v>
      </c>
      <c r="L136" s="17">
        <v>-1207.0</v>
      </c>
      <c r="M136" s="18">
        <v>-1207.0</v>
      </c>
      <c r="N136" s="18">
        <v>0.0</v>
      </c>
      <c r="O136" s="18">
        <v>272.216</v>
      </c>
    </row>
    <row r="137">
      <c r="A137" s="8" t="s">
        <v>142</v>
      </c>
      <c r="B137" s="9">
        <v>35.0</v>
      </c>
      <c r="C137" s="9" t="s">
        <v>8</v>
      </c>
      <c r="D137" s="9">
        <v>75.0</v>
      </c>
      <c r="E137" s="10">
        <v>2.0</v>
      </c>
      <c r="F137" s="9">
        <v>5.0</v>
      </c>
      <c r="G137" s="9">
        <v>1.0</v>
      </c>
      <c r="H137" s="9">
        <v>0.0</v>
      </c>
      <c r="I137" s="9">
        <v>0.0</v>
      </c>
      <c r="J137" s="17">
        <v>-96.0</v>
      </c>
      <c r="K137" s="18">
        <v>-461.281</v>
      </c>
      <c r="L137" s="17">
        <v>-204.0</v>
      </c>
      <c r="M137" s="18">
        <v>-204.0</v>
      </c>
      <c r="N137" s="18">
        <v>0.0</v>
      </c>
      <c r="O137" s="18">
        <v>1342.65</v>
      </c>
    </row>
    <row r="138">
      <c r="A138" s="8" t="s">
        <v>233</v>
      </c>
      <c r="B138" s="9">
        <v>25.0</v>
      </c>
      <c r="C138" s="14" t="s">
        <v>234</v>
      </c>
      <c r="D138" s="9">
        <v>25.0</v>
      </c>
      <c r="E138" s="10">
        <v>0.6</v>
      </c>
      <c r="F138" s="9">
        <v>1.0</v>
      </c>
      <c r="G138" s="9">
        <v>1.0</v>
      </c>
      <c r="H138" s="9">
        <v>0.0</v>
      </c>
      <c r="I138" s="9">
        <v>0.0</v>
      </c>
      <c r="J138" s="17">
        <v>325.0</v>
      </c>
      <c r="K138" s="18">
        <v>197.424</v>
      </c>
      <c r="L138" s="17">
        <v>261.0</v>
      </c>
      <c r="M138" s="18">
        <v>261.0</v>
      </c>
      <c r="N138" s="18">
        <v>0.0</v>
      </c>
      <c r="O138" s="18">
        <v>13.72</v>
      </c>
    </row>
    <row r="139">
      <c r="A139" s="8" t="s">
        <v>235</v>
      </c>
      <c r="B139" s="9">
        <v>25.0</v>
      </c>
      <c r="C139" s="14" t="s">
        <v>234</v>
      </c>
      <c r="D139" s="9">
        <v>25.0</v>
      </c>
      <c r="E139" s="10">
        <v>0.6</v>
      </c>
      <c r="F139" s="9">
        <v>2.0</v>
      </c>
      <c r="G139" s="9">
        <v>1.0</v>
      </c>
      <c r="H139" s="9">
        <v>0.0</v>
      </c>
      <c r="I139" s="9">
        <v>0.0</v>
      </c>
      <c r="J139" s="17">
        <v>295.0</v>
      </c>
      <c r="K139" s="18">
        <v>177.0</v>
      </c>
      <c r="L139" s="17">
        <v>236.0</v>
      </c>
      <c r="M139" s="18">
        <v>236.0</v>
      </c>
      <c r="N139" s="18">
        <v>0.0</v>
      </c>
      <c r="O139" s="18">
        <v>26.681</v>
      </c>
    </row>
    <row r="140">
      <c r="A140" s="8" t="s">
        <v>236</v>
      </c>
      <c r="B140" s="9">
        <v>25.0</v>
      </c>
      <c r="C140" s="14" t="s">
        <v>234</v>
      </c>
      <c r="D140" s="9">
        <v>25.0</v>
      </c>
      <c r="E140" s="10">
        <v>0.6</v>
      </c>
      <c r="F140" s="9">
        <v>3.0</v>
      </c>
      <c r="G140" s="9">
        <v>1.0</v>
      </c>
      <c r="H140" s="9">
        <v>0.0</v>
      </c>
      <c r="I140" s="9">
        <v>0.0</v>
      </c>
      <c r="J140" s="17">
        <v>334.0</v>
      </c>
      <c r="K140" s="18">
        <v>210.687</v>
      </c>
      <c r="L140" s="17">
        <v>281.0</v>
      </c>
      <c r="M140" s="18">
        <v>281.0</v>
      </c>
      <c r="N140" s="18">
        <v>0.0</v>
      </c>
      <c r="O140" s="18">
        <v>24.374</v>
      </c>
    </row>
    <row r="141">
      <c r="A141" s="8" t="s">
        <v>237</v>
      </c>
      <c r="B141" s="9">
        <v>25.0</v>
      </c>
      <c r="C141" s="14" t="s">
        <v>234</v>
      </c>
      <c r="D141" s="9">
        <v>25.0</v>
      </c>
      <c r="E141" s="10">
        <v>0.6</v>
      </c>
      <c r="F141" s="9">
        <v>4.0</v>
      </c>
      <c r="G141" s="9">
        <v>1.0</v>
      </c>
      <c r="H141" s="9">
        <v>0.0</v>
      </c>
      <c r="I141" s="9">
        <v>0.0</v>
      </c>
      <c r="J141" s="17">
        <v>274.0</v>
      </c>
      <c r="K141" s="18">
        <v>176.881</v>
      </c>
      <c r="L141" s="17">
        <v>236.0</v>
      </c>
      <c r="M141" s="18">
        <v>236.0</v>
      </c>
      <c r="N141" s="18">
        <v>0.0</v>
      </c>
      <c r="O141" s="18">
        <v>24.531</v>
      </c>
    </row>
    <row r="142">
      <c r="A142" s="8" t="s">
        <v>238</v>
      </c>
      <c r="B142" s="9">
        <v>25.0</v>
      </c>
      <c r="C142" s="14" t="s">
        <v>234</v>
      </c>
      <c r="D142" s="9">
        <v>25.0</v>
      </c>
      <c r="E142" s="10">
        <v>0.6</v>
      </c>
      <c r="F142" s="9">
        <v>5.0</v>
      </c>
      <c r="G142" s="9">
        <v>1.0</v>
      </c>
      <c r="H142" s="9">
        <v>0.0</v>
      </c>
      <c r="I142" s="9">
        <v>0.0</v>
      </c>
      <c r="J142" s="17">
        <v>298.0</v>
      </c>
      <c r="K142" s="18">
        <v>210.049</v>
      </c>
      <c r="L142" s="17">
        <v>268.0</v>
      </c>
      <c r="M142" s="18">
        <v>268.0</v>
      </c>
      <c r="N142" s="18">
        <v>0.0</v>
      </c>
      <c r="O142" s="18">
        <v>11.4</v>
      </c>
    </row>
    <row r="143">
      <c r="A143" s="8" t="s">
        <v>239</v>
      </c>
      <c r="B143" s="9">
        <v>25.0</v>
      </c>
      <c r="C143" s="14" t="s">
        <v>234</v>
      </c>
      <c r="D143" s="9">
        <v>25.0</v>
      </c>
      <c r="E143" s="10">
        <v>1.0</v>
      </c>
      <c r="F143" s="9">
        <v>1.0</v>
      </c>
      <c r="G143" s="9">
        <v>1.0</v>
      </c>
      <c r="H143" s="9">
        <v>0.0</v>
      </c>
      <c r="I143" s="9">
        <v>0.0</v>
      </c>
      <c r="J143" s="17">
        <v>1752.0</v>
      </c>
      <c r="K143" s="18">
        <v>1385.44</v>
      </c>
      <c r="L143" s="17">
        <v>1390.0</v>
      </c>
      <c r="M143" s="18">
        <v>1390.0</v>
      </c>
      <c r="N143" s="18">
        <v>0.0</v>
      </c>
      <c r="O143" s="18">
        <v>369.165</v>
      </c>
    </row>
    <row r="144">
      <c r="A144" s="8" t="s">
        <v>240</v>
      </c>
      <c r="B144" s="9">
        <v>25.0</v>
      </c>
      <c r="C144" s="14" t="s">
        <v>234</v>
      </c>
      <c r="D144" s="9">
        <v>25.0</v>
      </c>
      <c r="E144" s="10">
        <v>1.0</v>
      </c>
      <c r="F144" s="9">
        <v>2.0</v>
      </c>
      <c r="G144" s="9">
        <v>0.0</v>
      </c>
      <c r="H144" s="9">
        <v>1.0</v>
      </c>
      <c r="I144" s="9">
        <v>0.0</v>
      </c>
      <c r="J144" s="17">
        <v>1518.0</v>
      </c>
      <c r="K144" s="18">
        <v>1265.0</v>
      </c>
      <c r="L144" s="17">
        <v>1363.0</v>
      </c>
      <c r="M144" s="18">
        <v>1265.0</v>
      </c>
      <c r="N144" s="18">
        <v>7.19002</v>
      </c>
      <c r="O144" s="18">
        <v>3600.0</v>
      </c>
    </row>
    <row r="145">
      <c r="A145" s="8" t="s">
        <v>241</v>
      </c>
      <c r="B145" s="9">
        <v>25.0</v>
      </c>
      <c r="C145" s="14" t="s">
        <v>234</v>
      </c>
      <c r="D145" s="9">
        <v>25.0</v>
      </c>
      <c r="E145" s="10">
        <v>1.0</v>
      </c>
      <c r="F145" s="9">
        <v>3.0</v>
      </c>
      <c r="G145" s="9">
        <v>1.0</v>
      </c>
      <c r="H145" s="9">
        <v>0.0</v>
      </c>
      <c r="I145" s="9">
        <v>0.0</v>
      </c>
      <c r="J145" s="17">
        <v>1788.0</v>
      </c>
      <c r="K145" s="18">
        <v>1482.29</v>
      </c>
      <c r="L145" s="17">
        <v>1510.0</v>
      </c>
      <c r="M145" s="18">
        <v>1510.0</v>
      </c>
      <c r="N145" s="18">
        <v>0.0</v>
      </c>
      <c r="O145" s="18">
        <v>769.352</v>
      </c>
    </row>
    <row r="146">
      <c r="A146" s="8" t="s">
        <v>242</v>
      </c>
      <c r="B146" s="9">
        <v>25.0</v>
      </c>
      <c r="C146" s="14" t="s">
        <v>234</v>
      </c>
      <c r="D146" s="9">
        <v>25.0</v>
      </c>
      <c r="E146" s="10">
        <v>1.0</v>
      </c>
      <c r="F146" s="9">
        <v>4.0</v>
      </c>
      <c r="G146" s="9">
        <v>1.0</v>
      </c>
      <c r="H146" s="9">
        <v>0.0</v>
      </c>
      <c r="I146" s="9">
        <v>0.0</v>
      </c>
      <c r="J146" s="17">
        <v>1518.0</v>
      </c>
      <c r="K146" s="18">
        <v>1257.16</v>
      </c>
      <c r="L146" s="17">
        <v>1265.0</v>
      </c>
      <c r="M146" s="18">
        <v>1265.0</v>
      </c>
      <c r="N146" s="18">
        <v>0.0</v>
      </c>
      <c r="O146" s="18">
        <v>277.438</v>
      </c>
    </row>
    <row r="147">
      <c r="A147" s="8" t="s">
        <v>243</v>
      </c>
      <c r="B147" s="9">
        <v>25.0</v>
      </c>
      <c r="C147" s="14" t="s">
        <v>234</v>
      </c>
      <c r="D147" s="9">
        <v>25.0</v>
      </c>
      <c r="E147" s="10">
        <v>1.0</v>
      </c>
      <c r="F147" s="9">
        <v>5.0</v>
      </c>
      <c r="G147" s="9">
        <v>1.0</v>
      </c>
      <c r="H147" s="9">
        <v>0.0</v>
      </c>
      <c r="I147" s="9">
        <v>0.0</v>
      </c>
      <c r="J147" s="17">
        <v>1716.0</v>
      </c>
      <c r="K147" s="18">
        <v>1421.06</v>
      </c>
      <c r="L147" s="17">
        <v>1430.0</v>
      </c>
      <c r="M147" s="18">
        <v>1430.0</v>
      </c>
      <c r="N147" s="18">
        <v>0.0</v>
      </c>
      <c r="O147" s="18">
        <v>596.839</v>
      </c>
    </row>
    <row r="148">
      <c r="A148" s="8" t="s">
        <v>244</v>
      </c>
      <c r="B148" s="9">
        <v>25.0</v>
      </c>
      <c r="C148" s="14" t="s">
        <v>234</v>
      </c>
      <c r="D148" s="9">
        <v>25.0</v>
      </c>
      <c r="E148" s="10">
        <v>2.0</v>
      </c>
      <c r="F148" s="9">
        <v>1.0</v>
      </c>
      <c r="G148" s="9">
        <v>1.0</v>
      </c>
      <c r="H148" s="9">
        <v>0.0</v>
      </c>
      <c r="I148" s="9">
        <v>0.0</v>
      </c>
      <c r="J148" s="17">
        <v>20955.0</v>
      </c>
      <c r="K148" s="18">
        <v>19237.1</v>
      </c>
      <c r="L148" s="17">
        <v>20955.0</v>
      </c>
      <c r="M148" s="18">
        <v>20955.0</v>
      </c>
      <c r="N148" s="18">
        <v>0.0</v>
      </c>
      <c r="O148" s="18">
        <v>27.264</v>
      </c>
    </row>
    <row r="149">
      <c r="A149" s="8" t="s">
        <v>245</v>
      </c>
      <c r="B149" s="9">
        <v>25.0</v>
      </c>
      <c r="C149" s="14" t="s">
        <v>234</v>
      </c>
      <c r="D149" s="9">
        <v>25.0</v>
      </c>
      <c r="E149" s="10">
        <v>2.0</v>
      </c>
      <c r="F149" s="9">
        <v>2.0</v>
      </c>
      <c r="G149" s="9">
        <v>1.0</v>
      </c>
      <c r="H149" s="9">
        <v>0.0</v>
      </c>
      <c r="I149" s="9">
        <v>0.0</v>
      </c>
      <c r="J149" s="17">
        <v>22555.0</v>
      </c>
      <c r="K149" s="18">
        <v>22555.0</v>
      </c>
      <c r="L149" s="17">
        <v>22555.0</v>
      </c>
      <c r="M149" s="18">
        <v>22555.0</v>
      </c>
      <c r="N149" s="18">
        <v>0.0</v>
      </c>
      <c r="O149" s="18">
        <v>0.152</v>
      </c>
    </row>
    <row r="150">
      <c r="A150" s="8" t="s">
        <v>246</v>
      </c>
      <c r="B150" s="9">
        <v>25.0</v>
      </c>
      <c r="C150" s="14" t="s">
        <v>234</v>
      </c>
      <c r="D150" s="9">
        <v>25.0</v>
      </c>
      <c r="E150" s="10">
        <v>2.0</v>
      </c>
      <c r="F150" s="9">
        <v>3.0</v>
      </c>
      <c r="G150" s="9">
        <v>1.0</v>
      </c>
      <c r="H150" s="9">
        <v>0.0</v>
      </c>
      <c r="I150" s="9">
        <v>0.0</v>
      </c>
      <c r="J150" s="17">
        <v>22440.0</v>
      </c>
      <c r="K150" s="18">
        <v>20533.1</v>
      </c>
      <c r="L150" s="17">
        <v>22440.0</v>
      </c>
      <c r="M150" s="18">
        <v>22440.0</v>
      </c>
      <c r="N150" s="18">
        <v>0.0</v>
      </c>
      <c r="O150" s="18">
        <v>634.608</v>
      </c>
    </row>
    <row r="151">
      <c r="A151" s="8" t="s">
        <v>247</v>
      </c>
      <c r="B151" s="9">
        <v>25.0</v>
      </c>
      <c r="C151" s="14" t="s">
        <v>234</v>
      </c>
      <c r="D151" s="9">
        <v>25.0</v>
      </c>
      <c r="E151" s="10">
        <v>2.0</v>
      </c>
      <c r="F151" s="9">
        <v>4.0</v>
      </c>
      <c r="G151" s="9">
        <v>1.0</v>
      </c>
      <c r="H151" s="9">
        <v>0.0</v>
      </c>
      <c r="I151" s="9">
        <v>0.0</v>
      </c>
      <c r="J151" s="17">
        <v>17350.0</v>
      </c>
      <c r="K151" s="18">
        <v>17183.0</v>
      </c>
      <c r="L151" s="17">
        <v>17350.0</v>
      </c>
      <c r="M151" s="18">
        <v>17350.0</v>
      </c>
      <c r="N151" s="18">
        <v>0.0</v>
      </c>
      <c r="O151" s="18">
        <v>7.069</v>
      </c>
    </row>
    <row r="152">
      <c r="A152" s="8" t="s">
        <v>248</v>
      </c>
      <c r="B152" s="9">
        <v>25.0</v>
      </c>
      <c r="C152" s="14" t="s">
        <v>234</v>
      </c>
      <c r="D152" s="9">
        <v>25.0</v>
      </c>
      <c r="E152" s="10">
        <v>2.0</v>
      </c>
      <c r="F152" s="9">
        <v>5.0</v>
      </c>
      <c r="G152" s="9">
        <v>1.0</v>
      </c>
      <c r="H152" s="9">
        <v>0.0</v>
      </c>
      <c r="I152" s="9">
        <v>0.0</v>
      </c>
      <c r="J152" s="17">
        <v>19638.0</v>
      </c>
      <c r="K152" s="18">
        <v>19623.9</v>
      </c>
      <c r="L152" s="17">
        <v>19638.0</v>
      </c>
      <c r="M152" s="18">
        <v>19638.0</v>
      </c>
      <c r="N152" s="18">
        <v>0.0</v>
      </c>
      <c r="O152" s="18">
        <v>0.288</v>
      </c>
    </row>
    <row r="153">
      <c r="A153" s="8" t="s">
        <v>249</v>
      </c>
      <c r="B153" s="9">
        <v>25.0</v>
      </c>
      <c r="C153" s="14" t="s">
        <v>234</v>
      </c>
      <c r="D153" s="9">
        <v>50.0</v>
      </c>
      <c r="E153" s="10">
        <v>0.6</v>
      </c>
      <c r="F153" s="9">
        <v>1.0</v>
      </c>
      <c r="G153" s="9">
        <v>1.0</v>
      </c>
      <c r="H153" s="9">
        <v>0.0</v>
      </c>
      <c r="I153" s="9">
        <v>0.0</v>
      </c>
      <c r="J153" s="17">
        <v>777.0</v>
      </c>
      <c r="K153" s="18">
        <v>461.657</v>
      </c>
      <c r="L153" s="17">
        <v>627.0</v>
      </c>
      <c r="M153" s="18">
        <v>627.0</v>
      </c>
      <c r="N153" s="18">
        <v>0.0</v>
      </c>
      <c r="O153" s="18">
        <v>42.734</v>
      </c>
    </row>
    <row r="154">
      <c r="A154" s="8" t="s">
        <v>250</v>
      </c>
      <c r="B154" s="9">
        <v>25.0</v>
      </c>
      <c r="C154" s="14" t="s">
        <v>234</v>
      </c>
      <c r="D154" s="9">
        <v>50.0</v>
      </c>
      <c r="E154" s="10">
        <v>0.6</v>
      </c>
      <c r="F154" s="9">
        <v>2.0</v>
      </c>
      <c r="G154" s="9">
        <v>1.0</v>
      </c>
      <c r="H154" s="9">
        <v>0.0</v>
      </c>
      <c r="I154" s="9">
        <v>0.0</v>
      </c>
      <c r="J154" s="17">
        <v>889.0</v>
      </c>
      <c r="K154" s="18">
        <v>561.436</v>
      </c>
      <c r="L154" s="17">
        <v>769.0</v>
      </c>
      <c r="M154" s="18">
        <v>769.0</v>
      </c>
      <c r="N154" s="18">
        <v>0.0</v>
      </c>
      <c r="O154" s="18">
        <v>52.806</v>
      </c>
    </row>
    <row r="155">
      <c r="A155" s="8" t="s">
        <v>251</v>
      </c>
      <c r="B155" s="9">
        <v>25.0</v>
      </c>
      <c r="C155" s="14" t="s">
        <v>234</v>
      </c>
      <c r="D155" s="9">
        <v>50.0</v>
      </c>
      <c r="E155" s="10">
        <v>0.6</v>
      </c>
      <c r="F155" s="9">
        <v>3.0</v>
      </c>
      <c r="G155" s="9">
        <v>1.0</v>
      </c>
      <c r="H155" s="9">
        <v>0.0</v>
      </c>
      <c r="I155" s="9">
        <v>0.0</v>
      </c>
      <c r="J155" s="17">
        <v>712.0</v>
      </c>
      <c r="K155" s="18">
        <v>423.268</v>
      </c>
      <c r="L155" s="17">
        <v>605.0</v>
      </c>
      <c r="M155" s="18">
        <v>605.0</v>
      </c>
      <c r="N155" s="18">
        <v>0.0</v>
      </c>
      <c r="O155" s="18">
        <v>31.965</v>
      </c>
    </row>
    <row r="156">
      <c r="A156" s="8" t="s">
        <v>252</v>
      </c>
      <c r="B156" s="9">
        <v>25.0</v>
      </c>
      <c r="C156" s="14" t="s">
        <v>234</v>
      </c>
      <c r="D156" s="9">
        <v>50.0</v>
      </c>
      <c r="E156" s="10">
        <v>0.6</v>
      </c>
      <c r="F156" s="9">
        <v>4.0</v>
      </c>
      <c r="G156" s="9">
        <v>1.0</v>
      </c>
      <c r="H156" s="9">
        <v>0.0</v>
      </c>
      <c r="I156" s="9">
        <v>0.0</v>
      </c>
      <c r="J156" s="17">
        <v>648.0</v>
      </c>
      <c r="K156" s="18">
        <v>397.949</v>
      </c>
      <c r="L156" s="17">
        <v>552.0</v>
      </c>
      <c r="M156" s="18">
        <v>552.0</v>
      </c>
      <c r="N156" s="18">
        <v>0.0</v>
      </c>
      <c r="O156" s="18">
        <v>32.961</v>
      </c>
    </row>
    <row r="157">
      <c r="A157" s="8" t="s">
        <v>253</v>
      </c>
      <c r="B157" s="9">
        <v>25.0</v>
      </c>
      <c r="C157" s="14" t="s">
        <v>234</v>
      </c>
      <c r="D157" s="9">
        <v>50.0</v>
      </c>
      <c r="E157" s="10">
        <v>0.6</v>
      </c>
      <c r="F157" s="9">
        <v>5.0</v>
      </c>
      <c r="G157" s="9">
        <v>1.0</v>
      </c>
      <c r="H157" s="9">
        <v>0.0</v>
      </c>
      <c r="I157" s="9">
        <v>0.0</v>
      </c>
      <c r="J157" s="17">
        <v>728.0</v>
      </c>
      <c r="K157" s="18">
        <v>420.113</v>
      </c>
      <c r="L157" s="17">
        <v>553.0</v>
      </c>
      <c r="M157" s="18">
        <v>553.0</v>
      </c>
      <c r="N157" s="18">
        <v>0.0</v>
      </c>
      <c r="O157" s="18">
        <v>21.571</v>
      </c>
    </row>
    <row r="158">
      <c r="A158" s="8" t="s">
        <v>254</v>
      </c>
      <c r="B158" s="9">
        <v>25.0</v>
      </c>
      <c r="C158" s="14" t="s">
        <v>234</v>
      </c>
      <c r="D158" s="9">
        <v>50.0</v>
      </c>
      <c r="E158" s="10">
        <v>1.0</v>
      </c>
      <c r="F158" s="9">
        <v>1.0</v>
      </c>
      <c r="G158" s="9">
        <v>0.0</v>
      </c>
      <c r="H158" s="9">
        <v>1.0</v>
      </c>
      <c r="I158" s="9">
        <v>0.0</v>
      </c>
      <c r="J158" s="17">
        <v>2944.0</v>
      </c>
      <c r="K158" s="18">
        <v>2396.76</v>
      </c>
      <c r="L158" s="17">
        <v>2789.0</v>
      </c>
      <c r="M158" s="18">
        <v>2601.14</v>
      </c>
      <c r="N158" s="18">
        <v>6.73571</v>
      </c>
      <c r="O158" s="18">
        <v>3600.0</v>
      </c>
    </row>
    <row r="159">
      <c r="A159" s="8" t="s">
        <v>255</v>
      </c>
      <c r="B159" s="9">
        <v>25.0</v>
      </c>
      <c r="C159" s="14" t="s">
        <v>234</v>
      </c>
      <c r="D159" s="9">
        <v>50.0</v>
      </c>
      <c r="E159" s="10">
        <v>1.0</v>
      </c>
      <c r="F159" s="9">
        <v>2.0</v>
      </c>
      <c r="G159" s="9">
        <v>1.0</v>
      </c>
      <c r="H159" s="9">
        <v>0.0</v>
      </c>
      <c r="I159" s="9">
        <v>0.0</v>
      </c>
      <c r="J159" s="17">
        <v>3371.0</v>
      </c>
      <c r="K159" s="18">
        <v>2785.18</v>
      </c>
      <c r="L159" s="17">
        <v>3074.0</v>
      </c>
      <c r="M159" s="18">
        <v>3074.0</v>
      </c>
      <c r="N159" s="18">
        <v>0.0</v>
      </c>
      <c r="O159" s="18">
        <v>1794.24</v>
      </c>
    </row>
    <row r="160">
      <c r="A160" s="8" t="s">
        <v>256</v>
      </c>
      <c r="B160" s="9">
        <v>25.0</v>
      </c>
      <c r="C160" s="14" t="s">
        <v>234</v>
      </c>
      <c r="D160" s="9">
        <v>50.0</v>
      </c>
      <c r="E160" s="10">
        <v>1.0</v>
      </c>
      <c r="F160" s="9">
        <v>3.0</v>
      </c>
      <c r="G160" s="9">
        <v>1.0</v>
      </c>
      <c r="H160" s="9">
        <v>0.0</v>
      </c>
      <c r="I160" s="9">
        <v>0.0</v>
      </c>
      <c r="J160" s="17">
        <v>2857.0</v>
      </c>
      <c r="K160" s="18">
        <v>2314.63</v>
      </c>
      <c r="L160" s="17">
        <v>2505.0</v>
      </c>
      <c r="M160" s="18">
        <v>2505.0</v>
      </c>
      <c r="N160" s="18">
        <v>0.0</v>
      </c>
      <c r="O160" s="18">
        <v>415.352</v>
      </c>
    </row>
    <row r="161">
      <c r="A161" s="8" t="s">
        <v>257</v>
      </c>
      <c r="B161" s="9">
        <v>25.0</v>
      </c>
      <c r="C161" s="14" t="s">
        <v>234</v>
      </c>
      <c r="D161" s="9">
        <v>50.0</v>
      </c>
      <c r="E161" s="10">
        <v>1.0</v>
      </c>
      <c r="F161" s="9">
        <v>4.0</v>
      </c>
      <c r="G161" s="9">
        <v>1.0</v>
      </c>
      <c r="H161" s="9">
        <v>0.0</v>
      </c>
      <c r="I161" s="9">
        <v>0.0</v>
      </c>
      <c r="J161" s="17">
        <v>2784.0</v>
      </c>
      <c r="K161" s="18">
        <v>2319.42</v>
      </c>
      <c r="L161" s="17">
        <v>2475.0</v>
      </c>
      <c r="M161" s="18">
        <v>2475.0</v>
      </c>
      <c r="N161" s="18">
        <v>0.0</v>
      </c>
      <c r="O161" s="18">
        <v>551.716</v>
      </c>
    </row>
    <row r="162">
      <c r="A162" s="8" t="s">
        <v>258</v>
      </c>
      <c r="B162" s="9">
        <v>25.0</v>
      </c>
      <c r="C162" s="14" t="s">
        <v>234</v>
      </c>
      <c r="D162" s="9">
        <v>50.0</v>
      </c>
      <c r="E162" s="10">
        <v>1.0</v>
      </c>
      <c r="F162" s="9">
        <v>5.0</v>
      </c>
      <c r="G162" s="9">
        <v>1.0</v>
      </c>
      <c r="H162" s="9">
        <v>0.0</v>
      </c>
      <c r="I162" s="9">
        <v>0.0</v>
      </c>
      <c r="J162" s="17">
        <v>2706.0</v>
      </c>
      <c r="K162" s="18">
        <v>2263.19</v>
      </c>
      <c r="L162" s="17">
        <v>2419.0</v>
      </c>
      <c r="M162" s="18">
        <v>2419.0</v>
      </c>
      <c r="N162" s="18">
        <v>0.0</v>
      </c>
      <c r="O162" s="18">
        <v>537.369</v>
      </c>
    </row>
    <row r="163">
      <c r="A163" s="8" t="s">
        <v>259</v>
      </c>
      <c r="B163" s="9">
        <v>25.0</v>
      </c>
      <c r="C163" s="14" t="s">
        <v>234</v>
      </c>
      <c r="D163" s="9">
        <v>50.0</v>
      </c>
      <c r="E163" s="10">
        <v>2.0</v>
      </c>
      <c r="F163" s="9">
        <v>1.0</v>
      </c>
      <c r="G163" s="9">
        <v>1.0</v>
      </c>
      <c r="H163" s="9">
        <v>0.0</v>
      </c>
      <c r="I163" s="9">
        <v>0.0</v>
      </c>
      <c r="J163" s="17">
        <v>35992.0</v>
      </c>
      <c r="K163" s="18">
        <v>33012.5</v>
      </c>
      <c r="L163" s="17">
        <v>35948.0</v>
      </c>
      <c r="M163" s="18">
        <v>35948.0</v>
      </c>
      <c r="N163" s="18">
        <v>0.0</v>
      </c>
      <c r="O163" s="18">
        <v>353.806</v>
      </c>
    </row>
    <row r="164">
      <c r="A164" s="8" t="s">
        <v>260</v>
      </c>
      <c r="B164" s="9">
        <v>25.0</v>
      </c>
      <c r="C164" s="14" t="s">
        <v>234</v>
      </c>
      <c r="D164" s="9">
        <v>50.0</v>
      </c>
      <c r="E164" s="10">
        <v>2.0</v>
      </c>
      <c r="F164" s="9">
        <v>2.0</v>
      </c>
      <c r="G164" s="9">
        <v>1.0</v>
      </c>
      <c r="H164" s="9">
        <v>0.0</v>
      </c>
      <c r="I164" s="9">
        <v>0.0</v>
      </c>
      <c r="J164" s="17">
        <v>37779.0</v>
      </c>
      <c r="K164" s="18">
        <v>37747.8</v>
      </c>
      <c r="L164" s="17">
        <v>37779.0</v>
      </c>
      <c r="M164" s="18">
        <v>37779.0</v>
      </c>
      <c r="N164" s="18">
        <v>0.0</v>
      </c>
      <c r="O164" s="18">
        <v>0.384</v>
      </c>
    </row>
    <row r="165">
      <c r="A165" s="8" t="s">
        <v>261</v>
      </c>
      <c r="B165" s="9">
        <v>25.0</v>
      </c>
      <c r="C165" s="14" t="s">
        <v>234</v>
      </c>
      <c r="D165" s="9">
        <v>50.0</v>
      </c>
      <c r="E165" s="10">
        <v>2.0</v>
      </c>
      <c r="F165" s="9">
        <v>3.0</v>
      </c>
      <c r="G165" s="9">
        <v>1.0</v>
      </c>
      <c r="H165" s="9">
        <v>0.0</v>
      </c>
      <c r="I165" s="9">
        <v>0.0</v>
      </c>
      <c r="J165" s="17">
        <v>34848.0</v>
      </c>
      <c r="K165" s="18">
        <v>34848.0</v>
      </c>
      <c r="L165" s="17">
        <v>34848.0</v>
      </c>
      <c r="M165" s="18">
        <v>34848.0</v>
      </c>
      <c r="N165" s="18">
        <v>0.0</v>
      </c>
      <c r="O165" s="18">
        <v>0.137</v>
      </c>
    </row>
    <row r="166">
      <c r="A166" s="8" t="s">
        <v>262</v>
      </c>
      <c r="B166" s="9">
        <v>25.0</v>
      </c>
      <c r="C166" s="14" t="s">
        <v>234</v>
      </c>
      <c r="D166" s="9">
        <v>50.0</v>
      </c>
      <c r="E166" s="10">
        <v>2.0</v>
      </c>
      <c r="F166" s="9">
        <v>4.0</v>
      </c>
      <c r="G166" s="9">
        <v>1.0</v>
      </c>
      <c r="H166" s="9">
        <v>0.0</v>
      </c>
      <c r="I166" s="9">
        <v>0.0</v>
      </c>
      <c r="J166" s="17">
        <v>31879.0</v>
      </c>
      <c r="K166" s="18">
        <v>31879.0</v>
      </c>
      <c r="L166" s="17">
        <v>31879.0</v>
      </c>
      <c r="M166" s="18">
        <v>31879.0</v>
      </c>
      <c r="N166" s="18">
        <v>0.0</v>
      </c>
      <c r="O166" s="18">
        <v>0.144</v>
      </c>
    </row>
    <row r="167">
      <c r="A167" s="8" t="s">
        <v>263</v>
      </c>
      <c r="B167" s="9">
        <v>25.0</v>
      </c>
      <c r="C167" s="14" t="s">
        <v>234</v>
      </c>
      <c r="D167" s="9">
        <v>50.0</v>
      </c>
      <c r="E167" s="10">
        <v>2.0</v>
      </c>
      <c r="F167" s="9">
        <v>5.0</v>
      </c>
      <c r="G167" s="9">
        <v>1.0</v>
      </c>
      <c r="H167" s="9">
        <v>0.0</v>
      </c>
      <c r="I167" s="9">
        <v>0.0</v>
      </c>
      <c r="J167" s="17">
        <v>33939.0</v>
      </c>
      <c r="K167" s="18">
        <v>33939.0</v>
      </c>
      <c r="L167" s="17">
        <v>33939.0</v>
      </c>
      <c r="M167" s="18">
        <v>33939.0</v>
      </c>
      <c r="N167" s="18">
        <v>0.0</v>
      </c>
      <c r="O167" s="18">
        <v>0.111</v>
      </c>
    </row>
    <row r="168">
      <c r="A168" s="8" t="s">
        <v>264</v>
      </c>
      <c r="B168" s="9">
        <v>25.0</v>
      </c>
      <c r="C168" s="14" t="s">
        <v>234</v>
      </c>
      <c r="D168" s="9">
        <v>75.0</v>
      </c>
      <c r="E168" s="10">
        <v>0.6</v>
      </c>
      <c r="F168" s="9">
        <v>1.0</v>
      </c>
      <c r="G168" s="9">
        <v>1.0</v>
      </c>
      <c r="H168" s="9">
        <v>0.0</v>
      </c>
      <c r="I168" s="9">
        <v>0.0</v>
      </c>
      <c r="J168" s="17">
        <v>1576.0</v>
      </c>
      <c r="K168" s="18">
        <v>877.363</v>
      </c>
      <c r="L168" s="17">
        <v>1426.0</v>
      </c>
      <c r="M168" s="18">
        <v>1426.0</v>
      </c>
      <c r="N168" s="18">
        <v>0.0</v>
      </c>
      <c r="O168" s="18">
        <v>3146.01</v>
      </c>
    </row>
    <row r="169">
      <c r="A169" s="8" t="s">
        <v>265</v>
      </c>
      <c r="B169" s="9">
        <v>25.0</v>
      </c>
      <c r="C169" s="14" t="s">
        <v>234</v>
      </c>
      <c r="D169" s="9">
        <v>75.0</v>
      </c>
      <c r="E169" s="10">
        <v>0.6</v>
      </c>
      <c r="F169" s="9">
        <v>2.0</v>
      </c>
      <c r="G169" s="9">
        <v>1.0</v>
      </c>
      <c r="H169" s="9">
        <v>0.0</v>
      </c>
      <c r="I169" s="9">
        <v>0.0</v>
      </c>
      <c r="J169" s="17">
        <v>1296.0</v>
      </c>
      <c r="K169" s="18">
        <v>908.483</v>
      </c>
      <c r="L169" s="17">
        <v>1230.0</v>
      </c>
      <c r="M169" s="18">
        <v>1230.0</v>
      </c>
      <c r="N169" s="18">
        <v>0.0</v>
      </c>
      <c r="O169" s="18">
        <v>98.752</v>
      </c>
    </row>
    <row r="170">
      <c r="A170" s="8" t="s">
        <v>266</v>
      </c>
      <c r="B170" s="9">
        <v>25.0</v>
      </c>
      <c r="C170" s="14" t="s">
        <v>234</v>
      </c>
      <c r="D170" s="9">
        <v>75.0</v>
      </c>
      <c r="E170" s="10">
        <v>0.6</v>
      </c>
      <c r="F170" s="9">
        <v>3.0</v>
      </c>
      <c r="G170" s="9">
        <v>1.0</v>
      </c>
      <c r="H170" s="9">
        <v>0.0</v>
      </c>
      <c r="I170" s="9">
        <v>0.0</v>
      </c>
      <c r="J170" s="17">
        <v>1498.0</v>
      </c>
      <c r="K170" s="18">
        <v>924.721</v>
      </c>
      <c r="L170" s="17">
        <v>1313.0</v>
      </c>
      <c r="M170" s="18">
        <v>1313.0</v>
      </c>
      <c r="N170" s="18">
        <v>0.0</v>
      </c>
      <c r="O170" s="18">
        <v>244.676</v>
      </c>
    </row>
    <row r="171">
      <c r="A171" s="8" t="s">
        <v>267</v>
      </c>
      <c r="B171" s="9">
        <v>25.0</v>
      </c>
      <c r="C171" s="14" t="s">
        <v>234</v>
      </c>
      <c r="D171" s="9">
        <v>75.0</v>
      </c>
      <c r="E171" s="10">
        <v>0.6</v>
      </c>
      <c r="F171" s="9">
        <v>4.0</v>
      </c>
      <c r="G171" s="9">
        <v>1.0</v>
      </c>
      <c r="H171" s="9">
        <v>0.0</v>
      </c>
      <c r="I171" s="9">
        <v>0.0</v>
      </c>
      <c r="J171" s="17">
        <v>1530.0</v>
      </c>
      <c r="K171" s="18">
        <v>901.064</v>
      </c>
      <c r="L171" s="17">
        <v>1271.0</v>
      </c>
      <c r="M171" s="18">
        <v>1271.0</v>
      </c>
      <c r="N171" s="18">
        <v>0.0</v>
      </c>
      <c r="O171" s="18">
        <v>307.681</v>
      </c>
    </row>
    <row r="172">
      <c r="A172" s="8" t="s">
        <v>268</v>
      </c>
      <c r="B172" s="9">
        <v>25.0</v>
      </c>
      <c r="C172" s="14" t="s">
        <v>234</v>
      </c>
      <c r="D172" s="9">
        <v>75.0</v>
      </c>
      <c r="E172" s="10">
        <v>0.6</v>
      </c>
      <c r="F172" s="9">
        <v>5.0</v>
      </c>
      <c r="G172" s="9">
        <v>1.0</v>
      </c>
      <c r="H172" s="9">
        <v>0.0</v>
      </c>
      <c r="I172" s="9">
        <v>0.0</v>
      </c>
      <c r="J172" s="17">
        <v>1470.0</v>
      </c>
      <c r="K172" s="18">
        <v>946.666</v>
      </c>
      <c r="L172" s="17">
        <v>1315.0</v>
      </c>
      <c r="M172" s="18">
        <v>1315.0</v>
      </c>
      <c r="N172" s="18">
        <v>0.0</v>
      </c>
      <c r="O172" s="18">
        <v>88.786</v>
      </c>
    </row>
    <row r="173">
      <c r="A173" s="8" t="s">
        <v>269</v>
      </c>
      <c r="B173" s="9">
        <v>25.0</v>
      </c>
      <c r="C173" s="14" t="s">
        <v>234</v>
      </c>
      <c r="D173" s="9">
        <v>75.0</v>
      </c>
      <c r="E173" s="10">
        <v>1.0</v>
      </c>
      <c r="F173" s="9">
        <v>1.0</v>
      </c>
      <c r="G173" s="9">
        <v>0.0</v>
      </c>
      <c r="H173" s="9">
        <v>1.0</v>
      </c>
      <c r="I173" s="9">
        <v>0.0</v>
      </c>
      <c r="J173" s="17">
        <v>5656.0</v>
      </c>
      <c r="K173" s="18">
        <v>4272.59</v>
      </c>
      <c r="L173" s="17">
        <v>4816.0</v>
      </c>
      <c r="M173" s="18">
        <v>4613.05</v>
      </c>
      <c r="N173" s="18">
        <v>4.21405</v>
      </c>
      <c r="O173" s="18">
        <v>3600.0</v>
      </c>
    </row>
    <row r="174">
      <c r="A174" s="8" t="s">
        <v>270</v>
      </c>
      <c r="B174" s="9">
        <v>25.0</v>
      </c>
      <c r="C174" s="14" t="s">
        <v>234</v>
      </c>
      <c r="D174" s="9">
        <v>75.0</v>
      </c>
      <c r="E174" s="10">
        <v>1.0</v>
      </c>
      <c r="F174" s="9">
        <v>2.0</v>
      </c>
      <c r="G174" s="9">
        <v>0.0</v>
      </c>
      <c r="H174" s="9">
        <v>1.0</v>
      </c>
      <c r="I174" s="9">
        <v>0.0</v>
      </c>
      <c r="J174" s="17">
        <v>4714.0</v>
      </c>
      <c r="K174" s="18">
        <v>3982.98</v>
      </c>
      <c r="L174" s="17">
        <v>4665.0</v>
      </c>
      <c r="M174" s="18">
        <v>4307.27</v>
      </c>
      <c r="N174" s="18">
        <v>7.66842</v>
      </c>
      <c r="O174" s="18">
        <v>3600.0</v>
      </c>
    </row>
    <row r="175">
      <c r="A175" s="8" t="s">
        <v>271</v>
      </c>
      <c r="B175" s="9">
        <v>25.0</v>
      </c>
      <c r="C175" s="14" t="s">
        <v>234</v>
      </c>
      <c r="D175" s="9">
        <v>75.0</v>
      </c>
      <c r="E175" s="10">
        <v>1.0</v>
      </c>
      <c r="F175" s="9">
        <v>3.0</v>
      </c>
      <c r="G175" s="9">
        <v>1.0</v>
      </c>
      <c r="H175" s="9">
        <v>0.0</v>
      </c>
      <c r="I175" s="9">
        <v>0.0</v>
      </c>
      <c r="J175" s="17">
        <v>5142.0</v>
      </c>
      <c r="K175" s="18">
        <v>4075.65</v>
      </c>
      <c r="L175" s="17">
        <v>4506.0</v>
      </c>
      <c r="M175" s="18">
        <v>4506.0</v>
      </c>
      <c r="N175" s="18">
        <v>0.0</v>
      </c>
      <c r="O175" s="18">
        <v>1706.47</v>
      </c>
    </row>
    <row r="176">
      <c r="A176" s="8" t="s">
        <v>272</v>
      </c>
      <c r="B176" s="9">
        <v>25.0</v>
      </c>
      <c r="C176" s="14" t="s">
        <v>234</v>
      </c>
      <c r="D176" s="9">
        <v>75.0</v>
      </c>
      <c r="E176" s="10">
        <v>1.0</v>
      </c>
      <c r="F176" s="9">
        <v>4.0</v>
      </c>
      <c r="G176" s="9">
        <v>1.0</v>
      </c>
      <c r="H176" s="9">
        <v>0.0</v>
      </c>
      <c r="I176" s="9">
        <v>0.0</v>
      </c>
      <c r="J176" s="17">
        <v>5002.0</v>
      </c>
      <c r="K176" s="18">
        <v>4094.3</v>
      </c>
      <c r="L176" s="17">
        <v>4540.0</v>
      </c>
      <c r="M176" s="18">
        <v>4540.0</v>
      </c>
      <c r="N176" s="18">
        <v>0.0</v>
      </c>
      <c r="O176" s="18">
        <v>3371.11</v>
      </c>
    </row>
    <row r="177">
      <c r="A177" s="8" t="s">
        <v>273</v>
      </c>
      <c r="B177" s="9">
        <v>25.0</v>
      </c>
      <c r="C177" s="14" t="s">
        <v>234</v>
      </c>
      <c r="D177" s="9">
        <v>75.0</v>
      </c>
      <c r="E177" s="10">
        <v>1.0</v>
      </c>
      <c r="F177" s="9">
        <v>5.0</v>
      </c>
      <c r="G177" s="9">
        <v>1.0</v>
      </c>
      <c r="H177" s="9">
        <v>0.0</v>
      </c>
      <c r="I177" s="9">
        <v>0.0</v>
      </c>
      <c r="J177" s="17">
        <v>4903.0</v>
      </c>
      <c r="K177" s="18">
        <v>4144.87</v>
      </c>
      <c r="L177" s="17">
        <v>4577.0</v>
      </c>
      <c r="M177" s="18">
        <v>4577.0</v>
      </c>
      <c r="N177" s="18">
        <v>0.0</v>
      </c>
      <c r="O177" s="18">
        <v>2334.09</v>
      </c>
    </row>
    <row r="178">
      <c r="A178" s="8" t="s">
        <v>274</v>
      </c>
      <c r="B178" s="9">
        <v>25.0</v>
      </c>
      <c r="C178" s="14" t="s">
        <v>234</v>
      </c>
      <c r="D178" s="9">
        <v>75.0</v>
      </c>
      <c r="E178" s="10">
        <v>2.0</v>
      </c>
      <c r="F178" s="9">
        <v>1.0</v>
      </c>
      <c r="G178" s="9">
        <v>0.0</v>
      </c>
      <c r="H178" s="9">
        <v>1.0</v>
      </c>
      <c r="I178" s="9">
        <v>0.0</v>
      </c>
      <c r="J178" s="17">
        <v>58332.0</v>
      </c>
      <c r="K178" s="18">
        <v>53492.5</v>
      </c>
      <c r="L178" s="17">
        <v>58230.0</v>
      </c>
      <c r="M178" s="18">
        <v>54279.9</v>
      </c>
      <c r="N178" s="18">
        <v>6.78354</v>
      </c>
      <c r="O178" s="18">
        <v>3600.0</v>
      </c>
    </row>
    <row r="179">
      <c r="A179" s="8" t="s">
        <v>275</v>
      </c>
      <c r="B179" s="9">
        <v>25.0</v>
      </c>
      <c r="C179" s="14" t="s">
        <v>234</v>
      </c>
      <c r="D179" s="9">
        <v>75.0</v>
      </c>
      <c r="E179" s="10">
        <v>2.0</v>
      </c>
      <c r="F179" s="9">
        <v>2.0</v>
      </c>
      <c r="G179" s="9">
        <v>1.0</v>
      </c>
      <c r="H179" s="9">
        <v>0.0</v>
      </c>
      <c r="I179" s="9">
        <v>0.0</v>
      </c>
      <c r="J179" s="17">
        <v>56128.0</v>
      </c>
      <c r="K179" s="18">
        <v>52058.5</v>
      </c>
      <c r="L179" s="17">
        <v>55912.0</v>
      </c>
      <c r="M179" s="18">
        <v>55912.0</v>
      </c>
      <c r="N179" s="18">
        <v>0.0</v>
      </c>
      <c r="O179" s="18">
        <v>227.46</v>
      </c>
    </row>
    <row r="180">
      <c r="A180" s="8" t="s">
        <v>276</v>
      </c>
      <c r="B180" s="9">
        <v>25.0</v>
      </c>
      <c r="C180" s="14" t="s">
        <v>234</v>
      </c>
      <c r="D180" s="9">
        <v>75.0</v>
      </c>
      <c r="E180" s="10">
        <v>2.0</v>
      </c>
      <c r="F180" s="9">
        <v>3.0</v>
      </c>
      <c r="G180" s="9">
        <v>1.0</v>
      </c>
      <c r="H180" s="9">
        <v>0.0</v>
      </c>
      <c r="I180" s="9">
        <v>0.0</v>
      </c>
      <c r="J180" s="17">
        <v>50997.0</v>
      </c>
      <c r="K180" s="18">
        <v>50997.0</v>
      </c>
      <c r="L180" s="17">
        <v>50997.0</v>
      </c>
      <c r="M180" s="18">
        <v>50997.0</v>
      </c>
      <c r="N180" s="18">
        <v>0.0</v>
      </c>
      <c r="O180" s="18">
        <v>0.224</v>
      </c>
    </row>
    <row r="181">
      <c r="A181" s="8" t="s">
        <v>277</v>
      </c>
      <c r="B181" s="9">
        <v>25.0</v>
      </c>
      <c r="C181" s="14" t="s">
        <v>234</v>
      </c>
      <c r="D181" s="9">
        <v>75.0</v>
      </c>
      <c r="E181" s="10">
        <v>2.0</v>
      </c>
      <c r="F181" s="9">
        <v>4.0</v>
      </c>
      <c r="G181" s="9">
        <v>1.0</v>
      </c>
      <c r="H181" s="9">
        <v>0.0</v>
      </c>
      <c r="I181" s="9">
        <v>0.0</v>
      </c>
      <c r="J181" s="17">
        <v>56934.0</v>
      </c>
      <c r="K181" s="18">
        <v>56934.0</v>
      </c>
      <c r="L181" s="17">
        <v>56934.0</v>
      </c>
      <c r="M181" s="18">
        <v>56934.0</v>
      </c>
      <c r="N181" s="18">
        <v>0.0</v>
      </c>
      <c r="O181" s="18">
        <v>0.168</v>
      </c>
    </row>
    <row r="182">
      <c r="A182" s="8" t="s">
        <v>278</v>
      </c>
      <c r="B182" s="9">
        <v>25.0</v>
      </c>
      <c r="C182" s="14" t="s">
        <v>234</v>
      </c>
      <c r="D182" s="9">
        <v>75.0</v>
      </c>
      <c r="E182" s="10">
        <v>2.0</v>
      </c>
      <c r="F182" s="9">
        <v>5.0</v>
      </c>
      <c r="G182" s="9">
        <v>1.0</v>
      </c>
      <c r="H182" s="9">
        <v>0.0</v>
      </c>
      <c r="I182" s="9">
        <v>0.0</v>
      </c>
      <c r="J182" s="17">
        <v>51591.0</v>
      </c>
      <c r="K182" s="18">
        <v>51591.0</v>
      </c>
      <c r="L182" s="17">
        <v>51591.0</v>
      </c>
      <c r="M182" s="18">
        <v>51591.0</v>
      </c>
      <c r="N182" s="18">
        <v>0.0</v>
      </c>
      <c r="O182" s="18">
        <v>0.216</v>
      </c>
    </row>
    <row r="183">
      <c r="A183" s="8" t="s">
        <v>279</v>
      </c>
      <c r="B183" s="9">
        <v>30.0</v>
      </c>
      <c r="C183" s="14" t="s">
        <v>234</v>
      </c>
      <c r="D183" s="9">
        <v>25.0</v>
      </c>
      <c r="E183" s="10">
        <v>0.6</v>
      </c>
      <c r="F183" s="9">
        <v>1.0</v>
      </c>
      <c r="G183" s="9">
        <v>1.0</v>
      </c>
      <c r="H183" s="9">
        <v>0.0</v>
      </c>
      <c r="I183" s="9">
        <v>0.0</v>
      </c>
      <c r="J183" s="17">
        <v>300.0</v>
      </c>
      <c r="K183" s="18">
        <v>179.756</v>
      </c>
      <c r="L183" s="17">
        <v>240.0</v>
      </c>
      <c r="M183" s="18">
        <v>240.0</v>
      </c>
      <c r="N183" s="18">
        <v>0.0</v>
      </c>
      <c r="O183" s="18">
        <v>229.63</v>
      </c>
    </row>
    <row r="184">
      <c r="A184" s="8" t="s">
        <v>280</v>
      </c>
      <c r="B184" s="9">
        <v>30.0</v>
      </c>
      <c r="C184" s="14" t="s">
        <v>234</v>
      </c>
      <c r="D184" s="9">
        <v>25.0</v>
      </c>
      <c r="E184" s="10">
        <v>0.6</v>
      </c>
      <c r="F184" s="9">
        <v>2.0</v>
      </c>
      <c r="G184" s="9">
        <v>1.0</v>
      </c>
      <c r="H184" s="9">
        <v>0.0</v>
      </c>
      <c r="I184" s="9">
        <v>0.0</v>
      </c>
      <c r="J184" s="17">
        <v>306.0</v>
      </c>
      <c r="K184" s="18">
        <v>176.781</v>
      </c>
      <c r="L184" s="17">
        <v>236.0</v>
      </c>
      <c r="M184" s="18">
        <v>236.0</v>
      </c>
      <c r="N184" s="18">
        <v>0.0</v>
      </c>
      <c r="O184" s="18">
        <v>272.11</v>
      </c>
    </row>
    <row r="185">
      <c r="A185" s="8" t="s">
        <v>281</v>
      </c>
      <c r="B185" s="9">
        <v>30.0</v>
      </c>
      <c r="C185" s="14" t="s">
        <v>234</v>
      </c>
      <c r="D185" s="9">
        <v>25.0</v>
      </c>
      <c r="E185" s="10">
        <v>0.6</v>
      </c>
      <c r="F185" s="9">
        <v>3.0</v>
      </c>
      <c r="G185" s="9">
        <v>1.0</v>
      </c>
      <c r="H185" s="9">
        <v>0.0</v>
      </c>
      <c r="I185" s="9">
        <v>0.0</v>
      </c>
      <c r="J185" s="17">
        <v>354.0</v>
      </c>
      <c r="K185" s="18">
        <v>200.569</v>
      </c>
      <c r="L185" s="17">
        <v>305.0</v>
      </c>
      <c r="M185" s="18">
        <v>305.0</v>
      </c>
      <c r="N185" s="18">
        <v>0.0</v>
      </c>
      <c r="O185" s="18">
        <v>325.026</v>
      </c>
    </row>
    <row r="186">
      <c r="A186" s="8" t="s">
        <v>282</v>
      </c>
      <c r="B186" s="9">
        <v>30.0</v>
      </c>
      <c r="C186" s="14" t="s">
        <v>234</v>
      </c>
      <c r="D186" s="9">
        <v>25.0</v>
      </c>
      <c r="E186" s="10">
        <v>0.6</v>
      </c>
      <c r="F186" s="9">
        <v>4.0</v>
      </c>
      <c r="G186" s="9">
        <v>1.0</v>
      </c>
      <c r="H186" s="9">
        <v>0.0</v>
      </c>
      <c r="I186" s="9">
        <v>0.0</v>
      </c>
      <c r="J186" s="17">
        <v>256.0</v>
      </c>
      <c r="K186" s="18">
        <v>178.451</v>
      </c>
      <c r="L186" s="17">
        <v>228.0</v>
      </c>
      <c r="M186" s="18">
        <v>228.0</v>
      </c>
      <c r="N186" s="18">
        <v>0.0</v>
      </c>
      <c r="O186" s="18">
        <v>58.451</v>
      </c>
    </row>
    <row r="187">
      <c r="A187" s="8" t="s">
        <v>283</v>
      </c>
      <c r="B187" s="9">
        <v>30.0</v>
      </c>
      <c r="C187" s="14" t="s">
        <v>234</v>
      </c>
      <c r="D187" s="9">
        <v>25.0</v>
      </c>
      <c r="E187" s="10">
        <v>0.6</v>
      </c>
      <c r="F187" s="9">
        <v>5.0</v>
      </c>
      <c r="G187" s="9">
        <v>1.0</v>
      </c>
      <c r="H187" s="9">
        <v>0.0</v>
      </c>
      <c r="I187" s="9">
        <v>0.0</v>
      </c>
      <c r="J187" s="17">
        <v>325.0</v>
      </c>
      <c r="K187" s="18">
        <v>165.492</v>
      </c>
      <c r="L187" s="17">
        <v>220.0</v>
      </c>
      <c r="M187" s="18">
        <v>220.0</v>
      </c>
      <c r="N187" s="18">
        <v>0.0</v>
      </c>
      <c r="O187" s="18">
        <v>98.673</v>
      </c>
    </row>
    <row r="188">
      <c r="A188" s="8" t="s">
        <v>284</v>
      </c>
      <c r="B188" s="9">
        <v>30.0</v>
      </c>
      <c r="C188" s="14" t="s">
        <v>234</v>
      </c>
      <c r="D188" s="9">
        <v>25.0</v>
      </c>
      <c r="E188" s="10">
        <v>1.0</v>
      </c>
      <c r="F188" s="9">
        <v>1.0</v>
      </c>
      <c r="G188" s="9">
        <v>0.0</v>
      </c>
      <c r="H188" s="9">
        <v>1.0</v>
      </c>
      <c r="I188" s="9">
        <v>0.0</v>
      </c>
      <c r="J188" s="17">
        <v>1560.0</v>
      </c>
      <c r="K188" s="18">
        <v>1294.73</v>
      </c>
      <c r="L188" s="17">
        <v>1305.0</v>
      </c>
      <c r="M188" s="18">
        <v>1294.73</v>
      </c>
      <c r="N188" s="18">
        <v>0.786994</v>
      </c>
      <c r="O188" s="18">
        <v>3600.0</v>
      </c>
    </row>
    <row r="189">
      <c r="A189" s="8" t="s">
        <v>285</v>
      </c>
      <c r="B189" s="9">
        <v>30.0</v>
      </c>
      <c r="C189" s="14" t="s">
        <v>234</v>
      </c>
      <c r="D189" s="9">
        <v>25.0</v>
      </c>
      <c r="E189" s="10">
        <v>1.0</v>
      </c>
      <c r="F189" s="9">
        <v>2.0</v>
      </c>
      <c r="G189" s="9">
        <v>0.0</v>
      </c>
      <c r="H189" s="9">
        <v>1.0</v>
      </c>
      <c r="I189" s="9">
        <v>0.0</v>
      </c>
      <c r="J189" s="17">
        <v>1632.0</v>
      </c>
      <c r="K189" s="18">
        <v>1278.65</v>
      </c>
      <c r="L189" s="17">
        <v>1285.0</v>
      </c>
      <c r="M189" s="18">
        <v>1278.65</v>
      </c>
      <c r="N189" s="18">
        <v>0.493827</v>
      </c>
      <c r="O189" s="18">
        <v>3600.0</v>
      </c>
    </row>
    <row r="190">
      <c r="A190" s="8" t="s">
        <v>286</v>
      </c>
      <c r="B190" s="9">
        <v>30.0</v>
      </c>
      <c r="C190" s="14" t="s">
        <v>234</v>
      </c>
      <c r="D190" s="9">
        <v>25.0</v>
      </c>
      <c r="E190" s="10">
        <v>1.0</v>
      </c>
      <c r="F190" s="9">
        <v>3.0</v>
      </c>
      <c r="G190" s="9">
        <v>0.0</v>
      </c>
      <c r="H190" s="9">
        <v>1.0</v>
      </c>
      <c r="I190" s="9">
        <v>0.0</v>
      </c>
      <c r="J190" s="17">
        <v>1698.0</v>
      </c>
      <c r="K190" s="18">
        <v>1398.19</v>
      </c>
      <c r="L190" s="17">
        <v>1680.0</v>
      </c>
      <c r="M190" s="18">
        <v>1398.19</v>
      </c>
      <c r="N190" s="18">
        <v>16.7742</v>
      </c>
      <c r="O190" s="18">
        <v>3600.0</v>
      </c>
    </row>
    <row r="191">
      <c r="A191" s="8" t="s">
        <v>287</v>
      </c>
      <c r="B191" s="9">
        <v>30.0</v>
      </c>
      <c r="C191" s="14" t="s">
        <v>234</v>
      </c>
      <c r="D191" s="9">
        <v>25.0</v>
      </c>
      <c r="E191" s="10">
        <v>1.0</v>
      </c>
      <c r="F191" s="9">
        <v>4.0</v>
      </c>
      <c r="G191" s="9">
        <v>0.0</v>
      </c>
      <c r="H191" s="9">
        <v>1.0</v>
      </c>
      <c r="I191" s="9">
        <v>0.0</v>
      </c>
      <c r="J191" s="17">
        <v>1488.0</v>
      </c>
      <c r="K191" s="18">
        <v>1240.0</v>
      </c>
      <c r="L191" s="17">
        <v>1311.0</v>
      </c>
      <c r="M191" s="18">
        <v>1240.0</v>
      </c>
      <c r="N191" s="18">
        <v>5.41571</v>
      </c>
      <c r="O191" s="18">
        <v>3600.0</v>
      </c>
    </row>
    <row r="192">
      <c r="A192" s="8" t="s">
        <v>288</v>
      </c>
      <c r="B192" s="9">
        <v>30.0</v>
      </c>
      <c r="C192" s="14" t="s">
        <v>234</v>
      </c>
      <c r="D192" s="9">
        <v>25.0</v>
      </c>
      <c r="E192" s="10">
        <v>1.0</v>
      </c>
      <c r="F192" s="9">
        <v>5.0</v>
      </c>
      <c r="G192" s="9">
        <v>0.0</v>
      </c>
      <c r="H192" s="9">
        <v>1.0</v>
      </c>
      <c r="I192" s="9">
        <v>0.0</v>
      </c>
      <c r="J192" s="17">
        <v>1440.0</v>
      </c>
      <c r="K192" s="18">
        <v>1195.14</v>
      </c>
      <c r="L192" s="17">
        <v>1200.0</v>
      </c>
      <c r="M192" s="18">
        <v>1195.14</v>
      </c>
      <c r="N192" s="18">
        <v>0.405405</v>
      </c>
      <c r="O192" s="18">
        <v>3600.0</v>
      </c>
    </row>
    <row r="193">
      <c r="A193" s="8" t="s">
        <v>289</v>
      </c>
      <c r="B193" s="9">
        <v>30.0</v>
      </c>
      <c r="C193" s="14" t="s">
        <v>234</v>
      </c>
      <c r="D193" s="9">
        <v>25.0</v>
      </c>
      <c r="E193" s="10">
        <v>2.0</v>
      </c>
      <c r="F193" s="9">
        <v>1.0</v>
      </c>
      <c r="G193" s="9">
        <v>0.0</v>
      </c>
      <c r="H193" s="9">
        <v>1.0</v>
      </c>
      <c r="I193" s="9">
        <v>0.0</v>
      </c>
      <c r="J193" s="17">
        <v>19965.0</v>
      </c>
      <c r="K193" s="18">
        <v>18220.5</v>
      </c>
      <c r="L193" s="17">
        <v>19965.0</v>
      </c>
      <c r="M193" s="18">
        <v>19075.9</v>
      </c>
      <c r="N193" s="18">
        <v>4.45308</v>
      </c>
      <c r="O193" s="18">
        <v>3600.0</v>
      </c>
    </row>
    <row r="194">
      <c r="A194" s="8" t="s">
        <v>290</v>
      </c>
      <c r="B194" s="9">
        <v>30.0</v>
      </c>
      <c r="C194" s="14" t="s">
        <v>234</v>
      </c>
      <c r="D194" s="9">
        <v>25.0</v>
      </c>
      <c r="E194" s="10">
        <v>2.0</v>
      </c>
      <c r="F194" s="9">
        <v>2.0</v>
      </c>
      <c r="G194" s="9">
        <v>1.0</v>
      </c>
      <c r="H194" s="9">
        <v>0.0</v>
      </c>
      <c r="I194" s="9">
        <v>0.0</v>
      </c>
      <c r="J194" s="17">
        <v>19778.0</v>
      </c>
      <c r="K194" s="18">
        <v>17904.0</v>
      </c>
      <c r="L194" s="17">
        <v>17980.0</v>
      </c>
      <c r="M194" s="18">
        <v>17980.0</v>
      </c>
      <c r="N194" s="18">
        <v>0.0</v>
      </c>
      <c r="O194" s="18">
        <v>1135.12</v>
      </c>
    </row>
    <row r="195">
      <c r="A195" s="8" t="s">
        <v>291</v>
      </c>
      <c r="B195" s="9">
        <v>30.0</v>
      </c>
      <c r="C195" s="14" t="s">
        <v>234</v>
      </c>
      <c r="D195" s="9">
        <v>25.0</v>
      </c>
      <c r="E195" s="10">
        <v>2.0</v>
      </c>
      <c r="F195" s="9">
        <v>3.0</v>
      </c>
      <c r="G195" s="9">
        <v>0.0</v>
      </c>
      <c r="H195" s="9">
        <v>1.0</v>
      </c>
      <c r="I195" s="9">
        <v>0.0</v>
      </c>
      <c r="J195" s="17">
        <v>19580.0</v>
      </c>
      <c r="K195" s="18">
        <v>19429.4</v>
      </c>
      <c r="L195" s="17">
        <v>19580.0</v>
      </c>
      <c r="M195" s="18">
        <v>19493.6</v>
      </c>
      <c r="N195" s="18">
        <v>0.4414</v>
      </c>
      <c r="O195" s="18">
        <v>3600.0</v>
      </c>
    </row>
    <row r="196">
      <c r="A196" s="8" t="s">
        <v>292</v>
      </c>
      <c r="B196" s="9">
        <v>30.0</v>
      </c>
      <c r="C196" s="14" t="s">
        <v>234</v>
      </c>
      <c r="D196" s="9">
        <v>25.0</v>
      </c>
      <c r="E196" s="10">
        <v>2.0</v>
      </c>
      <c r="F196" s="9">
        <v>4.0</v>
      </c>
      <c r="G196" s="9">
        <v>1.0</v>
      </c>
      <c r="H196" s="9">
        <v>0.0</v>
      </c>
      <c r="I196" s="9">
        <v>0.0</v>
      </c>
      <c r="J196" s="17">
        <v>17335.0</v>
      </c>
      <c r="K196" s="18">
        <v>17203.5</v>
      </c>
      <c r="L196" s="17">
        <v>17310.0</v>
      </c>
      <c r="M196" s="18">
        <v>17310.0</v>
      </c>
      <c r="N196" s="18">
        <v>0.0</v>
      </c>
      <c r="O196" s="18">
        <v>73.558</v>
      </c>
    </row>
    <row r="197">
      <c r="A197" s="8" t="s">
        <v>293</v>
      </c>
      <c r="B197" s="9">
        <v>30.0</v>
      </c>
      <c r="C197" s="14" t="s">
        <v>234</v>
      </c>
      <c r="D197" s="9">
        <v>25.0</v>
      </c>
      <c r="E197" s="10">
        <v>2.0</v>
      </c>
      <c r="F197" s="9">
        <v>5.0</v>
      </c>
      <c r="G197" s="9">
        <v>1.0</v>
      </c>
      <c r="H197" s="9">
        <v>0.0</v>
      </c>
      <c r="I197" s="9">
        <v>0.0</v>
      </c>
      <c r="J197" s="17">
        <v>18480.0</v>
      </c>
      <c r="K197" s="18">
        <v>16739.8</v>
      </c>
      <c r="L197" s="17">
        <v>16800.0</v>
      </c>
      <c r="M197" s="18">
        <v>16800.0</v>
      </c>
      <c r="N197" s="18">
        <v>0.0</v>
      </c>
      <c r="O197" s="18">
        <v>560.893</v>
      </c>
    </row>
    <row r="198">
      <c r="A198" s="8" t="s">
        <v>294</v>
      </c>
      <c r="B198" s="9">
        <v>30.0</v>
      </c>
      <c r="C198" s="14" t="s">
        <v>234</v>
      </c>
      <c r="D198" s="9">
        <v>50.0</v>
      </c>
      <c r="E198" s="10">
        <v>0.6</v>
      </c>
      <c r="F198" s="9">
        <v>1.0</v>
      </c>
      <c r="G198" s="9">
        <v>1.0</v>
      </c>
      <c r="H198" s="9">
        <v>0.0</v>
      </c>
      <c r="I198" s="9">
        <v>0.0</v>
      </c>
      <c r="J198" s="17">
        <v>798.0</v>
      </c>
      <c r="K198" s="18">
        <v>432.485</v>
      </c>
      <c r="L198" s="17">
        <v>704.0</v>
      </c>
      <c r="M198" s="18">
        <v>704.0</v>
      </c>
      <c r="N198" s="18">
        <v>0.0</v>
      </c>
      <c r="O198" s="18">
        <v>1021.39</v>
      </c>
    </row>
    <row r="199">
      <c r="A199" s="8" t="s">
        <v>295</v>
      </c>
      <c r="B199" s="9">
        <v>30.0</v>
      </c>
      <c r="C199" s="14" t="s">
        <v>234</v>
      </c>
      <c r="D199" s="9">
        <v>50.0</v>
      </c>
      <c r="E199" s="10">
        <v>0.6</v>
      </c>
      <c r="F199" s="9">
        <v>2.0</v>
      </c>
      <c r="G199" s="9">
        <v>1.0</v>
      </c>
      <c r="H199" s="9">
        <v>0.0</v>
      </c>
      <c r="I199" s="9">
        <v>0.0</v>
      </c>
      <c r="J199" s="17">
        <v>881.0</v>
      </c>
      <c r="K199" s="18">
        <v>547.693</v>
      </c>
      <c r="L199" s="17">
        <v>770.0</v>
      </c>
      <c r="M199" s="18">
        <v>770.0</v>
      </c>
      <c r="N199" s="18">
        <v>0.0</v>
      </c>
      <c r="O199" s="18">
        <v>410.102</v>
      </c>
    </row>
    <row r="200">
      <c r="A200" s="8" t="s">
        <v>296</v>
      </c>
      <c r="B200" s="9">
        <v>30.0</v>
      </c>
      <c r="C200" s="14" t="s">
        <v>234</v>
      </c>
      <c r="D200" s="9">
        <v>50.0</v>
      </c>
      <c r="E200" s="10">
        <v>0.6</v>
      </c>
      <c r="F200" s="9">
        <v>3.0</v>
      </c>
      <c r="G200" s="9">
        <v>1.0</v>
      </c>
      <c r="H200" s="9">
        <v>0.0</v>
      </c>
      <c r="I200" s="9">
        <v>0.0</v>
      </c>
      <c r="J200" s="17">
        <v>794.0</v>
      </c>
      <c r="K200" s="18">
        <v>459.238</v>
      </c>
      <c r="L200" s="17">
        <v>696.0</v>
      </c>
      <c r="M200" s="18">
        <v>696.0</v>
      </c>
      <c r="N200" s="18">
        <v>0.0</v>
      </c>
      <c r="O200" s="18">
        <v>212.741</v>
      </c>
    </row>
    <row r="201">
      <c r="A201" s="8" t="s">
        <v>297</v>
      </c>
      <c r="B201" s="9">
        <v>30.0</v>
      </c>
      <c r="C201" s="14" t="s">
        <v>234</v>
      </c>
      <c r="D201" s="9">
        <v>50.0</v>
      </c>
      <c r="E201" s="10">
        <v>0.6</v>
      </c>
      <c r="F201" s="9">
        <v>4.0</v>
      </c>
      <c r="G201" s="9">
        <v>0.0</v>
      </c>
      <c r="H201" s="9">
        <v>1.0</v>
      </c>
      <c r="I201" s="9">
        <v>0.0</v>
      </c>
      <c r="J201" s="17">
        <v>912.0</v>
      </c>
      <c r="K201" s="18">
        <v>424.564</v>
      </c>
      <c r="L201" s="17">
        <v>746.0</v>
      </c>
      <c r="M201" s="18">
        <v>687.597</v>
      </c>
      <c r="N201" s="18">
        <v>7.82877</v>
      </c>
      <c r="O201" s="18">
        <v>3600.0</v>
      </c>
    </row>
    <row r="202">
      <c r="A202" s="8" t="s">
        <v>298</v>
      </c>
      <c r="B202" s="9">
        <v>30.0</v>
      </c>
      <c r="C202" s="14" t="s">
        <v>234</v>
      </c>
      <c r="D202" s="9">
        <v>50.0</v>
      </c>
      <c r="E202" s="10">
        <v>0.6</v>
      </c>
      <c r="F202" s="9">
        <v>5.0</v>
      </c>
      <c r="G202" s="9">
        <v>1.0</v>
      </c>
      <c r="H202" s="9">
        <v>0.0</v>
      </c>
      <c r="I202" s="9">
        <v>0.0</v>
      </c>
      <c r="J202" s="17">
        <v>921.0</v>
      </c>
      <c r="K202" s="18">
        <v>521.807</v>
      </c>
      <c r="L202" s="17">
        <v>792.0</v>
      </c>
      <c r="M202" s="18">
        <v>792.0</v>
      </c>
      <c r="N202" s="18">
        <v>0.0</v>
      </c>
      <c r="O202" s="18">
        <v>1256.87</v>
      </c>
    </row>
    <row r="203">
      <c r="A203" s="8" t="s">
        <v>299</v>
      </c>
      <c r="B203" s="9">
        <v>30.0</v>
      </c>
      <c r="C203" s="14" t="s">
        <v>234</v>
      </c>
      <c r="D203" s="9">
        <v>50.0</v>
      </c>
      <c r="E203" s="10">
        <v>1.0</v>
      </c>
      <c r="F203" s="9">
        <v>1.0</v>
      </c>
      <c r="G203" s="9">
        <v>0.0</v>
      </c>
      <c r="H203" s="9">
        <v>1.0</v>
      </c>
      <c r="I203" s="9">
        <v>0.0</v>
      </c>
      <c r="J203" s="17">
        <v>3109.0</v>
      </c>
      <c r="K203" s="18">
        <v>2469.25</v>
      </c>
      <c r="L203" s="17">
        <v>2970.0</v>
      </c>
      <c r="M203" s="18">
        <v>2608.43</v>
      </c>
      <c r="N203" s="18">
        <v>12.1741</v>
      </c>
      <c r="O203" s="18">
        <v>3600.0</v>
      </c>
    </row>
    <row r="204">
      <c r="A204" s="8" t="s">
        <v>300</v>
      </c>
      <c r="B204" s="9">
        <v>30.0</v>
      </c>
      <c r="C204" s="14" t="s">
        <v>234</v>
      </c>
      <c r="D204" s="9">
        <v>50.0</v>
      </c>
      <c r="E204" s="10">
        <v>1.0</v>
      </c>
      <c r="F204" s="9">
        <v>2.0</v>
      </c>
      <c r="G204" s="9">
        <v>0.0</v>
      </c>
      <c r="H204" s="9">
        <v>1.0</v>
      </c>
      <c r="I204" s="9">
        <v>0.0</v>
      </c>
      <c r="J204" s="17">
        <v>3359.0</v>
      </c>
      <c r="K204" s="18">
        <v>2736.27</v>
      </c>
      <c r="L204" s="17">
        <v>3312.0</v>
      </c>
      <c r="M204" s="18">
        <v>2922.19</v>
      </c>
      <c r="N204" s="18">
        <v>11.7698</v>
      </c>
      <c r="O204" s="18">
        <v>3600.0</v>
      </c>
    </row>
    <row r="205">
      <c r="A205" s="8" t="s">
        <v>301</v>
      </c>
      <c r="B205" s="9">
        <v>30.0</v>
      </c>
      <c r="C205" s="14" t="s">
        <v>234</v>
      </c>
      <c r="D205" s="9">
        <v>50.0</v>
      </c>
      <c r="E205" s="10">
        <v>1.0</v>
      </c>
      <c r="F205" s="9">
        <v>3.0</v>
      </c>
      <c r="G205" s="9">
        <v>0.0</v>
      </c>
      <c r="H205" s="9">
        <v>1.0</v>
      </c>
      <c r="I205" s="9">
        <v>0.0</v>
      </c>
      <c r="J205" s="17">
        <v>3182.0</v>
      </c>
      <c r="K205" s="18">
        <v>2466.28</v>
      </c>
      <c r="L205" s="17">
        <v>3024.0</v>
      </c>
      <c r="M205" s="18">
        <v>2656.36</v>
      </c>
      <c r="N205" s="18">
        <v>12.1574</v>
      </c>
      <c r="O205" s="18">
        <v>3600.0</v>
      </c>
    </row>
    <row r="206">
      <c r="A206" s="8" t="s">
        <v>302</v>
      </c>
      <c r="B206" s="9">
        <v>30.0</v>
      </c>
      <c r="C206" s="14" t="s">
        <v>234</v>
      </c>
      <c r="D206" s="9">
        <v>50.0</v>
      </c>
      <c r="E206" s="10">
        <v>1.0</v>
      </c>
      <c r="F206" s="9">
        <v>4.0</v>
      </c>
      <c r="G206" s="9">
        <v>0.0</v>
      </c>
      <c r="H206" s="9">
        <v>1.0</v>
      </c>
      <c r="I206" s="9">
        <v>0.0</v>
      </c>
      <c r="J206" s="17">
        <v>3264.0</v>
      </c>
      <c r="K206" s="18">
        <v>2499.78</v>
      </c>
      <c r="L206" s="17">
        <v>2961.0</v>
      </c>
      <c r="M206" s="18">
        <v>2631.89</v>
      </c>
      <c r="N206" s="18">
        <v>11.1147</v>
      </c>
      <c r="O206" s="18">
        <v>3600.0</v>
      </c>
    </row>
    <row r="207">
      <c r="A207" s="8" t="s">
        <v>303</v>
      </c>
      <c r="B207" s="9">
        <v>30.0</v>
      </c>
      <c r="C207" s="14" t="s">
        <v>234</v>
      </c>
      <c r="D207" s="9">
        <v>50.0</v>
      </c>
      <c r="E207" s="10">
        <v>1.0</v>
      </c>
      <c r="F207" s="9">
        <v>5.0</v>
      </c>
      <c r="G207" s="9">
        <v>0.0</v>
      </c>
      <c r="H207" s="9">
        <v>1.0</v>
      </c>
      <c r="I207" s="9">
        <v>0.0</v>
      </c>
      <c r="J207" s="17">
        <v>3477.0</v>
      </c>
      <c r="K207" s="18">
        <v>2724.55</v>
      </c>
      <c r="L207" s="17">
        <v>3358.0</v>
      </c>
      <c r="M207" s="18">
        <v>2949.59</v>
      </c>
      <c r="N207" s="18">
        <v>12.1623</v>
      </c>
      <c r="O207" s="18">
        <v>3600.0</v>
      </c>
    </row>
    <row r="208">
      <c r="A208" s="8" t="s">
        <v>304</v>
      </c>
      <c r="B208" s="9">
        <v>30.0</v>
      </c>
      <c r="C208" s="14" t="s">
        <v>234</v>
      </c>
      <c r="D208" s="9">
        <v>50.0</v>
      </c>
      <c r="E208" s="10">
        <v>2.0</v>
      </c>
      <c r="F208" s="9">
        <v>1.0</v>
      </c>
      <c r="G208" s="9">
        <v>1.0</v>
      </c>
      <c r="H208" s="9">
        <v>0.0</v>
      </c>
      <c r="I208" s="9">
        <v>0.0</v>
      </c>
      <c r="J208" s="17">
        <v>38064.0</v>
      </c>
      <c r="K208" s="18">
        <v>34489.7</v>
      </c>
      <c r="L208" s="17">
        <v>34695.0</v>
      </c>
      <c r="M208" s="18">
        <v>34695.0</v>
      </c>
      <c r="N208" s="18">
        <v>0.0</v>
      </c>
      <c r="O208" s="18">
        <v>155.569</v>
      </c>
    </row>
    <row r="209">
      <c r="A209" s="8" t="s">
        <v>305</v>
      </c>
      <c r="B209" s="9">
        <v>30.0</v>
      </c>
      <c r="C209" s="14" t="s">
        <v>234</v>
      </c>
      <c r="D209" s="9">
        <v>50.0</v>
      </c>
      <c r="E209" s="10">
        <v>2.0</v>
      </c>
      <c r="F209" s="9">
        <v>2.0</v>
      </c>
      <c r="G209" s="9">
        <v>1.0</v>
      </c>
      <c r="H209" s="9">
        <v>0.0</v>
      </c>
      <c r="I209" s="9">
        <v>0.0</v>
      </c>
      <c r="J209" s="17">
        <v>41319.0</v>
      </c>
      <c r="K209" s="18">
        <v>37350.8</v>
      </c>
      <c r="L209" s="17">
        <v>37599.0</v>
      </c>
      <c r="M209" s="18">
        <v>37599.0</v>
      </c>
      <c r="N209" s="18">
        <v>0.0</v>
      </c>
      <c r="O209" s="18">
        <v>2199.57</v>
      </c>
    </row>
    <row r="210">
      <c r="A210" s="8" t="s">
        <v>306</v>
      </c>
      <c r="B210" s="9">
        <v>30.0</v>
      </c>
      <c r="C210" s="14" t="s">
        <v>234</v>
      </c>
      <c r="D210" s="9">
        <v>50.0</v>
      </c>
      <c r="E210" s="10">
        <v>2.0</v>
      </c>
      <c r="F210" s="9">
        <v>3.0</v>
      </c>
      <c r="G210" s="9">
        <v>1.0</v>
      </c>
      <c r="H210" s="9">
        <v>0.0</v>
      </c>
      <c r="I210" s="9">
        <v>0.0</v>
      </c>
      <c r="J210" s="17">
        <v>37845.0</v>
      </c>
      <c r="K210" s="18">
        <v>34303.0</v>
      </c>
      <c r="L210" s="17">
        <v>34502.0</v>
      </c>
      <c r="M210" s="18">
        <v>34502.0</v>
      </c>
      <c r="N210" s="18">
        <v>0.0</v>
      </c>
      <c r="O210" s="18">
        <v>389.07</v>
      </c>
    </row>
    <row r="211">
      <c r="A211" s="8" t="s">
        <v>307</v>
      </c>
      <c r="B211" s="9">
        <v>30.0</v>
      </c>
      <c r="C211" s="14" t="s">
        <v>234</v>
      </c>
      <c r="D211" s="9">
        <v>50.0</v>
      </c>
      <c r="E211" s="10">
        <v>2.0</v>
      </c>
      <c r="F211" s="9">
        <v>4.0</v>
      </c>
      <c r="G211" s="9">
        <v>1.0</v>
      </c>
      <c r="H211" s="9">
        <v>0.0</v>
      </c>
      <c r="I211" s="9">
        <v>0.0</v>
      </c>
      <c r="J211" s="17">
        <v>38214.0</v>
      </c>
      <c r="K211" s="18">
        <v>34661.1</v>
      </c>
      <c r="L211" s="17">
        <v>34847.0</v>
      </c>
      <c r="M211" s="18">
        <v>34847.0</v>
      </c>
      <c r="N211" s="18">
        <v>0.0</v>
      </c>
      <c r="O211" s="18">
        <v>437.519</v>
      </c>
    </row>
    <row r="212">
      <c r="A212" s="8" t="s">
        <v>308</v>
      </c>
      <c r="B212" s="9">
        <v>30.0</v>
      </c>
      <c r="C212" s="14" t="s">
        <v>234</v>
      </c>
      <c r="D212" s="9">
        <v>50.0</v>
      </c>
      <c r="E212" s="10">
        <v>2.0</v>
      </c>
      <c r="F212" s="9">
        <v>5.0</v>
      </c>
      <c r="G212" s="9">
        <v>1.0</v>
      </c>
      <c r="H212" s="9">
        <v>0.0</v>
      </c>
      <c r="I212" s="9">
        <v>0.0</v>
      </c>
      <c r="J212" s="17">
        <v>41357.0</v>
      </c>
      <c r="K212" s="18">
        <v>37208.2</v>
      </c>
      <c r="L212" s="17">
        <v>37602.0</v>
      </c>
      <c r="M212" s="18">
        <v>37602.0</v>
      </c>
      <c r="N212" s="18">
        <v>0.0</v>
      </c>
      <c r="O212" s="18">
        <v>2869.47</v>
      </c>
    </row>
    <row r="213">
      <c r="A213" s="8" t="s">
        <v>309</v>
      </c>
      <c r="B213" s="9">
        <v>30.0</v>
      </c>
      <c r="C213" s="14" t="s">
        <v>234</v>
      </c>
      <c r="D213" s="9">
        <v>75.0</v>
      </c>
      <c r="E213" s="10">
        <v>0.6</v>
      </c>
      <c r="F213" s="9">
        <v>1.0</v>
      </c>
      <c r="G213" s="9">
        <v>0.0</v>
      </c>
      <c r="H213" s="9">
        <v>1.0</v>
      </c>
      <c r="I213" s="9">
        <v>0.0</v>
      </c>
      <c r="J213" s="17">
        <v>1580.0</v>
      </c>
      <c r="K213" s="18">
        <v>941.681</v>
      </c>
      <c r="L213" s="17">
        <v>1402.0</v>
      </c>
      <c r="M213" s="18">
        <v>1381.22</v>
      </c>
      <c r="N213" s="18">
        <v>1.48186</v>
      </c>
      <c r="O213" s="18">
        <v>3600.0</v>
      </c>
    </row>
    <row r="214">
      <c r="A214" s="8" t="s">
        <v>310</v>
      </c>
      <c r="B214" s="9">
        <v>30.0</v>
      </c>
      <c r="C214" s="14" t="s">
        <v>234</v>
      </c>
      <c r="D214" s="9">
        <v>75.0</v>
      </c>
      <c r="E214" s="10">
        <v>0.6</v>
      </c>
      <c r="F214" s="9">
        <v>2.0</v>
      </c>
      <c r="G214" s="9">
        <v>0.0</v>
      </c>
      <c r="H214" s="9">
        <v>1.0</v>
      </c>
      <c r="I214" s="9">
        <v>0.0</v>
      </c>
      <c r="J214" s="17">
        <v>2172.0</v>
      </c>
      <c r="K214" s="18">
        <v>1136.52</v>
      </c>
      <c r="L214" s="17">
        <v>1789.0</v>
      </c>
      <c r="M214" s="18">
        <v>1628.05</v>
      </c>
      <c r="N214" s="18">
        <v>8.9968</v>
      </c>
      <c r="O214" s="18">
        <v>3600.0</v>
      </c>
    </row>
    <row r="215">
      <c r="A215" s="8" t="s">
        <v>311</v>
      </c>
      <c r="B215" s="9">
        <v>30.0</v>
      </c>
      <c r="C215" s="14" t="s">
        <v>234</v>
      </c>
      <c r="D215" s="9">
        <v>75.0</v>
      </c>
      <c r="E215" s="10">
        <v>0.6</v>
      </c>
      <c r="F215" s="9">
        <v>3.0</v>
      </c>
      <c r="G215" s="9">
        <v>1.0</v>
      </c>
      <c r="H215" s="9">
        <v>0.0</v>
      </c>
      <c r="I215" s="9">
        <v>0.0</v>
      </c>
      <c r="J215" s="17">
        <v>1623.0</v>
      </c>
      <c r="K215" s="18">
        <v>935.112</v>
      </c>
      <c r="L215" s="17">
        <v>1433.0</v>
      </c>
      <c r="M215" s="18">
        <v>1433.0</v>
      </c>
      <c r="N215" s="18">
        <v>0.0</v>
      </c>
      <c r="O215" s="18">
        <v>3143.03</v>
      </c>
    </row>
    <row r="216">
      <c r="A216" s="8" t="s">
        <v>312</v>
      </c>
      <c r="B216" s="9">
        <v>30.0</v>
      </c>
      <c r="C216" s="14" t="s">
        <v>234</v>
      </c>
      <c r="D216" s="9">
        <v>75.0</v>
      </c>
      <c r="E216" s="10">
        <v>0.6</v>
      </c>
      <c r="F216" s="9">
        <v>4.0</v>
      </c>
      <c r="G216" s="9">
        <v>1.0</v>
      </c>
      <c r="H216" s="9">
        <v>0.0</v>
      </c>
      <c r="I216" s="9">
        <v>0.0</v>
      </c>
      <c r="J216" s="17">
        <v>1826.0</v>
      </c>
      <c r="K216" s="18">
        <v>1124.4</v>
      </c>
      <c r="L216" s="17">
        <v>1676.0</v>
      </c>
      <c r="M216" s="18">
        <v>1676.0</v>
      </c>
      <c r="N216" s="18">
        <v>0.0</v>
      </c>
      <c r="O216" s="18">
        <v>3073.56</v>
      </c>
    </row>
    <row r="217">
      <c r="A217" s="8" t="s">
        <v>313</v>
      </c>
      <c r="B217" s="9">
        <v>30.0</v>
      </c>
      <c r="C217" s="14" t="s">
        <v>234</v>
      </c>
      <c r="D217" s="9">
        <v>75.0</v>
      </c>
      <c r="E217" s="10">
        <v>0.6</v>
      </c>
      <c r="F217" s="9">
        <v>5.0</v>
      </c>
      <c r="G217" s="9">
        <v>0.0</v>
      </c>
      <c r="H217" s="9">
        <v>1.0</v>
      </c>
      <c r="I217" s="9">
        <v>0.0</v>
      </c>
      <c r="J217" s="17">
        <v>1778.0</v>
      </c>
      <c r="K217" s="18">
        <v>1046.01</v>
      </c>
      <c r="L217" s="17">
        <v>1565.0</v>
      </c>
      <c r="M217" s="18">
        <v>1466.86</v>
      </c>
      <c r="N217" s="18">
        <v>6.27117</v>
      </c>
      <c r="O217" s="18">
        <v>3600.0</v>
      </c>
    </row>
    <row r="218">
      <c r="A218" s="8" t="s">
        <v>314</v>
      </c>
      <c r="B218" s="9">
        <v>30.0</v>
      </c>
      <c r="C218" s="14" t="s">
        <v>234</v>
      </c>
      <c r="D218" s="9">
        <v>75.0</v>
      </c>
      <c r="E218" s="10">
        <v>1.0</v>
      </c>
      <c r="F218" s="9">
        <v>1.0</v>
      </c>
      <c r="G218" s="9">
        <v>0.0</v>
      </c>
      <c r="H218" s="9">
        <v>1.0</v>
      </c>
      <c r="I218" s="9">
        <v>0.0</v>
      </c>
      <c r="J218" s="17">
        <v>5029.0</v>
      </c>
      <c r="K218" s="18">
        <v>4128.28</v>
      </c>
      <c r="L218" s="17">
        <v>4953.0</v>
      </c>
      <c r="M218" s="18">
        <v>4466.63</v>
      </c>
      <c r="N218" s="18">
        <v>9.81964</v>
      </c>
      <c r="O218" s="18">
        <v>3600.0</v>
      </c>
    </row>
    <row r="219">
      <c r="A219" s="8" t="s">
        <v>315</v>
      </c>
      <c r="B219" s="9">
        <v>30.0</v>
      </c>
      <c r="C219" s="14" t="s">
        <v>234</v>
      </c>
      <c r="D219" s="9">
        <v>75.0</v>
      </c>
      <c r="E219" s="10">
        <v>1.0</v>
      </c>
      <c r="F219" s="9">
        <v>2.0</v>
      </c>
      <c r="G219" s="9">
        <v>0.0</v>
      </c>
      <c r="H219" s="9">
        <v>1.0</v>
      </c>
      <c r="I219" s="9">
        <v>0.0</v>
      </c>
      <c r="J219" s="17">
        <v>6142.0</v>
      </c>
      <c r="K219" s="18">
        <v>4960.39</v>
      </c>
      <c r="L219" s="17">
        <v>6006.0</v>
      </c>
      <c r="M219" s="18">
        <v>5290.13</v>
      </c>
      <c r="N219" s="18">
        <v>11.9192</v>
      </c>
      <c r="O219" s="18">
        <v>3600.0</v>
      </c>
    </row>
    <row r="220">
      <c r="A220" s="8" t="s">
        <v>316</v>
      </c>
      <c r="B220" s="9">
        <v>30.0</v>
      </c>
      <c r="C220" s="14" t="s">
        <v>234</v>
      </c>
      <c r="D220" s="9">
        <v>75.0</v>
      </c>
      <c r="E220" s="10">
        <v>1.0</v>
      </c>
      <c r="F220" s="9">
        <v>3.0</v>
      </c>
      <c r="G220" s="9">
        <v>0.0</v>
      </c>
      <c r="H220" s="9">
        <v>1.0</v>
      </c>
      <c r="I220" s="9">
        <v>0.0</v>
      </c>
      <c r="J220" s="17">
        <v>5665.0</v>
      </c>
      <c r="K220" s="18">
        <v>4193.73</v>
      </c>
      <c r="L220" s="17">
        <v>5048.0</v>
      </c>
      <c r="M220" s="18">
        <v>4515.71</v>
      </c>
      <c r="N220" s="18">
        <v>10.5445</v>
      </c>
      <c r="O220" s="18">
        <v>3600.0</v>
      </c>
    </row>
    <row r="221">
      <c r="A221" s="8" t="s">
        <v>317</v>
      </c>
      <c r="B221" s="9">
        <v>30.0</v>
      </c>
      <c r="C221" s="14" t="s">
        <v>234</v>
      </c>
      <c r="D221" s="9">
        <v>75.0</v>
      </c>
      <c r="E221" s="10">
        <v>1.0</v>
      </c>
      <c r="F221" s="9">
        <v>4.0</v>
      </c>
      <c r="G221" s="9">
        <v>0.0</v>
      </c>
      <c r="H221" s="9">
        <v>1.0</v>
      </c>
      <c r="I221" s="9">
        <v>0.0</v>
      </c>
      <c r="J221" s="17">
        <v>5836.0</v>
      </c>
      <c r="K221" s="18">
        <v>4816.93</v>
      </c>
      <c r="L221" s="17">
        <v>5678.0</v>
      </c>
      <c r="M221" s="18">
        <v>5170.15</v>
      </c>
      <c r="N221" s="18">
        <v>8.94425</v>
      </c>
      <c r="O221" s="18">
        <v>3600.0</v>
      </c>
    </row>
    <row r="222">
      <c r="A222" s="8" t="s">
        <v>318</v>
      </c>
      <c r="B222" s="9">
        <v>30.0</v>
      </c>
      <c r="C222" s="14" t="s">
        <v>234</v>
      </c>
      <c r="D222" s="9">
        <v>75.0</v>
      </c>
      <c r="E222" s="10">
        <v>1.0</v>
      </c>
      <c r="F222" s="9">
        <v>5.0</v>
      </c>
      <c r="G222" s="9">
        <v>0.0</v>
      </c>
      <c r="H222" s="9">
        <v>1.0</v>
      </c>
      <c r="I222" s="9">
        <v>0.0</v>
      </c>
      <c r="J222" s="17">
        <v>5851.0</v>
      </c>
      <c r="K222" s="18">
        <v>4516.78</v>
      </c>
      <c r="L222" s="17">
        <v>5478.0</v>
      </c>
      <c r="M222" s="18">
        <v>4830.54</v>
      </c>
      <c r="N222" s="18">
        <v>11.8192</v>
      </c>
      <c r="O222" s="18">
        <v>3600.0</v>
      </c>
    </row>
    <row r="223">
      <c r="A223" s="8" t="s">
        <v>319</v>
      </c>
      <c r="B223" s="9">
        <v>30.0</v>
      </c>
      <c r="C223" s="14" t="s">
        <v>234</v>
      </c>
      <c r="D223" s="9">
        <v>75.0</v>
      </c>
      <c r="E223" s="10">
        <v>2.0</v>
      </c>
      <c r="F223" s="9">
        <v>1.0</v>
      </c>
      <c r="G223" s="9">
        <v>1.0</v>
      </c>
      <c r="H223" s="9">
        <v>0.0</v>
      </c>
      <c r="I223" s="9">
        <v>0.0</v>
      </c>
      <c r="J223" s="17">
        <v>56802.0</v>
      </c>
      <c r="K223" s="18">
        <v>51673.9</v>
      </c>
      <c r="L223" s="17">
        <v>52062.0</v>
      </c>
      <c r="M223" s="18">
        <v>52062.0</v>
      </c>
      <c r="N223" s="18">
        <v>0.0</v>
      </c>
      <c r="O223" s="18">
        <v>657.352</v>
      </c>
    </row>
    <row r="224">
      <c r="A224" s="8" t="s">
        <v>320</v>
      </c>
      <c r="B224" s="9">
        <v>30.0</v>
      </c>
      <c r="C224" s="14" t="s">
        <v>234</v>
      </c>
      <c r="D224" s="9">
        <v>75.0</v>
      </c>
      <c r="E224" s="10">
        <v>2.0</v>
      </c>
      <c r="F224" s="9">
        <v>2.0</v>
      </c>
      <c r="G224" s="9">
        <v>1.0</v>
      </c>
      <c r="H224" s="9">
        <v>0.0</v>
      </c>
      <c r="I224" s="9">
        <v>0.0</v>
      </c>
      <c r="J224" s="17">
        <v>65971.0</v>
      </c>
      <c r="K224" s="18">
        <v>59990.1</v>
      </c>
      <c r="L224" s="17">
        <v>60343.0</v>
      </c>
      <c r="M224" s="18">
        <v>60343.0</v>
      </c>
      <c r="N224" s="18">
        <v>0.0</v>
      </c>
      <c r="O224" s="18">
        <v>1208.65</v>
      </c>
    </row>
    <row r="225">
      <c r="A225" s="8" t="s">
        <v>321</v>
      </c>
      <c r="B225" s="9">
        <v>30.0</v>
      </c>
      <c r="C225" s="14" t="s">
        <v>234</v>
      </c>
      <c r="D225" s="9">
        <v>75.0</v>
      </c>
      <c r="E225" s="10">
        <v>2.0</v>
      </c>
      <c r="F225" s="9">
        <v>3.0</v>
      </c>
      <c r="G225" s="9">
        <v>0.0</v>
      </c>
      <c r="H225" s="9">
        <v>1.0</v>
      </c>
      <c r="I225" s="9">
        <v>0.0</v>
      </c>
      <c r="J225" s="17">
        <v>58255.0</v>
      </c>
      <c r="K225" s="18">
        <v>52635.2</v>
      </c>
      <c r="L225" s="17">
        <v>53178.0</v>
      </c>
      <c r="M225" s="18">
        <v>52910.2</v>
      </c>
      <c r="N225" s="18">
        <v>0.50368</v>
      </c>
      <c r="O225" s="18">
        <v>3600.0</v>
      </c>
    </row>
    <row r="226">
      <c r="A226" s="8" t="s">
        <v>322</v>
      </c>
      <c r="B226" s="9">
        <v>30.0</v>
      </c>
      <c r="C226" s="14" t="s">
        <v>234</v>
      </c>
      <c r="D226" s="9">
        <v>75.0</v>
      </c>
      <c r="E226" s="10">
        <v>2.0</v>
      </c>
      <c r="F226" s="9">
        <v>4.0</v>
      </c>
      <c r="G226" s="9">
        <v>1.0</v>
      </c>
      <c r="H226" s="9">
        <v>0.0</v>
      </c>
      <c r="I226" s="9">
        <v>0.0</v>
      </c>
      <c r="J226" s="17">
        <v>64664.0</v>
      </c>
      <c r="K226" s="18">
        <v>58874.8</v>
      </c>
      <c r="L226" s="17">
        <v>59057.0</v>
      </c>
      <c r="M226" s="18">
        <v>59057.0</v>
      </c>
      <c r="N226" s="18">
        <v>0.0</v>
      </c>
      <c r="O226" s="18">
        <v>31.175</v>
      </c>
    </row>
    <row r="227">
      <c r="A227" s="8" t="s">
        <v>323</v>
      </c>
      <c r="B227" s="9">
        <v>30.0</v>
      </c>
      <c r="C227" s="14" t="s">
        <v>234</v>
      </c>
      <c r="D227" s="9">
        <v>75.0</v>
      </c>
      <c r="E227" s="10">
        <v>2.0</v>
      </c>
      <c r="F227" s="9">
        <v>5.0</v>
      </c>
      <c r="G227" s="9">
        <v>0.0</v>
      </c>
      <c r="H227" s="9">
        <v>1.0</v>
      </c>
      <c r="I227" s="9">
        <v>0.0</v>
      </c>
      <c r="J227" s="17">
        <v>56097.0</v>
      </c>
      <c r="K227" s="18">
        <v>55401.9</v>
      </c>
      <c r="L227" s="17">
        <v>55967.0</v>
      </c>
      <c r="M227" s="18">
        <v>55751.0</v>
      </c>
      <c r="N227" s="18">
        <v>0.386022</v>
      </c>
      <c r="O227" s="18">
        <v>3600.0</v>
      </c>
    </row>
    <row r="228">
      <c r="A228" s="8" t="s">
        <v>324</v>
      </c>
      <c r="B228" s="9">
        <v>35.0</v>
      </c>
      <c r="C228" s="14" t="s">
        <v>234</v>
      </c>
      <c r="D228" s="9">
        <v>25.0</v>
      </c>
      <c r="E228" s="10">
        <v>0.6</v>
      </c>
      <c r="F228" s="9">
        <v>1.0</v>
      </c>
      <c r="G228" s="9">
        <v>1.0</v>
      </c>
      <c r="H228" s="9">
        <v>0.0</v>
      </c>
      <c r="I228" s="9">
        <v>0.0</v>
      </c>
      <c r="J228" s="17">
        <v>383.0</v>
      </c>
      <c r="K228" s="18">
        <v>183.0</v>
      </c>
      <c r="L228" s="17">
        <v>250.0</v>
      </c>
      <c r="M228" s="18">
        <v>250.0</v>
      </c>
      <c r="N228" s="18">
        <v>0.0</v>
      </c>
      <c r="O228" s="18">
        <v>573.847</v>
      </c>
    </row>
    <row r="229">
      <c r="A229" s="8" t="s">
        <v>325</v>
      </c>
      <c r="B229" s="9">
        <v>35.0</v>
      </c>
      <c r="C229" s="14" t="s">
        <v>234</v>
      </c>
      <c r="D229" s="9">
        <v>25.0</v>
      </c>
      <c r="E229" s="10">
        <v>0.6</v>
      </c>
      <c r="F229" s="9">
        <v>2.0</v>
      </c>
      <c r="G229" s="9">
        <v>1.0</v>
      </c>
      <c r="H229" s="9">
        <v>0.0</v>
      </c>
      <c r="I229" s="9">
        <v>0.0</v>
      </c>
      <c r="J229" s="17">
        <v>372.0</v>
      </c>
      <c r="K229" s="18">
        <v>186.0</v>
      </c>
      <c r="L229" s="17">
        <v>281.0</v>
      </c>
      <c r="M229" s="18">
        <v>281.0</v>
      </c>
      <c r="N229" s="18">
        <v>0.0</v>
      </c>
      <c r="O229" s="18">
        <v>2042.26</v>
      </c>
    </row>
    <row r="230">
      <c r="A230" s="8" t="s">
        <v>326</v>
      </c>
      <c r="B230" s="9">
        <v>35.0</v>
      </c>
      <c r="C230" s="14" t="s">
        <v>234</v>
      </c>
      <c r="D230" s="9">
        <v>25.0</v>
      </c>
      <c r="E230" s="10">
        <v>0.6</v>
      </c>
      <c r="F230" s="9">
        <v>3.0</v>
      </c>
      <c r="G230" s="9">
        <v>1.0</v>
      </c>
      <c r="H230" s="9">
        <v>0.0</v>
      </c>
      <c r="I230" s="9">
        <v>0.0</v>
      </c>
      <c r="J230" s="17">
        <v>220.0</v>
      </c>
      <c r="K230" s="18">
        <v>132.0</v>
      </c>
      <c r="L230" s="17">
        <v>176.0</v>
      </c>
      <c r="M230" s="18">
        <v>176.0</v>
      </c>
      <c r="N230" s="18">
        <v>0.0</v>
      </c>
      <c r="O230" s="18">
        <v>1977.15</v>
      </c>
    </row>
    <row r="231">
      <c r="A231" s="8" t="s">
        <v>327</v>
      </c>
      <c r="B231" s="9">
        <v>35.0</v>
      </c>
      <c r="C231" s="14" t="s">
        <v>234</v>
      </c>
      <c r="D231" s="9">
        <v>25.0</v>
      </c>
      <c r="E231" s="10">
        <v>0.6</v>
      </c>
      <c r="F231" s="9">
        <v>4.0</v>
      </c>
      <c r="G231" s="9">
        <v>0.0</v>
      </c>
      <c r="H231" s="9">
        <v>1.0</v>
      </c>
      <c r="I231" s="9">
        <v>0.0</v>
      </c>
      <c r="J231" s="17">
        <v>426.0</v>
      </c>
      <c r="K231" s="18">
        <v>214.611</v>
      </c>
      <c r="L231" s="17">
        <v>355.0</v>
      </c>
      <c r="M231" s="18">
        <v>314.0</v>
      </c>
      <c r="N231" s="18">
        <v>11.5494</v>
      </c>
      <c r="O231" s="18">
        <v>3600.0</v>
      </c>
    </row>
    <row r="232">
      <c r="A232" s="8" t="s">
        <v>328</v>
      </c>
      <c r="B232" s="9">
        <v>35.0</v>
      </c>
      <c r="C232" s="14" t="s">
        <v>234</v>
      </c>
      <c r="D232" s="9">
        <v>25.0</v>
      </c>
      <c r="E232" s="10">
        <v>0.6</v>
      </c>
      <c r="F232" s="9">
        <v>5.0</v>
      </c>
      <c r="G232" s="9">
        <v>0.0</v>
      </c>
      <c r="H232" s="9">
        <v>1.0</v>
      </c>
      <c r="I232" s="9">
        <v>0.0</v>
      </c>
      <c r="J232" s="17">
        <v>497.0</v>
      </c>
      <c r="K232" s="18">
        <v>219.109</v>
      </c>
      <c r="L232" s="17">
        <v>355.0</v>
      </c>
      <c r="M232" s="18">
        <v>318.187</v>
      </c>
      <c r="N232" s="18">
        <v>10.3699</v>
      </c>
      <c r="O232" s="18">
        <v>3600.0</v>
      </c>
    </row>
    <row r="233">
      <c r="A233" s="8" t="s">
        <v>329</v>
      </c>
      <c r="B233" s="9">
        <v>35.0</v>
      </c>
      <c r="C233" s="14" t="s">
        <v>234</v>
      </c>
      <c r="D233" s="9">
        <v>25.0</v>
      </c>
      <c r="E233" s="10">
        <v>1.0</v>
      </c>
      <c r="F233" s="9">
        <v>1.0</v>
      </c>
      <c r="G233" s="9">
        <v>0.0</v>
      </c>
      <c r="H233" s="9">
        <v>1.0</v>
      </c>
      <c r="I233" s="9">
        <v>0.0</v>
      </c>
      <c r="J233" s="17">
        <v>1908.0</v>
      </c>
      <c r="K233" s="18">
        <v>1325.0</v>
      </c>
      <c r="L233" s="17">
        <v>1582.0</v>
      </c>
      <c r="M233" s="18">
        <v>1325.0</v>
      </c>
      <c r="N233" s="18">
        <v>16.2453</v>
      </c>
      <c r="O233" s="18">
        <v>3600.0</v>
      </c>
    </row>
    <row r="234">
      <c r="A234" s="8" t="s">
        <v>330</v>
      </c>
      <c r="B234" s="9">
        <v>35.0</v>
      </c>
      <c r="C234" s="14" t="s">
        <v>234</v>
      </c>
      <c r="D234" s="9">
        <v>25.0</v>
      </c>
      <c r="E234" s="10">
        <v>1.0</v>
      </c>
      <c r="F234" s="9">
        <v>2.0</v>
      </c>
      <c r="G234" s="9">
        <v>0.0</v>
      </c>
      <c r="H234" s="9">
        <v>1.0</v>
      </c>
      <c r="I234" s="9">
        <v>0.0</v>
      </c>
      <c r="J234" s="17">
        <v>2184.0</v>
      </c>
      <c r="K234" s="18">
        <v>1359.28</v>
      </c>
      <c r="L234" s="17">
        <v>1539.0</v>
      </c>
      <c r="M234" s="18">
        <v>1359.28</v>
      </c>
      <c r="N234" s="18">
        <v>11.6775</v>
      </c>
      <c r="O234" s="18">
        <v>3600.0</v>
      </c>
    </row>
    <row r="235">
      <c r="A235" s="8" t="s">
        <v>331</v>
      </c>
      <c r="B235" s="9">
        <v>35.0</v>
      </c>
      <c r="C235" s="14" t="s">
        <v>234</v>
      </c>
      <c r="D235" s="9">
        <v>25.0</v>
      </c>
      <c r="E235" s="10">
        <v>1.0</v>
      </c>
      <c r="F235" s="9">
        <v>3.0</v>
      </c>
      <c r="G235" s="9">
        <v>0.0</v>
      </c>
      <c r="H235" s="9">
        <v>1.0</v>
      </c>
      <c r="I235" s="9">
        <v>0.0</v>
      </c>
      <c r="J235" s="17">
        <v>1227.0</v>
      </c>
      <c r="K235" s="18">
        <v>966.655</v>
      </c>
      <c r="L235" s="17">
        <v>991.0</v>
      </c>
      <c r="M235" s="18">
        <v>966.655</v>
      </c>
      <c r="N235" s="18">
        <v>2.45659</v>
      </c>
      <c r="O235" s="18">
        <v>3600.0</v>
      </c>
    </row>
    <row r="236">
      <c r="A236" s="8" t="s">
        <v>332</v>
      </c>
      <c r="B236" s="9">
        <v>35.0</v>
      </c>
      <c r="C236" s="14" t="s">
        <v>234</v>
      </c>
      <c r="D236" s="9">
        <v>25.0</v>
      </c>
      <c r="E236" s="10">
        <v>1.0</v>
      </c>
      <c r="F236" s="9">
        <v>4.0</v>
      </c>
      <c r="G236" s="9">
        <v>0.0</v>
      </c>
      <c r="H236" s="9">
        <v>1.0</v>
      </c>
      <c r="I236" s="9">
        <v>0.0</v>
      </c>
      <c r="J236" s="17">
        <v>2163.0</v>
      </c>
      <c r="K236" s="18">
        <v>1541.41</v>
      </c>
      <c r="L236" s="17">
        <v>1820.0</v>
      </c>
      <c r="M236" s="18">
        <v>1541.41</v>
      </c>
      <c r="N236" s="18">
        <v>15.3073</v>
      </c>
      <c r="O236" s="18">
        <v>3600.0</v>
      </c>
    </row>
    <row r="237">
      <c r="A237" s="8" t="s">
        <v>333</v>
      </c>
      <c r="B237" s="9">
        <v>35.0</v>
      </c>
      <c r="C237" s="14" t="s">
        <v>234</v>
      </c>
      <c r="D237" s="9">
        <v>25.0</v>
      </c>
      <c r="E237" s="10">
        <v>1.0</v>
      </c>
      <c r="F237" s="9">
        <v>5.0</v>
      </c>
      <c r="G237" s="9">
        <v>0.0</v>
      </c>
      <c r="H237" s="9">
        <v>1.0</v>
      </c>
      <c r="I237" s="9">
        <v>0.0</v>
      </c>
      <c r="J237" s="17">
        <v>2294.0</v>
      </c>
      <c r="K237" s="18">
        <v>1538.31</v>
      </c>
      <c r="L237" s="17">
        <v>1848.0</v>
      </c>
      <c r="M237" s="18">
        <v>1538.31</v>
      </c>
      <c r="N237" s="18">
        <v>16.7582</v>
      </c>
      <c r="O237" s="18">
        <v>3600.0</v>
      </c>
    </row>
    <row r="238">
      <c r="A238" s="8" t="s">
        <v>334</v>
      </c>
      <c r="B238" s="9">
        <v>35.0</v>
      </c>
      <c r="C238" s="14" t="s">
        <v>234</v>
      </c>
      <c r="D238" s="9">
        <v>25.0</v>
      </c>
      <c r="E238" s="10">
        <v>2.0</v>
      </c>
      <c r="F238" s="9">
        <v>1.0</v>
      </c>
      <c r="G238" s="9">
        <v>1.0</v>
      </c>
      <c r="H238" s="9">
        <v>0.0</v>
      </c>
      <c r="I238" s="9">
        <v>0.0</v>
      </c>
      <c r="J238" s="17">
        <v>20669.0</v>
      </c>
      <c r="K238" s="18">
        <v>18790.0</v>
      </c>
      <c r="L238" s="17">
        <v>18790.0</v>
      </c>
      <c r="M238" s="18">
        <v>18790.0</v>
      </c>
      <c r="N238" s="18">
        <v>0.0</v>
      </c>
      <c r="O238" s="18">
        <v>127.252</v>
      </c>
    </row>
    <row r="239">
      <c r="A239" s="8" t="s">
        <v>335</v>
      </c>
      <c r="B239" s="9">
        <v>35.0</v>
      </c>
      <c r="C239" s="14" t="s">
        <v>234</v>
      </c>
      <c r="D239" s="9">
        <v>25.0</v>
      </c>
      <c r="E239" s="10">
        <v>2.0</v>
      </c>
      <c r="F239" s="9">
        <v>2.0</v>
      </c>
      <c r="G239" s="9">
        <v>0.0</v>
      </c>
      <c r="H239" s="9">
        <v>1.0</v>
      </c>
      <c r="I239" s="9">
        <v>0.0</v>
      </c>
      <c r="J239" s="17">
        <v>19402.0</v>
      </c>
      <c r="K239" s="18">
        <v>19208.2</v>
      </c>
      <c r="L239" s="17">
        <v>19390.0</v>
      </c>
      <c r="M239" s="18">
        <v>19208.2</v>
      </c>
      <c r="N239" s="18">
        <v>0.9375</v>
      </c>
      <c r="O239" s="18">
        <v>3600.0</v>
      </c>
    </row>
    <row r="240">
      <c r="A240" s="8" t="s">
        <v>336</v>
      </c>
      <c r="B240" s="9">
        <v>35.0</v>
      </c>
      <c r="C240" s="14" t="s">
        <v>234</v>
      </c>
      <c r="D240" s="9">
        <v>25.0</v>
      </c>
      <c r="E240" s="10">
        <v>2.0</v>
      </c>
      <c r="F240" s="9">
        <v>3.0</v>
      </c>
      <c r="G240" s="9">
        <v>0.0</v>
      </c>
      <c r="H240" s="9">
        <v>1.0</v>
      </c>
      <c r="I240" s="9">
        <v>0.0</v>
      </c>
      <c r="J240" s="17">
        <v>15125.0</v>
      </c>
      <c r="K240" s="18">
        <v>13702.6</v>
      </c>
      <c r="L240" s="17">
        <v>13750.0</v>
      </c>
      <c r="M240" s="18">
        <v>13702.6</v>
      </c>
      <c r="N240" s="18">
        <v>0.344828</v>
      </c>
      <c r="O240" s="18">
        <v>3600.0</v>
      </c>
    </row>
    <row r="241">
      <c r="A241" s="8" t="s">
        <v>337</v>
      </c>
      <c r="B241" s="9">
        <v>35.0</v>
      </c>
      <c r="C241" s="14" t="s">
        <v>234</v>
      </c>
      <c r="D241" s="9">
        <v>25.0</v>
      </c>
      <c r="E241" s="10">
        <v>2.0</v>
      </c>
      <c r="F241" s="9">
        <v>4.0</v>
      </c>
      <c r="G241" s="9">
        <v>0.0</v>
      </c>
      <c r="H241" s="9">
        <v>1.0</v>
      </c>
      <c r="I241" s="9">
        <v>0.0</v>
      </c>
      <c r="J241" s="17">
        <v>24112.0</v>
      </c>
      <c r="K241" s="18">
        <v>21869.0</v>
      </c>
      <c r="L241" s="17">
        <v>21931.0</v>
      </c>
      <c r="M241" s="18">
        <v>21869.0</v>
      </c>
      <c r="N241" s="18">
        <v>0.282599</v>
      </c>
      <c r="O241" s="18">
        <v>3600.0</v>
      </c>
    </row>
    <row r="242">
      <c r="A242" s="8" t="s">
        <v>338</v>
      </c>
      <c r="B242" s="9">
        <v>35.0</v>
      </c>
      <c r="C242" s="14" t="s">
        <v>234</v>
      </c>
      <c r="D242" s="9">
        <v>25.0</v>
      </c>
      <c r="E242" s="10">
        <v>2.0</v>
      </c>
      <c r="F242" s="9">
        <v>5.0</v>
      </c>
      <c r="G242" s="9">
        <v>0.0</v>
      </c>
      <c r="H242" s="9">
        <v>1.0</v>
      </c>
      <c r="I242" s="9">
        <v>0.0</v>
      </c>
      <c r="J242" s="17">
        <v>24090.0</v>
      </c>
      <c r="K242" s="18">
        <v>21875.9</v>
      </c>
      <c r="L242" s="17">
        <v>21900.0</v>
      </c>
      <c r="M242" s="18">
        <v>21875.9</v>
      </c>
      <c r="N242" s="18">
        <v>0.10989</v>
      </c>
      <c r="O242" s="18">
        <v>3600.0</v>
      </c>
    </row>
    <row r="243">
      <c r="A243" s="8" t="s">
        <v>339</v>
      </c>
      <c r="B243" s="9">
        <v>35.0</v>
      </c>
      <c r="C243" s="14" t="s">
        <v>234</v>
      </c>
      <c r="D243" s="9">
        <v>50.0</v>
      </c>
      <c r="E243" s="10">
        <v>0.6</v>
      </c>
      <c r="F243" s="9">
        <v>1.0</v>
      </c>
      <c r="G243" s="9">
        <v>0.0</v>
      </c>
      <c r="H243" s="9">
        <v>1.0</v>
      </c>
      <c r="I243" s="9">
        <v>0.0</v>
      </c>
      <c r="J243" s="17">
        <v>923.0</v>
      </c>
      <c r="K243" s="18">
        <v>467.427</v>
      </c>
      <c r="L243" s="17">
        <v>807.0</v>
      </c>
      <c r="M243" s="18">
        <v>651.232</v>
      </c>
      <c r="N243" s="18">
        <v>19.3021</v>
      </c>
      <c r="O243" s="18">
        <v>3600.0</v>
      </c>
    </row>
    <row r="244">
      <c r="A244" s="8" t="s">
        <v>340</v>
      </c>
      <c r="B244" s="9">
        <v>35.0</v>
      </c>
      <c r="C244" s="14" t="s">
        <v>234</v>
      </c>
      <c r="D244" s="9">
        <v>50.0</v>
      </c>
      <c r="E244" s="10">
        <v>0.6</v>
      </c>
      <c r="F244" s="9">
        <v>2.0</v>
      </c>
      <c r="G244" s="9">
        <v>0.0</v>
      </c>
      <c r="H244" s="9">
        <v>1.0</v>
      </c>
      <c r="I244" s="9">
        <v>0.0</v>
      </c>
      <c r="J244" s="17">
        <v>1026.0</v>
      </c>
      <c r="K244" s="18">
        <v>506.266</v>
      </c>
      <c r="L244" s="17">
        <v>816.0</v>
      </c>
      <c r="M244" s="18">
        <v>737.338</v>
      </c>
      <c r="N244" s="18">
        <v>9.63992</v>
      </c>
      <c r="O244" s="18">
        <v>3600.0</v>
      </c>
    </row>
    <row r="245">
      <c r="A245" s="8" t="s">
        <v>341</v>
      </c>
      <c r="B245" s="9">
        <v>35.0</v>
      </c>
      <c r="C245" s="14" t="s">
        <v>234</v>
      </c>
      <c r="D245" s="9">
        <v>50.0</v>
      </c>
      <c r="E245" s="10">
        <v>0.6</v>
      </c>
      <c r="F245" s="9">
        <v>3.0</v>
      </c>
      <c r="G245" s="9">
        <v>0.0</v>
      </c>
      <c r="H245" s="9">
        <v>1.0</v>
      </c>
      <c r="I245" s="9">
        <v>0.0</v>
      </c>
      <c r="J245" s="17">
        <v>1090.0</v>
      </c>
      <c r="K245" s="18">
        <v>539.459</v>
      </c>
      <c r="L245" s="17">
        <v>884.0</v>
      </c>
      <c r="M245" s="18">
        <v>748.971</v>
      </c>
      <c r="N245" s="18">
        <v>15.2747</v>
      </c>
      <c r="O245" s="18">
        <v>3600.0</v>
      </c>
    </row>
    <row r="246">
      <c r="A246" s="8" t="s">
        <v>342</v>
      </c>
      <c r="B246" s="9">
        <v>35.0</v>
      </c>
      <c r="C246" s="14" t="s">
        <v>234</v>
      </c>
      <c r="D246" s="9">
        <v>50.0</v>
      </c>
      <c r="E246" s="10">
        <v>0.6</v>
      </c>
      <c r="F246" s="9">
        <v>4.0</v>
      </c>
      <c r="G246" s="9">
        <v>1.0</v>
      </c>
      <c r="H246" s="9">
        <v>0.0</v>
      </c>
      <c r="I246" s="9">
        <v>0.0</v>
      </c>
      <c r="J246" s="17">
        <v>1057.0</v>
      </c>
      <c r="K246" s="18">
        <v>610.071</v>
      </c>
      <c r="L246" s="17">
        <v>920.0</v>
      </c>
      <c r="M246" s="18">
        <v>920.0</v>
      </c>
      <c r="N246" s="18">
        <v>0.0</v>
      </c>
      <c r="O246" s="18">
        <v>3459.97</v>
      </c>
    </row>
    <row r="247">
      <c r="A247" s="8" t="s">
        <v>343</v>
      </c>
      <c r="B247" s="9">
        <v>35.0</v>
      </c>
      <c r="C247" s="14" t="s">
        <v>234</v>
      </c>
      <c r="D247" s="9">
        <v>50.0</v>
      </c>
      <c r="E247" s="10">
        <v>0.6</v>
      </c>
      <c r="F247" s="9">
        <v>5.0</v>
      </c>
      <c r="G247" s="9">
        <v>0.0</v>
      </c>
      <c r="H247" s="9">
        <v>1.0</v>
      </c>
      <c r="I247" s="9">
        <v>0.0</v>
      </c>
      <c r="J247" s="17">
        <v>880.0</v>
      </c>
      <c r="K247" s="18">
        <v>542.485</v>
      </c>
      <c r="L247" s="17">
        <v>794.0</v>
      </c>
      <c r="M247" s="18">
        <v>717.623</v>
      </c>
      <c r="N247" s="18">
        <v>9.61925</v>
      </c>
      <c r="O247" s="18">
        <v>3600.0</v>
      </c>
    </row>
    <row r="248">
      <c r="A248" s="8" t="s">
        <v>344</v>
      </c>
      <c r="B248" s="9">
        <v>35.0</v>
      </c>
      <c r="C248" s="14" t="s">
        <v>234</v>
      </c>
      <c r="D248" s="9">
        <v>50.0</v>
      </c>
      <c r="E248" s="10">
        <v>1.0</v>
      </c>
      <c r="F248" s="9">
        <v>1.0</v>
      </c>
      <c r="G248" s="9">
        <v>0.0</v>
      </c>
      <c r="H248" s="9">
        <v>1.0</v>
      </c>
      <c r="I248" s="9">
        <v>0.0</v>
      </c>
      <c r="J248" s="17">
        <v>4035.0</v>
      </c>
      <c r="K248" s="18">
        <v>2530.15</v>
      </c>
      <c r="L248" s="17">
        <v>3156.0</v>
      </c>
      <c r="M248" s="18">
        <v>2631.34</v>
      </c>
      <c r="N248" s="18">
        <v>16.6241</v>
      </c>
      <c r="O248" s="18">
        <v>3600.0</v>
      </c>
    </row>
    <row r="249">
      <c r="A249" s="8" t="s">
        <v>345</v>
      </c>
      <c r="B249" s="9">
        <v>35.0</v>
      </c>
      <c r="C249" s="14" t="s">
        <v>234</v>
      </c>
      <c r="D249" s="9">
        <v>50.0</v>
      </c>
      <c r="E249" s="10">
        <v>1.0</v>
      </c>
      <c r="F249" s="9">
        <v>2.0</v>
      </c>
      <c r="G249" s="9">
        <v>0.0</v>
      </c>
      <c r="H249" s="9">
        <v>1.0</v>
      </c>
      <c r="I249" s="9">
        <v>0.0</v>
      </c>
      <c r="J249" s="17">
        <v>3744.0</v>
      </c>
      <c r="K249" s="18">
        <v>2545.26</v>
      </c>
      <c r="L249" s="17">
        <v>3246.0</v>
      </c>
      <c r="M249" s="18">
        <v>2712.81</v>
      </c>
      <c r="N249" s="18">
        <v>16.4262</v>
      </c>
      <c r="O249" s="18">
        <v>3600.0</v>
      </c>
    </row>
    <row r="250">
      <c r="A250" s="8" t="s">
        <v>346</v>
      </c>
      <c r="B250" s="9">
        <v>35.0</v>
      </c>
      <c r="C250" s="14" t="s">
        <v>234</v>
      </c>
      <c r="D250" s="9">
        <v>50.0</v>
      </c>
      <c r="E250" s="10">
        <v>1.0</v>
      </c>
      <c r="F250" s="9">
        <v>3.0</v>
      </c>
      <c r="G250" s="9">
        <v>0.0</v>
      </c>
      <c r="H250" s="9">
        <v>1.0</v>
      </c>
      <c r="I250" s="9">
        <v>0.0</v>
      </c>
      <c r="J250" s="17">
        <v>4240.0</v>
      </c>
      <c r="K250" s="18">
        <v>2703.84</v>
      </c>
      <c r="L250" s="17">
        <v>3357.0</v>
      </c>
      <c r="M250" s="18">
        <v>2852.89</v>
      </c>
      <c r="N250" s="18">
        <v>15.0166</v>
      </c>
      <c r="O250" s="18">
        <v>3600.0</v>
      </c>
    </row>
    <row r="251">
      <c r="A251" s="8" t="s">
        <v>347</v>
      </c>
      <c r="B251" s="9">
        <v>35.0</v>
      </c>
      <c r="C251" s="14" t="s">
        <v>234</v>
      </c>
      <c r="D251" s="9">
        <v>50.0</v>
      </c>
      <c r="E251" s="10">
        <v>1.0</v>
      </c>
      <c r="F251" s="9">
        <v>4.0</v>
      </c>
      <c r="G251" s="9">
        <v>0.0</v>
      </c>
      <c r="H251" s="9">
        <v>1.0</v>
      </c>
      <c r="I251" s="9">
        <v>0.0</v>
      </c>
      <c r="J251" s="17">
        <v>4075.0</v>
      </c>
      <c r="K251" s="18">
        <v>2943.83</v>
      </c>
      <c r="L251" s="17">
        <v>3620.0</v>
      </c>
      <c r="M251" s="18">
        <v>3163.07</v>
      </c>
      <c r="N251" s="18">
        <v>12.6223</v>
      </c>
      <c r="O251" s="18">
        <v>3600.0</v>
      </c>
    </row>
    <row r="252">
      <c r="A252" s="8" t="s">
        <v>348</v>
      </c>
      <c r="B252" s="9">
        <v>35.0</v>
      </c>
      <c r="C252" s="14" t="s">
        <v>234</v>
      </c>
      <c r="D252" s="9">
        <v>50.0</v>
      </c>
      <c r="E252" s="10">
        <v>1.0</v>
      </c>
      <c r="F252" s="9">
        <v>5.0</v>
      </c>
      <c r="G252" s="9">
        <v>0.0</v>
      </c>
      <c r="H252" s="9">
        <v>1.0</v>
      </c>
      <c r="I252" s="9">
        <v>0.0</v>
      </c>
      <c r="J252" s="17">
        <v>3737.0</v>
      </c>
      <c r="K252" s="18">
        <v>2742.68</v>
      </c>
      <c r="L252" s="17">
        <v>3402.0</v>
      </c>
      <c r="M252" s="18">
        <v>2844.51</v>
      </c>
      <c r="N252" s="18">
        <v>16.3872</v>
      </c>
      <c r="O252" s="18">
        <v>3600.0</v>
      </c>
    </row>
    <row r="253">
      <c r="A253" s="8" t="s">
        <v>349</v>
      </c>
      <c r="B253" s="9">
        <v>35.0</v>
      </c>
      <c r="C253" s="14" t="s">
        <v>234</v>
      </c>
      <c r="D253" s="9">
        <v>50.0</v>
      </c>
      <c r="E253" s="10">
        <v>2.0</v>
      </c>
      <c r="F253" s="9">
        <v>1.0</v>
      </c>
      <c r="G253" s="9">
        <v>0.0</v>
      </c>
      <c r="H253" s="9">
        <v>1.0</v>
      </c>
      <c r="I253" s="9">
        <v>0.0</v>
      </c>
      <c r="J253" s="17">
        <v>39402.0</v>
      </c>
      <c r="K253" s="18">
        <v>35550.4</v>
      </c>
      <c r="L253" s="17">
        <v>35984.0</v>
      </c>
      <c r="M253" s="18">
        <v>35557.0</v>
      </c>
      <c r="N253" s="18">
        <v>1.1866</v>
      </c>
      <c r="O253" s="18">
        <v>3600.0</v>
      </c>
    </row>
    <row r="254">
      <c r="A254" s="8" t="s">
        <v>350</v>
      </c>
      <c r="B254" s="9">
        <v>35.0</v>
      </c>
      <c r="C254" s="14" t="s">
        <v>234</v>
      </c>
      <c r="D254" s="9">
        <v>50.0</v>
      </c>
      <c r="E254" s="10">
        <v>2.0</v>
      </c>
      <c r="F254" s="9">
        <v>2.0</v>
      </c>
      <c r="G254" s="9">
        <v>0.0</v>
      </c>
      <c r="H254" s="9">
        <v>1.0</v>
      </c>
      <c r="I254" s="9">
        <v>0.0</v>
      </c>
      <c r="J254" s="17">
        <v>39084.0</v>
      </c>
      <c r="K254" s="18">
        <v>35418.2</v>
      </c>
      <c r="L254" s="17">
        <v>35677.0</v>
      </c>
      <c r="M254" s="18">
        <v>35463.3</v>
      </c>
      <c r="N254" s="18">
        <v>0.599093</v>
      </c>
      <c r="O254" s="18">
        <v>3600.0</v>
      </c>
    </row>
    <row r="255">
      <c r="A255" s="8" t="s">
        <v>351</v>
      </c>
      <c r="B255" s="9">
        <v>35.0</v>
      </c>
      <c r="C255" s="14" t="s">
        <v>234</v>
      </c>
      <c r="D255" s="9">
        <v>50.0</v>
      </c>
      <c r="E255" s="10">
        <v>2.0</v>
      </c>
      <c r="F255" s="9">
        <v>3.0</v>
      </c>
      <c r="G255" s="9">
        <v>0.0</v>
      </c>
      <c r="H255" s="9">
        <v>1.0</v>
      </c>
      <c r="I255" s="9">
        <v>0.0</v>
      </c>
      <c r="J255" s="17">
        <v>41360.0</v>
      </c>
      <c r="K255" s="18">
        <v>37290.4</v>
      </c>
      <c r="L255" s="17">
        <v>37648.0</v>
      </c>
      <c r="M255" s="18">
        <v>37304.0</v>
      </c>
      <c r="N255" s="18">
        <v>0.913733</v>
      </c>
      <c r="O255" s="18">
        <v>3600.0</v>
      </c>
    </row>
    <row r="256">
      <c r="A256" s="8" t="s">
        <v>352</v>
      </c>
      <c r="B256" s="9">
        <v>35.0</v>
      </c>
      <c r="C256" s="14" t="s">
        <v>234</v>
      </c>
      <c r="D256" s="9">
        <v>50.0</v>
      </c>
      <c r="E256" s="10">
        <v>2.0</v>
      </c>
      <c r="F256" s="9">
        <v>4.0</v>
      </c>
      <c r="G256" s="9">
        <v>0.0</v>
      </c>
      <c r="H256" s="9">
        <v>1.0</v>
      </c>
      <c r="I256" s="9">
        <v>0.0</v>
      </c>
      <c r="J256" s="17">
        <v>44319.0</v>
      </c>
      <c r="K256" s="18">
        <v>39873.3</v>
      </c>
      <c r="L256" s="17">
        <v>40311.0</v>
      </c>
      <c r="M256" s="18">
        <v>39891.0</v>
      </c>
      <c r="N256" s="18">
        <v>1.04197</v>
      </c>
      <c r="O256" s="18">
        <v>3600.0</v>
      </c>
    </row>
    <row r="257">
      <c r="A257" s="8" t="s">
        <v>353</v>
      </c>
      <c r="B257" s="9">
        <v>35.0</v>
      </c>
      <c r="C257" s="14" t="s">
        <v>234</v>
      </c>
      <c r="D257" s="9">
        <v>50.0</v>
      </c>
      <c r="E257" s="10">
        <v>2.0</v>
      </c>
      <c r="F257" s="9">
        <v>5.0</v>
      </c>
      <c r="G257" s="9">
        <v>0.0</v>
      </c>
      <c r="H257" s="9">
        <v>1.0</v>
      </c>
      <c r="I257" s="9">
        <v>0.0</v>
      </c>
      <c r="J257" s="17">
        <v>42526.0</v>
      </c>
      <c r="K257" s="18">
        <v>38356.0</v>
      </c>
      <c r="L257" s="17">
        <v>38733.0</v>
      </c>
      <c r="M257" s="18">
        <v>38368.2</v>
      </c>
      <c r="N257" s="18">
        <v>0.941733</v>
      </c>
      <c r="O257" s="18">
        <v>3600.0</v>
      </c>
    </row>
    <row r="258">
      <c r="A258" s="8" t="s">
        <v>354</v>
      </c>
      <c r="B258" s="9">
        <v>35.0</v>
      </c>
      <c r="C258" s="14" t="s">
        <v>234</v>
      </c>
      <c r="D258" s="9">
        <v>75.0</v>
      </c>
      <c r="E258" s="10">
        <v>0.6</v>
      </c>
      <c r="F258" s="9">
        <v>1.0</v>
      </c>
      <c r="G258" s="9">
        <v>0.0</v>
      </c>
      <c r="H258" s="9">
        <v>1.0</v>
      </c>
      <c r="I258" s="9">
        <v>0.0</v>
      </c>
      <c r="J258" s="17">
        <v>2096.0</v>
      </c>
      <c r="K258" s="18">
        <v>1060.15</v>
      </c>
      <c r="L258" s="17">
        <v>1704.0</v>
      </c>
      <c r="M258" s="18">
        <v>1401.03</v>
      </c>
      <c r="N258" s="18">
        <v>17.78</v>
      </c>
      <c r="O258" s="18">
        <v>3600.0</v>
      </c>
    </row>
    <row r="259">
      <c r="A259" s="8" t="s">
        <v>355</v>
      </c>
      <c r="B259" s="9">
        <v>35.0</v>
      </c>
      <c r="C259" s="14" t="s">
        <v>234</v>
      </c>
      <c r="D259" s="9">
        <v>75.0</v>
      </c>
      <c r="E259" s="10">
        <v>0.6</v>
      </c>
      <c r="F259" s="9">
        <v>2.0</v>
      </c>
      <c r="G259" s="9">
        <v>0.0</v>
      </c>
      <c r="H259" s="9">
        <v>1.0</v>
      </c>
      <c r="I259" s="9">
        <v>0.0</v>
      </c>
      <c r="J259" s="17">
        <v>2024.0</v>
      </c>
      <c r="K259" s="18">
        <v>896.061</v>
      </c>
      <c r="L259" s="17">
        <v>1609.0</v>
      </c>
      <c r="M259" s="18">
        <v>1244.88</v>
      </c>
      <c r="N259" s="18">
        <v>22.6302</v>
      </c>
      <c r="O259" s="18">
        <v>3600.0</v>
      </c>
    </row>
    <row r="260">
      <c r="A260" s="8" t="s">
        <v>356</v>
      </c>
      <c r="B260" s="9">
        <v>35.0</v>
      </c>
      <c r="C260" s="14" t="s">
        <v>234</v>
      </c>
      <c r="D260" s="9">
        <v>75.0</v>
      </c>
      <c r="E260" s="10">
        <v>0.6</v>
      </c>
      <c r="F260" s="9">
        <v>3.0</v>
      </c>
      <c r="G260" s="9">
        <v>0.0</v>
      </c>
      <c r="H260" s="9">
        <v>1.0</v>
      </c>
      <c r="I260" s="9">
        <v>0.0</v>
      </c>
      <c r="J260" s="17">
        <v>2063.0</v>
      </c>
      <c r="K260" s="18">
        <v>1039.36</v>
      </c>
      <c r="L260" s="17">
        <v>1722.0</v>
      </c>
      <c r="M260" s="18">
        <v>1404.73</v>
      </c>
      <c r="N260" s="18">
        <v>18.4247</v>
      </c>
      <c r="O260" s="18">
        <v>3600.0</v>
      </c>
    </row>
    <row r="261">
      <c r="A261" s="8" t="s">
        <v>357</v>
      </c>
      <c r="B261" s="9">
        <v>35.0</v>
      </c>
      <c r="C261" s="14" t="s">
        <v>234</v>
      </c>
      <c r="D261" s="9">
        <v>75.0</v>
      </c>
      <c r="E261" s="10">
        <v>0.6</v>
      </c>
      <c r="F261" s="9">
        <v>4.0</v>
      </c>
      <c r="G261" s="9">
        <v>0.0</v>
      </c>
      <c r="H261" s="9">
        <v>1.0</v>
      </c>
      <c r="I261" s="9">
        <v>0.0</v>
      </c>
      <c r="J261" s="17">
        <v>2195.0</v>
      </c>
      <c r="K261" s="18">
        <v>1156.07</v>
      </c>
      <c r="L261" s="17">
        <v>1904.0</v>
      </c>
      <c r="M261" s="18">
        <v>1525.95</v>
      </c>
      <c r="N261" s="18">
        <v>19.8556</v>
      </c>
      <c r="O261" s="18">
        <v>3600.0</v>
      </c>
    </row>
    <row r="262">
      <c r="A262" s="8" t="s">
        <v>358</v>
      </c>
      <c r="B262" s="9">
        <v>35.0</v>
      </c>
      <c r="C262" s="14" t="s">
        <v>234</v>
      </c>
      <c r="D262" s="9">
        <v>75.0</v>
      </c>
      <c r="E262" s="10">
        <v>0.6</v>
      </c>
      <c r="F262" s="9">
        <v>5.0</v>
      </c>
      <c r="G262" s="9">
        <v>0.0</v>
      </c>
      <c r="H262" s="9">
        <v>1.0</v>
      </c>
      <c r="I262" s="9">
        <v>0.0</v>
      </c>
      <c r="J262" s="17">
        <v>1996.0</v>
      </c>
      <c r="K262" s="18">
        <v>924.499</v>
      </c>
      <c r="L262" s="17">
        <v>1737.0</v>
      </c>
      <c r="M262" s="18">
        <v>1280.82</v>
      </c>
      <c r="N262" s="18">
        <v>26.2628</v>
      </c>
      <c r="O262" s="18">
        <v>3600.0</v>
      </c>
    </row>
    <row r="263">
      <c r="A263" s="8" t="s">
        <v>359</v>
      </c>
      <c r="B263" s="9">
        <v>35.0</v>
      </c>
      <c r="C263" s="14" t="s">
        <v>234</v>
      </c>
      <c r="D263" s="9">
        <v>75.0</v>
      </c>
      <c r="E263" s="10">
        <v>1.0</v>
      </c>
      <c r="F263" s="9">
        <v>1.0</v>
      </c>
      <c r="G263" s="9">
        <v>0.0</v>
      </c>
      <c r="H263" s="9">
        <v>1.0</v>
      </c>
      <c r="I263" s="9">
        <v>0.0</v>
      </c>
      <c r="J263" s="17">
        <v>6500.0</v>
      </c>
      <c r="K263" s="18">
        <v>4653.38</v>
      </c>
      <c r="L263" s="17">
        <v>5928.0</v>
      </c>
      <c r="M263" s="18">
        <v>4980.71</v>
      </c>
      <c r="N263" s="18">
        <v>15.9799</v>
      </c>
      <c r="O263" s="18">
        <v>3600.0</v>
      </c>
    </row>
    <row r="264">
      <c r="A264" s="8" t="s">
        <v>360</v>
      </c>
      <c r="B264" s="9">
        <v>35.0</v>
      </c>
      <c r="C264" s="14" t="s">
        <v>234</v>
      </c>
      <c r="D264" s="9">
        <v>75.0</v>
      </c>
      <c r="E264" s="10">
        <v>1.0</v>
      </c>
      <c r="F264" s="9">
        <v>2.0</v>
      </c>
      <c r="G264" s="9">
        <v>0.0</v>
      </c>
      <c r="H264" s="9">
        <v>1.0</v>
      </c>
      <c r="I264" s="9">
        <v>0.0</v>
      </c>
      <c r="J264" s="17">
        <v>6092.0</v>
      </c>
      <c r="K264" s="18">
        <v>4343.4</v>
      </c>
      <c r="L264" s="17">
        <v>5449.0</v>
      </c>
      <c r="M264" s="18">
        <v>4679.04</v>
      </c>
      <c r="N264" s="18">
        <v>14.1302</v>
      </c>
      <c r="O264" s="18">
        <v>3600.0</v>
      </c>
    </row>
    <row r="265">
      <c r="A265" s="8" t="s">
        <v>361</v>
      </c>
      <c r="B265" s="9">
        <v>35.0</v>
      </c>
      <c r="C265" s="14" t="s">
        <v>234</v>
      </c>
      <c r="D265" s="9">
        <v>75.0</v>
      </c>
      <c r="E265" s="10">
        <v>1.0</v>
      </c>
      <c r="F265" s="9">
        <v>3.0</v>
      </c>
      <c r="G265" s="9">
        <v>0.0</v>
      </c>
      <c r="H265" s="9">
        <v>1.0</v>
      </c>
      <c r="I265" s="9">
        <v>0.0</v>
      </c>
      <c r="J265" s="17">
        <v>6105.0</v>
      </c>
      <c r="K265" s="18">
        <v>4626.69</v>
      </c>
      <c r="L265" s="17">
        <v>5864.0</v>
      </c>
      <c r="M265" s="18">
        <v>4952.37</v>
      </c>
      <c r="N265" s="18">
        <v>15.5462</v>
      </c>
      <c r="O265" s="18">
        <v>3600.0</v>
      </c>
    </row>
    <row r="266">
      <c r="A266" s="8" t="s">
        <v>362</v>
      </c>
      <c r="B266" s="9">
        <v>35.0</v>
      </c>
      <c r="C266" s="14" t="s">
        <v>234</v>
      </c>
      <c r="D266" s="9">
        <v>75.0</v>
      </c>
      <c r="E266" s="10">
        <v>1.0</v>
      </c>
      <c r="F266" s="9">
        <v>4.0</v>
      </c>
      <c r="G266" s="9">
        <v>0.0</v>
      </c>
      <c r="H266" s="9">
        <v>1.0</v>
      </c>
      <c r="I266" s="9">
        <v>0.0</v>
      </c>
      <c r="J266" s="17">
        <v>8304.0</v>
      </c>
      <c r="K266" s="18">
        <v>4981.96</v>
      </c>
      <c r="L266" s="17">
        <v>6315.0</v>
      </c>
      <c r="M266" s="18">
        <v>5338.28</v>
      </c>
      <c r="N266" s="18">
        <v>15.4667</v>
      </c>
      <c r="O266" s="18">
        <v>3600.0</v>
      </c>
    </row>
    <row r="267">
      <c r="A267" s="8" t="s">
        <v>363</v>
      </c>
      <c r="B267" s="9">
        <v>35.0</v>
      </c>
      <c r="C267" s="14" t="s">
        <v>234</v>
      </c>
      <c r="D267" s="9">
        <v>75.0</v>
      </c>
      <c r="E267" s="10">
        <v>1.0</v>
      </c>
      <c r="F267" s="9">
        <v>5.0</v>
      </c>
      <c r="G267" s="9">
        <v>0.0</v>
      </c>
      <c r="H267" s="9">
        <v>1.0</v>
      </c>
      <c r="I267" s="9">
        <v>0.0</v>
      </c>
      <c r="J267" s="17">
        <v>6039.0</v>
      </c>
      <c r="K267" s="18">
        <v>4425.68</v>
      </c>
      <c r="L267" s="17">
        <v>5716.0</v>
      </c>
      <c r="M267" s="18">
        <v>4737.99</v>
      </c>
      <c r="N267" s="18">
        <v>17.11</v>
      </c>
      <c r="O267" s="18">
        <v>3600.0</v>
      </c>
    </row>
    <row r="268">
      <c r="A268" s="8" t="s">
        <v>364</v>
      </c>
      <c r="B268" s="9">
        <v>35.0</v>
      </c>
      <c r="C268" s="14" t="s">
        <v>234</v>
      </c>
      <c r="D268" s="9">
        <v>75.0</v>
      </c>
      <c r="E268" s="10">
        <v>2.0</v>
      </c>
      <c r="F268" s="9">
        <v>1.0</v>
      </c>
      <c r="G268" s="9">
        <v>0.0</v>
      </c>
      <c r="H268" s="9">
        <v>1.0</v>
      </c>
      <c r="I268" s="9">
        <v>0.0</v>
      </c>
      <c r="J268" s="17">
        <v>63307.0</v>
      </c>
      <c r="K268" s="18">
        <v>57137.7</v>
      </c>
      <c r="L268" s="17">
        <v>57727.0</v>
      </c>
      <c r="M268" s="18">
        <v>57287.1</v>
      </c>
      <c r="N268" s="18">
        <v>0.762074</v>
      </c>
      <c r="O268" s="18">
        <v>3600.0</v>
      </c>
    </row>
    <row r="269">
      <c r="A269" s="8" t="s">
        <v>365</v>
      </c>
      <c r="B269" s="9">
        <v>35.0</v>
      </c>
      <c r="C269" s="14" t="s">
        <v>234</v>
      </c>
      <c r="D269" s="9">
        <v>75.0</v>
      </c>
      <c r="E269" s="10">
        <v>2.0</v>
      </c>
      <c r="F269" s="9">
        <v>2.0</v>
      </c>
      <c r="G269" s="9">
        <v>0.0</v>
      </c>
      <c r="H269" s="9">
        <v>1.0</v>
      </c>
      <c r="I269" s="9">
        <v>0.0</v>
      </c>
      <c r="J269" s="17">
        <v>60465.0</v>
      </c>
      <c r="K269" s="18">
        <v>54728.2</v>
      </c>
      <c r="L269" s="17">
        <v>55259.0</v>
      </c>
      <c r="M269" s="18">
        <v>54822.2</v>
      </c>
      <c r="N269" s="18">
        <v>0.790442</v>
      </c>
      <c r="O269" s="18">
        <v>3600.0</v>
      </c>
    </row>
    <row r="270">
      <c r="A270" s="8" t="s">
        <v>366</v>
      </c>
      <c r="B270" s="9">
        <v>35.0</v>
      </c>
      <c r="C270" s="14" t="s">
        <v>234</v>
      </c>
      <c r="D270" s="9">
        <v>75.0</v>
      </c>
      <c r="E270" s="10">
        <v>2.0</v>
      </c>
      <c r="F270" s="9">
        <v>3.0</v>
      </c>
      <c r="G270" s="9">
        <v>0.0</v>
      </c>
      <c r="H270" s="9">
        <v>1.0</v>
      </c>
      <c r="I270" s="9">
        <v>0.0</v>
      </c>
      <c r="J270" s="17">
        <v>57896.0</v>
      </c>
      <c r="K270" s="18">
        <v>56831.5</v>
      </c>
      <c r="L270" s="17">
        <v>57461.0</v>
      </c>
      <c r="M270" s="18">
        <v>56996.5</v>
      </c>
      <c r="N270" s="18">
        <v>0.808461</v>
      </c>
      <c r="O270" s="18">
        <v>3600.0</v>
      </c>
    </row>
    <row r="271">
      <c r="A271" s="8" t="s">
        <v>367</v>
      </c>
      <c r="B271" s="9">
        <v>35.0</v>
      </c>
      <c r="C271" s="14" t="s">
        <v>234</v>
      </c>
      <c r="D271" s="9">
        <v>75.0</v>
      </c>
      <c r="E271" s="10">
        <v>2.0</v>
      </c>
      <c r="F271" s="9">
        <v>4.0</v>
      </c>
      <c r="G271" s="9">
        <v>0.0</v>
      </c>
      <c r="H271" s="9">
        <v>1.0</v>
      </c>
      <c r="I271" s="9">
        <v>0.0</v>
      </c>
      <c r="J271" s="17">
        <v>66341.0</v>
      </c>
      <c r="K271" s="18">
        <v>60163.3</v>
      </c>
      <c r="L271" s="17">
        <v>60902.0</v>
      </c>
      <c r="M271" s="18">
        <v>60278.1</v>
      </c>
      <c r="N271" s="18">
        <v>1.02446</v>
      </c>
      <c r="O271" s="18">
        <v>3600.0</v>
      </c>
    </row>
    <row r="272">
      <c r="A272" s="8" t="s">
        <v>368</v>
      </c>
      <c r="B272" s="9">
        <v>35.0</v>
      </c>
      <c r="C272" s="14" t="s">
        <v>234</v>
      </c>
      <c r="D272" s="9">
        <v>75.0</v>
      </c>
      <c r="E272" s="10">
        <v>2.0</v>
      </c>
      <c r="F272" s="9">
        <v>5.0</v>
      </c>
      <c r="G272" s="9">
        <v>0.0</v>
      </c>
      <c r="H272" s="9">
        <v>1.0</v>
      </c>
      <c r="I272" s="9">
        <v>0.0</v>
      </c>
      <c r="J272" s="17">
        <v>61255.0</v>
      </c>
      <c r="K272" s="18">
        <v>55499.1</v>
      </c>
      <c r="L272" s="17">
        <v>55970.0</v>
      </c>
      <c r="M272" s="18">
        <v>55625.7</v>
      </c>
      <c r="N272" s="18">
        <v>0.615099</v>
      </c>
      <c r="O272" s="18">
        <v>3600.0</v>
      </c>
    </row>
    <row r="273">
      <c r="A273" s="8" t="s">
        <v>459</v>
      </c>
      <c r="B273" s="9">
        <v>25.0</v>
      </c>
      <c r="C273" s="9" t="s">
        <v>460</v>
      </c>
      <c r="D273" s="9">
        <v>25.0</v>
      </c>
      <c r="E273" s="10">
        <v>0.6</v>
      </c>
      <c r="F273" s="9">
        <v>1.0</v>
      </c>
      <c r="G273" s="9">
        <v>1.0</v>
      </c>
      <c r="H273" s="9">
        <v>0.0</v>
      </c>
      <c r="I273" s="9">
        <v>0.0</v>
      </c>
      <c r="J273" s="17">
        <v>-2057.0</v>
      </c>
      <c r="K273" s="18">
        <v>-3071.93</v>
      </c>
      <c r="L273" s="17">
        <v>-2193.0</v>
      </c>
      <c r="M273" s="18">
        <v>-2193.0</v>
      </c>
      <c r="N273" s="18">
        <v>0.0</v>
      </c>
      <c r="O273" s="18">
        <v>88.072</v>
      </c>
    </row>
    <row r="274">
      <c r="A274" s="8" t="s">
        <v>461</v>
      </c>
      <c r="B274" s="9">
        <v>25.0</v>
      </c>
      <c r="C274" s="9" t="s">
        <v>460</v>
      </c>
      <c r="D274" s="9">
        <v>25.0</v>
      </c>
      <c r="E274" s="10">
        <v>0.6</v>
      </c>
      <c r="F274" s="9">
        <v>2.0</v>
      </c>
      <c r="G274" s="9">
        <v>1.0</v>
      </c>
      <c r="H274" s="9">
        <v>0.0</v>
      </c>
      <c r="I274" s="9">
        <v>0.0</v>
      </c>
      <c r="J274" s="17">
        <v>-2078.0</v>
      </c>
      <c r="K274" s="18">
        <v>-2542.39</v>
      </c>
      <c r="L274" s="17">
        <v>-2087.0</v>
      </c>
      <c r="M274" s="18">
        <v>-2087.0</v>
      </c>
      <c r="N274" s="18">
        <v>0.0</v>
      </c>
      <c r="O274" s="18">
        <v>27.459</v>
      </c>
    </row>
    <row r="275">
      <c r="A275" s="8" t="s">
        <v>462</v>
      </c>
      <c r="B275" s="9">
        <v>25.0</v>
      </c>
      <c r="C275" s="9" t="s">
        <v>460</v>
      </c>
      <c r="D275" s="9">
        <v>25.0</v>
      </c>
      <c r="E275" s="10">
        <v>0.6</v>
      </c>
      <c r="F275" s="9">
        <v>3.0</v>
      </c>
      <c r="G275" s="9">
        <v>1.0</v>
      </c>
      <c r="H275" s="9">
        <v>0.0</v>
      </c>
      <c r="I275" s="9">
        <v>0.0</v>
      </c>
      <c r="J275" s="17">
        <v>-1761.0</v>
      </c>
      <c r="K275" s="18">
        <v>-2618.47</v>
      </c>
      <c r="L275" s="17">
        <v>-2022.0</v>
      </c>
      <c r="M275" s="18">
        <v>-2022.0</v>
      </c>
      <c r="N275" s="18">
        <v>0.0</v>
      </c>
      <c r="O275" s="18">
        <v>83.073</v>
      </c>
    </row>
    <row r="276">
      <c r="A276" s="8" t="s">
        <v>463</v>
      </c>
      <c r="B276" s="9">
        <v>25.0</v>
      </c>
      <c r="C276" s="9" t="s">
        <v>460</v>
      </c>
      <c r="D276" s="9">
        <v>25.0</v>
      </c>
      <c r="E276" s="10">
        <v>0.6</v>
      </c>
      <c r="F276" s="9">
        <v>4.0</v>
      </c>
      <c r="G276" s="9">
        <v>1.0</v>
      </c>
      <c r="H276" s="9">
        <v>0.0</v>
      </c>
      <c r="I276" s="9">
        <v>0.0</v>
      </c>
      <c r="J276" s="17">
        <v>-1825.0</v>
      </c>
      <c r="K276" s="18">
        <v>-2755.59</v>
      </c>
      <c r="L276" s="17">
        <v>-2079.0</v>
      </c>
      <c r="M276" s="18">
        <v>-2079.0</v>
      </c>
      <c r="N276" s="18">
        <v>0.0</v>
      </c>
      <c r="O276" s="18">
        <v>165.403</v>
      </c>
    </row>
    <row r="277">
      <c r="A277" s="8" t="s">
        <v>464</v>
      </c>
      <c r="B277" s="9">
        <v>25.0</v>
      </c>
      <c r="C277" s="9" t="s">
        <v>460</v>
      </c>
      <c r="D277" s="9">
        <v>25.0</v>
      </c>
      <c r="E277" s="10">
        <v>0.6</v>
      </c>
      <c r="F277" s="9">
        <v>5.0</v>
      </c>
      <c r="G277" s="9">
        <v>1.0</v>
      </c>
      <c r="H277" s="9">
        <v>0.0</v>
      </c>
      <c r="I277" s="9">
        <v>0.0</v>
      </c>
      <c r="J277" s="17">
        <v>-1824.0</v>
      </c>
      <c r="K277" s="18">
        <v>-3347.86</v>
      </c>
      <c r="L277" s="17">
        <v>-2427.0</v>
      </c>
      <c r="M277" s="18">
        <v>-2427.0</v>
      </c>
      <c r="N277" s="18">
        <v>0.0</v>
      </c>
      <c r="O277" s="18">
        <v>104.507</v>
      </c>
    </row>
    <row r="278">
      <c r="A278" s="8" t="s">
        <v>465</v>
      </c>
      <c r="B278" s="9">
        <v>25.0</v>
      </c>
      <c r="C278" s="9" t="s">
        <v>460</v>
      </c>
      <c r="D278" s="9">
        <v>25.0</v>
      </c>
      <c r="E278" s="10">
        <v>1.0</v>
      </c>
      <c r="F278" s="9">
        <v>1.0</v>
      </c>
      <c r="G278" s="9">
        <v>0.0</v>
      </c>
      <c r="H278" s="9">
        <v>1.0</v>
      </c>
      <c r="I278" s="9">
        <v>0.0</v>
      </c>
      <c r="J278" s="17">
        <v>-57.0</v>
      </c>
      <c r="K278" s="18">
        <v>-969.606</v>
      </c>
      <c r="L278" s="17">
        <v>-247.0</v>
      </c>
      <c r="M278" s="18">
        <v>-440.146</v>
      </c>
      <c r="N278" s="18">
        <v>78.1967</v>
      </c>
      <c r="O278" s="18">
        <v>3600.0</v>
      </c>
    </row>
    <row r="279">
      <c r="A279" s="8" t="s">
        <v>466</v>
      </c>
      <c r="B279" s="9">
        <v>25.0</v>
      </c>
      <c r="C279" s="9" t="s">
        <v>460</v>
      </c>
      <c r="D279" s="9">
        <v>25.0</v>
      </c>
      <c r="E279" s="10">
        <v>1.0</v>
      </c>
      <c r="F279" s="9">
        <v>2.0</v>
      </c>
      <c r="G279" s="9">
        <v>1.0</v>
      </c>
      <c r="H279" s="9">
        <v>0.0</v>
      </c>
      <c r="I279" s="9">
        <v>0.0</v>
      </c>
      <c r="J279" s="17">
        <v>-512.0</v>
      </c>
      <c r="K279" s="18">
        <v>-966.947</v>
      </c>
      <c r="L279" s="17">
        <v>-532.0</v>
      </c>
      <c r="M279" s="18">
        <v>-532.0</v>
      </c>
      <c r="N279" s="18">
        <v>0.0</v>
      </c>
      <c r="O279" s="18">
        <v>853.272</v>
      </c>
    </row>
    <row r="280">
      <c r="A280" s="8" t="s">
        <v>467</v>
      </c>
      <c r="B280" s="9">
        <v>25.0</v>
      </c>
      <c r="C280" s="9" t="s">
        <v>460</v>
      </c>
      <c r="D280" s="9">
        <v>25.0</v>
      </c>
      <c r="E280" s="10">
        <v>1.0</v>
      </c>
      <c r="F280" s="9">
        <v>3.0</v>
      </c>
      <c r="G280" s="9">
        <v>1.0</v>
      </c>
      <c r="H280" s="9">
        <v>0.0</v>
      </c>
      <c r="I280" s="9">
        <v>0.0</v>
      </c>
      <c r="J280" s="17">
        <v>-141.0</v>
      </c>
      <c r="K280" s="18">
        <v>-991.866</v>
      </c>
      <c r="L280" s="17">
        <v>-516.0</v>
      </c>
      <c r="M280" s="18">
        <v>-516.0</v>
      </c>
      <c r="N280" s="18">
        <v>0.0</v>
      </c>
      <c r="O280" s="18">
        <v>774.62</v>
      </c>
    </row>
    <row r="281">
      <c r="A281" s="8" t="s">
        <v>468</v>
      </c>
      <c r="B281" s="9">
        <v>25.0</v>
      </c>
      <c r="C281" s="9" t="s">
        <v>460</v>
      </c>
      <c r="D281" s="9">
        <v>25.0</v>
      </c>
      <c r="E281" s="10">
        <v>1.0</v>
      </c>
      <c r="F281" s="9">
        <v>4.0</v>
      </c>
      <c r="G281" s="9">
        <v>1.0</v>
      </c>
      <c r="H281" s="9">
        <v>0.0</v>
      </c>
      <c r="I281" s="9">
        <v>0.0</v>
      </c>
      <c r="J281" s="17">
        <v>229.0</v>
      </c>
      <c r="K281" s="18">
        <v>-935.342</v>
      </c>
      <c r="L281" s="17">
        <v>-375.0</v>
      </c>
      <c r="M281" s="18">
        <v>-375.0</v>
      </c>
      <c r="N281" s="18">
        <v>0.0</v>
      </c>
      <c r="O281" s="18">
        <v>2282.34</v>
      </c>
    </row>
    <row r="282">
      <c r="A282" s="8" t="s">
        <v>469</v>
      </c>
      <c r="B282" s="9">
        <v>25.0</v>
      </c>
      <c r="C282" s="9" t="s">
        <v>460</v>
      </c>
      <c r="D282" s="9">
        <v>25.0</v>
      </c>
      <c r="E282" s="10">
        <v>1.0</v>
      </c>
      <c r="F282" s="9">
        <v>5.0</v>
      </c>
      <c r="G282" s="9">
        <v>1.0</v>
      </c>
      <c r="H282" s="9">
        <v>0.0</v>
      </c>
      <c r="I282" s="9">
        <v>0.0</v>
      </c>
      <c r="J282" s="17">
        <v>-16.0</v>
      </c>
      <c r="K282" s="18">
        <v>-959.853</v>
      </c>
      <c r="L282" s="17">
        <v>-350.0</v>
      </c>
      <c r="M282" s="18">
        <v>-350.0</v>
      </c>
      <c r="N282" s="18">
        <v>0.0</v>
      </c>
      <c r="O282" s="18">
        <v>2877.04</v>
      </c>
    </row>
    <row r="283">
      <c r="A283" s="8" t="s">
        <v>470</v>
      </c>
      <c r="B283" s="9">
        <v>25.0</v>
      </c>
      <c r="C283" s="9" t="s">
        <v>460</v>
      </c>
      <c r="D283" s="9">
        <v>25.0</v>
      </c>
      <c r="E283" s="10">
        <v>2.0</v>
      </c>
      <c r="F283" s="9">
        <v>1.0</v>
      </c>
      <c r="G283" s="9">
        <v>1.0</v>
      </c>
      <c r="H283" s="9">
        <v>0.0</v>
      </c>
      <c r="I283" s="9">
        <v>0.0</v>
      </c>
      <c r="J283" s="17">
        <v>18907.0</v>
      </c>
      <c r="K283" s="18">
        <v>18035.5</v>
      </c>
      <c r="L283" s="17">
        <v>18775.0</v>
      </c>
      <c r="M283" s="18">
        <v>18775.0</v>
      </c>
      <c r="N283" s="18">
        <v>0.0</v>
      </c>
      <c r="O283" s="18">
        <v>0.148</v>
      </c>
    </row>
    <row r="284">
      <c r="A284" s="8" t="s">
        <v>471</v>
      </c>
      <c r="B284" s="9">
        <v>25.0</v>
      </c>
      <c r="C284" s="9" t="s">
        <v>460</v>
      </c>
      <c r="D284" s="9">
        <v>25.0</v>
      </c>
      <c r="E284" s="10">
        <v>2.0</v>
      </c>
      <c r="F284" s="9">
        <v>2.0</v>
      </c>
      <c r="G284" s="9">
        <v>1.0</v>
      </c>
      <c r="H284" s="9">
        <v>0.0</v>
      </c>
      <c r="I284" s="9">
        <v>0.0</v>
      </c>
      <c r="J284" s="17">
        <v>17197.0</v>
      </c>
      <c r="K284" s="18">
        <v>17061.3</v>
      </c>
      <c r="L284" s="17">
        <v>17134.0</v>
      </c>
      <c r="M284" s="18">
        <v>17134.0</v>
      </c>
      <c r="N284" s="18">
        <v>0.0</v>
      </c>
      <c r="O284" s="18">
        <v>0.294</v>
      </c>
    </row>
    <row r="285">
      <c r="A285" s="8" t="s">
        <v>472</v>
      </c>
      <c r="B285" s="9">
        <v>25.0</v>
      </c>
      <c r="C285" s="9" t="s">
        <v>460</v>
      </c>
      <c r="D285" s="9">
        <v>25.0</v>
      </c>
      <c r="E285" s="10">
        <v>2.0</v>
      </c>
      <c r="F285" s="9">
        <v>3.0</v>
      </c>
      <c r="G285" s="9">
        <v>1.0</v>
      </c>
      <c r="H285" s="9">
        <v>0.0</v>
      </c>
      <c r="I285" s="9">
        <v>0.0</v>
      </c>
      <c r="J285" s="17">
        <v>16224.0</v>
      </c>
      <c r="K285" s="18">
        <v>14948.7</v>
      </c>
      <c r="L285" s="17">
        <v>15104.0</v>
      </c>
      <c r="M285" s="18">
        <v>15104.0</v>
      </c>
      <c r="N285" s="18">
        <v>0.0</v>
      </c>
      <c r="O285" s="18">
        <v>1.692</v>
      </c>
    </row>
    <row r="286">
      <c r="A286" s="8" t="s">
        <v>473</v>
      </c>
      <c r="B286" s="9">
        <v>25.0</v>
      </c>
      <c r="C286" s="9" t="s">
        <v>460</v>
      </c>
      <c r="D286" s="9">
        <v>25.0</v>
      </c>
      <c r="E286" s="10">
        <v>2.0</v>
      </c>
      <c r="F286" s="9">
        <v>4.0</v>
      </c>
      <c r="G286" s="9">
        <v>1.0</v>
      </c>
      <c r="H286" s="9">
        <v>0.0</v>
      </c>
      <c r="I286" s="9">
        <v>0.0</v>
      </c>
      <c r="J286" s="17">
        <v>16247.0</v>
      </c>
      <c r="K286" s="18">
        <v>16186.9</v>
      </c>
      <c r="L286" s="17">
        <v>16247.0</v>
      </c>
      <c r="M286" s="18">
        <v>16247.0</v>
      </c>
      <c r="N286" s="18">
        <v>0.0</v>
      </c>
      <c r="O286" s="18">
        <v>0.451</v>
      </c>
    </row>
    <row r="287">
      <c r="A287" s="8" t="s">
        <v>474</v>
      </c>
      <c r="B287" s="9">
        <v>25.0</v>
      </c>
      <c r="C287" s="9" t="s">
        <v>460</v>
      </c>
      <c r="D287" s="9">
        <v>25.0</v>
      </c>
      <c r="E287" s="10">
        <v>2.0</v>
      </c>
      <c r="F287" s="9">
        <v>5.0</v>
      </c>
      <c r="G287" s="9">
        <v>1.0</v>
      </c>
      <c r="H287" s="9">
        <v>0.0</v>
      </c>
      <c r="I287" s="9">
        <v>0.0</v>
      </c>
      <c r="J287" s="17">
        <v>20846.0</v>
      </c>
      <c r="K287" s="18">
        <v>19081.2</v>
      </c>
      <c r="L287" s="17">
        <v>19127.0</v>
      </c>
      <c r="M287" s="18">
        <v>19127.0</v>
      </c>
      <c r="N287" s="18">
        <v>0.0</v>
      </c>
      <c r="O287" s="18">
        <v>1.037</v>
      </c>
    </row>
    <row r="288">
      <c r="A288" s="8" t="s">
        <v>475</v>
      </c>
      <c r="B288" s="9">
        <v>25.0</v>
      </c>
      <c r="C288" s="9" t="s">
        <v>460</v>
      </c>
      <c r="D288" s="9">
        <v>50.0</v>
      </c>
      <c r="E288" s="10">
        <v>0.6</v>
      </c>
      <c r="F288" s="9">
        <v>1.0</v>
      </c>
      <c r="G288" s="9">
        <v>1.0</v>
      </c>
      <c r="H288" s="9">
        <v>0.0</v>
      </c>
      <c r="I288" s="9">
        <v>0.0</v>
      </c>
      <c r="J288" s="17">
        <v>-2409.0</v>
      </c>
      <c r="K288" s="18">
        <v>-5107.49</v>
      </c>
      <c r="L288" s="17">
        <v>-3641.0</v>
      </c>
      <c r="M288" s="18">
        <v>-3641.0</v>
      </c>
      <c r="N288" s="18">
        <v>0.0</v>
      </c>
      <c r="O288" s="18">
        <v>759.45</v>
      </c>
    </row>
    <row r="289">
      <c r="A289" s="8" t="s">
        <v>476</v>
      </c>
      <c r="B289" s="9">
        <v>25.0</v>
      </c>
      <c r="C289" s="9" t="s">
        <v>460</v>
      </c>
      <c r="D289" s="9">
        <v>50.0</v>
      </c>
      <c r="E289" s="10">
        <v>0.6</v>
      </c>
      <c r="F289" s="9">
        <v>2.0</v>
      </c>
      <c r="G289" s="9">
        <v>1.0</v>
      </c>
      <c r="H289" s="9">
        <v>0.0</v>
      </c>
      <c r="I289" s="9">
        <v>0.0</v>
      </c>
      <c r="J289" s="17">
        <v>-2887.0</v>
      </c>
      <c r="K289" s="18">
        <v>-4883.04</v>
      </c>
      <c r="L289" s="17">
        <v>-3462.0</v>
      </c>
      <c r="M289" s="18">
        <v>-3462.0</v>
      </c>
      <c r="N289" s="18">
        <v>0.0</v>
      </c>
      <c r="O289" s="18">
        <v>467.518</v>
      </c>
    </row>
    <row r="290">
      <c r="A290" s="8" t="s">
        <v>477</v>
      </c>
      <c r="B290" s="9">
        <v>25.0</v>
      </c>
      <c r="C290" s="9" t="s">
        <v>460</v>
      </c>
      <c r="D290" s="9">
        <v>50.0</v>
      </c>
      <c r="E290" s="10">
        <v>0.6</v>
      </c>
      <c r="F290" s="9">
        <v>3.0</v>
      </c>
      <c r="G290" s="9">
        <v>1.0</v>
      </c>
      <c r="H290" s="9">
        <v>0.0</v>
      </c>
      <c r="I290" s="9">
        <v>0.0</v>
      </c>
      <c r="J290" s="17">
        <v>-2510.0</v>
      </c>
      <c r="K290" s="18">
        <v>-4680.88</v>
      </c>
      <c r="L290" s="17">
        <v>-3379.0</v>
      </c>
      <c r="M290" s="18">
        <v>-3379.0</v>
      </c>
      <c r="N290" s="18">
        <v>0.0</v>
      </c>
      <c r="O290" s="18">
        <v>413.693</v>
      </c>
    </row>
    <row r="291">
      <c r="A291" s="8" t="s">
        <v>478</v>
      </c>
      <c r="B291" s="9">
        <v>25.0</v>
      </c>
      <c r="C291" s="9" t="s">
        <v>460</v>
      </c>
      <c r="D291" s="9">
        <v>50.0</v>
      </c>
      <c r="E291" s="10">
        <v>0.6</v>
      </c>
      <c r="F291" s="9">
        <v>4.0</v>
      </c>
      <c r="G291" s="9">
        <v>1.0</v>
      </c>
      <c r="H291" s="9">
        <v>0.0</v>
      </c>
      <c r="I291" s="9">
        <v>0.0</v>
      </c>
      <c r="J291" s="17">
        <v>-3278.0</v>
      </c>
      <c r="K291" s="18">
        <v>-5192.76</v>
      </c>
      <c r="L291" s="17">
        <v>-3528.0</v>
      </c>
      <c r="M291" s="18">
        <v>-3528.0</v>
      </c>
      <c r="N291" s="18">
        <v>0.0</v>
      </c>
      <c r="O291" s="18">
        <v>1449.37</v>
      </c>
    </row>
    <row r="292">
      <c r="A292" s="8" t="s">
        <v>479</v>
      </c>
      <c r="B292" s="9">
        <v>25.0</v>
      </c>
      <c r="C292" s="9" t="s">
        <v>460</v>
      </c>
      <c r="D292" s="9">
        <v>50.0</v>
      </c>
      <c r="E292" s="10">
        <v>0.6</v>
      </c>
      <c r="F292" s="9">
        <v>5.0</v>
      </c>
      <c r="G292" s="9">
        <v>1.0</v>
      </c>
      <c r="H292" s="9">
        <v>0.0</v>
      </c>
      <c r="I292" s="9">
        <v>0.0</v>
      </c>
      <c r="J292" s="17">
        <v>-1070.0</v>
      </c>
      <c r="K292" s="18">
        <v>-5105.14</v>
      </c>
      <c r="L292" s="17">
        <v>-3548.0</v>
      </c>
      <c r="M292" s="18">
        <v>-3548.0</v>
      </c>
      <c r="N292" s="18">
        <v>0.0</v>
      </c>
      <c r="O292" s="18">
        <v>969.769</v>
      </c>
    </row>
    <row r="293">
      <c r="A293" s="8" t="s">
        <v>480</v>
      </c>
      <c r="B293" s="9">
        <v>25.0</v>
      </c>
      <c r="C293" s="9" t="s">
        <v>460</v>
      </c>
      <c r="D293" s="9">
        <v>50.0</v>
      </c>
      <c r="E293" s="10">
        <v>1.0</v>
      </c>
      <c r="F293" s="9">
        <v>1.0</v>
      </c>
      <c r="G293" s="9">
        <v>1.0</v>
      </c>
      <c r="H293" s="9">
        <v>0.0</v>
      </c>
      <c r="I293" s="9">
        <v>0.0</v>
      </c>
      <c r="J293" s="17">
        <v>1281.0</v>
      </c>
      <c r="K293" s="18">
        <v>-821.339</v>
      </c>
      <c r="L293" s="17">
        <v>34.0</v>
      </c>
      <c r="M293" s="18">
        <v>34.0</v>
      </c>
      <c r="N293" s="18">
        <v>0.0</v>
      </c>
      <c r="O293" s="18">
        <v>2939.33</v>
      </c>
    </row>
    <row r="294">
      <c r="A294" s="8" t="s">
        <v>481</v>
      </c>
      <c r="B294" s="9">
        <v>25.0</v>
      </c>
      <c r="C294" s="9" t="s">
        <v>460</v>
      </c>
      <c r="D294" s="9">
        <v>50.0</v>
      </c>
      <c r="E294" s="10">
        <v>1.0</v>
      </c>
      <c r="F294" s="9">
        <v>2.0</v>
      </c>
      <c r="G294" s="9">
        <v>1.0</v>
      </c>
      <c r="H294" s="9">
        <v>0.0</v>
      </c>
      <c r="I294" s="9">
        <v>0.0</v>
      </c>
      <c r="J294" s="17">
        <v>1223.0</v>
      </c>
      <c r="K294" s="18">
        <v>-696.429</v>
      </c>
      <c r="L294" s="17">
        <v>11.0</v>
      </c>
      <c r="M294" s="18">
        <v>11.0</v>
      </c>
      <c r="N294" s="18">
        <v>0.0</v>
      </c>
      <c r="O294" s="18">
        <v>1489.68</v>
      </c>
    </row>
    <row r="295">
      <c r="A295" s="8" t="s">
        <v>482</v>
      </c>
      <c r="B295" s="9">
        <v>25.0</v>
      </c>
      <c r="C295" s="9" t="s">
        <v>460</v>
      </c>
      <c r="D295" s="9">
        <v>50.0</v>
      </c>
      <c r="E295" s="10">
        <v>1.0</v>
      </c>
      <c r="F295" s="9">
        <v>3.0</v>
      </c>
      <c r="G295" s="9">
        <v>0.0</v>
      </c>
      <c r="H295" s="9">
        <v>1.0</v>
      </c>
      <c r="I295" s="9">
        <v>0.0</v>
      </c>
      <c r="J295" s="17">
        <v>500.0</v>
      </c>
      <c r="K295" s="18">
        <v>-813.979</v>
      </c>
      <c r="L295" s="17">
        <v>345.0</v>
      </c>
      <c r="M295" s="18">
        <v>-209.075</v>
      </c>
      <c r="N295" s="18">
        <v>160.602</v>
      </c>
      <c r="O295" s="18">
        <v>3600.0</v>
      </c>
    </row>
    <row r="296">
      <c r="A296" s="8" t="s">
        <v>483</v>
      </c>
      <c r="B296" s="9">
        <v>25.0</v>
      </c>
      <c r="C296" s="9" t="s">
        <v>460</v>
      </c>
      <c r="D296" s="9">
        <v>50.0</v>
      </c>
      <c r="E296" s="10">
        <v>1.0</v>
      </c>
      <c r="F296" s="9">
        <v>4.0</v>
      </c>
      <c r="G296" s="9">
        <v>0.0</v>
      </c>
      <c r="H296" s="9">
        <v>1.0</v>
      </c>
      <c r="I296" s="9">
        <v>0.0</v>
      </c>
      <c r="J296" s="17">
        <v>702.0</v>
      </c>
      <c r="K296" s="18">
        <v>-873.293</v>
      </c>
      <c r="L296" s="17">
        <v>317.0</v>
      </c>
      <c r="M296" s="18">
        <v>-273.5</v>
      </c>
      <c r="N296" s="18">
        <v>186.278</v>
      </c>
      <c r="O296" s="18">
        <v>3600.0</v>
      </c>
    </row>
    <row r="297">
      <c r="A297" s="8" t="s">
        <v>484</v>
      </c>
      <c r="B297" s="9">
        <v>25.0</v>
      </c>
      <c r="C297" s="9" t="s">
        <v>460</v>
      </c>
      <c r="D297" s="9">
        <v>50.0</v>
      </c>
      <c r="E297" s="10">
        <v>1.0</v>
      </c>
      <c r="F297" s="9">
        <v>5.0</v>
      </c>
      <c r="G297" s="9">
        <v>1.0</v>
      </c>
      <c r="H297" s="9">
        <v>0.0</v>
      </c>
      <c r="I297" s="9">
        <v>0.0</v>
      </c>
      <c r="J297" s="17">
        <v>785.0</v>
      </c>
      <c r="K297" s="18">
        <v>-701.734</v>
      </c>
      <c r="L297" s="17">
        <v>-76.0</v>
      </c>
      <c r="M297" s="18">
        <v>-76.0</v>
      </c>
      <c r="N297" s="18">
        <v>0.0</v>
      </c>
      <c r="O297" s="18">
        <v>1592.15</v>
      </c>
    </row>
    <row r="298">
      <c r="A298" s="8" t="s">
        <v>485</v>
      </c>
      <c r="B298" s="9">
        <v>25.0</v>
      </c>
      <c r="C298" s="9" t="s">
        <v>460</v>
      </c>
      <c r="D298" s="9">
        <v>50.0</v>
      </c>
      <c r="E298" s="10">
        <v>2.0</v>
      </c>
      <c r="F298" s="9">
        <v>1.0</v>
      </c>
      <c r="G298" s="9">
        <v>1.0</v>
      </c>
      <c r="H298" s="9">
        <v>0.0</v>
      </c>
      <c r="I298" s="9">
        <v>0.0</v>
      </c>
      <c r="J298" s="17">
        <v>36116.0</v>
      </c>
      <c r="K298" s="18">
        <v>36006.3</v>
      </c>
      <c r="L298" s="17">
        <v>36116.0</v>
      </c>
      <c r="M298" s="18">
        <v>36116.0</v>
      </c>
      <c r="N298" s="18">
        <v>0.0</v>
      </c>
      <c r="O298" s="18">
        <v>0.493</v>
      </c>
    </row>
    <row r="299">
      <c r="A299" s="8" t="s">
        <v>486</v>
      </c>
      <c r="B299" s="9">
        <v>25.0</v>
      </c>
      <c r="C299" s="9" t="s">
        <v>460</v>
      </c>
      <c r="D299" s="9">
        <v>50.0</v>
      </c>
      <c r="E299" s="10">
        <v>2.0</v>
      </c>
      <c r="F299" s="9">
        <v>2.0</v>
      </c>
      <c r="G299" s="9">
        <v>1.0</v>
      </c>
      <c r="H299" s="9">
        <v>0.0</v>
      </c>
      <c r="I299" s="9">
        <v>0.0</v>
      </c>
      <c r="J299" s="17">
        <v>38064.0</v>
      </c>
      <c r="K299" s="18">
        <v>37940.8</v>
      </c>
      <c r="L299" s="17">
        <v>37996.0</v>
      </c>
      <c r="M299" s="18">
        <v>37996.0</v>
      </c>
      <c r="N299" s="18">
        <v>0.0</v>
      </c>
      <c r="O299" s="18">
        <v>0.469</v>
      </c>
    </row>
    <row r="300">
      <c r="A300" s="8" t="s">
        <v>487</v>
      </c>
      <c r="B300" s="9">
        <v>25.0</v>
      </c>
      <c r="C300" s="9" t="s">
        <v>460</v>
      </c>
      <c r="D300" s="9">
        <v>50.0</v>
      </c>
      <c r="E300" s="10">
        <v>2.0</v>
      </c>
      <c r="F300" s="9">
        <v>3.0</v>
      </c>
      <c r="G300" s="9">
        <v>0.0</v>
      </c>
      <c r="H300" s="9">
        <v>1.0</v>
      </c>
      <c r="I300" s="9">
        <v>0.0</v>
      </c>
      <c r="J300" s="17">
        <v>35693.0</v>
      </c>
      <c r="K300" s="18">
        <v>32755.5</v>
      </c>
      <c r="L300" s="17">
        <v>35467.0</v>
      </c>
      <c r="M300" s="18">
        <v>34077.9</v>
      </c>
      <c r="N300" s="18">
        <v>3.91673</v>
      </c>
      <c r="O300" s="18">
        <v>3600.0</v>
      </c>
    </row>
    <row r="301">
      <c r="A301" s="8" t="s">
        <v>488</v>
      </c>
      <c r="B301" s="9">
        <v>25.0</v>
      </c>
      <c r="C301" s="9" t="s">
        <v>460</v>
      </c>
      <c r="D301" s="9">
        <v>50.0</v>
      </c>
      <c r="E301" s="10">
        <v>2.0</v>
      </c>
      <c r="F301" s="9">
        <v>4.0</v>
      </c>
      <c r="G301" s="9">
        <v>1.0</v>
      </c>
      <c r="H301" s="9">
        <v>0.0</v>
      </c>
      <c r="I301" s="9">
        <v>0.0</v>
      </c>
      <c r="J301" s="17">
        <v>38875.0</v>
      </c>
      <c r="K301" s="18">
        <v>35897.1</v>
      </c>
      <c r="L301" s="17">
        <v>38535.0</v>
      </c>
      <c r="M301" s="18">
        <v>38535.0</v>
      </c>
      <c r="N301" s="18">
        <v>0.0</v>
      </c>
      <c r="O301" s="18">
        <v>625.89</v>
      </c>
    </row>
    <row r="302">
      <c r="A302" s="8" t="s">
        <v>489</v>
      </c>
      <c r="B302" s="9">
        <v>25.0</v>
      </c>
      <c r="C302" s="9" t="s">
        <v>460</v>
      </c>
      <c r="D302" s="9">
        <v>50.0</v>
      </c>
      <c r="E302" s="10">
        <v>2.0</v>
      </c>
      <c r="F302" s="9">
        <v>5.0</v>
      </c>
      <c r="G302" s="9">
        <v>1.0</v>
      </c>
      <c r="H302" s="9">
        <v>0.0</v>
      </c>
      <c r="I302" s="9">
        <v>0.0</v>
      </c>
      <c r="J302" s="17">
        <v>35989.0</v>
      </c>
      <c r="K302" s="18">
        <v>35477.2</v>
      </c>
      <c r="L302" s="17">
        <v>35714.0</v>
      </c>
      <c r="M302" s="18">
        <v>35714.0</v>
      </c>
      <c r="N302" s="18">
        <v>0.0</v>
      </c>
      <c r="O302" s="18">
        <v>0.906</v>
      </c>
    </row>
    <row r="303">
      <c r="A303" s="8" t="s">
        <v>490</v>
      </c>
      <c r="B303" s="9">
        <v>25.0</v>
      </c>
      <c r="C303" s="9" t="s">
        <v>460</v>
      </c>
      <c r="D303" s="9">
        <v>75.0</v>
      </c>
      <c r="E303" s="10">
        <v>0.6</v>
      </c>
      <c r="F303" s="9">
        <v>1.0</v>
      </c>
      <c r="G303" s="9">
        <v>1.0</v>
      </c>
      <c r="H303" s="9">
        <v>0.0</v>
      </c>
      <c r="I303" s="9">
        <v>0.0</v>
      </c>
      <c r="J303" s="17">
        <v>-1208.0</v>
      </c>
      <c r="K303" s="18">
        <v>-5776.91</v>
      </c>
      <c r="L303" s="17">
        <v>-4328.0</v>
      </c>
      <c r="M303" s="18">
        <v>-4328.0</v>
      </c>
      <c r="N303" s="18">
        <v>0.0</v>
      </c>
      <c r="O303" s="18">
        <v>1529.97</v>
      </c>
    </row>
    <row r="304">
      <c r="A304" s="8" t="s">
        <v>491</v>
      </c>
      <c r="B304" s="9">
        <v>25.0</v>
      </c>
      <c r="C304" s="9" t="s">
        <v>460</v>
      </c>
      <c r="D304" s="9">
        <v>75.0</v>
      </c>
      <c r="E304" s="10">
        <v>0.6</v>
      </c>
      <c r="F304" s="9">
        <v>2.0</v>
      </c>
      <c r="G304" s="9">
        <v>1.0</v>
      </c>
      <c r="H304" s="9">
        <v>0.0</v>
      </c>
      <c r="I304" s="9">
        <v>0.0</v>
      </c>
      <c r="J304" s="17">
        <v>-4244.0</v>
      </c>
      <c r="K304" s="18">
        <v>-5872.03</v>
      </c>
      <c r="L304" s="17">
        <v>-4666.0</v>
      </c>
      <c r="M304" s="18">
        <v>-4666.0</v>
      </c>
      <c r="N304" s="18">
        <v>0.0</v>
      </c>
      <c r="O304" s="18">
        <v>506.616</v>
      </c>
    </row>
    <row r="305">
      <c r="A305" s="8" t="s">
        <v>492</v>
      </c>
      <c r="B305" s="9">
        <v>25.0</v>
      </c>
      <c r="C305" s="9" t="s">
        <v>460</v>
      </c>
      <c r="D305" s="9">
        <v>75.0</v>
      </c>
      <c r="E305" s="10">
        <v>0.6</v>
      </c>
      <c r="F305" s="9">
        <v>3.0</v>
      </c>
      <c r="G305" s="9">
        <v>1.0</v>
      </c>
      <c r="H305" s="9">
        <v>0.0</v>
      </c>
      <c r="I305" s="9">
        <v>0.0</v>
      </c>
      <c r="J305" s="17">
        <v>-3131.0</v>
      </c>
      <c r="K305" s="18">
        <v>-5792.96</v>
      </c>
      <c r="L305" s="17">
        <v>-4395.0</v>
      </c>
      <c r="M305" s="18">
        <v>-4395.0</v>
      </c>
      <c r="N305" s="18">
        <v>0.0</v>
      </c>
      <c r="O305" s="18">
        <v>3369.34</v>
      </c>
    </row>
    <row r="306">
      <c r="A306" s="8" t="s">
        <v>493</v>
      </c>
      <c r="B306" s="9">
        <v>25.0</v>
      </c>
      <c r="C306" s="9" t="s">
        <v>460</v>
      </c>
      <c r="D306" s="9">
        <v>75.0</v>
      </c>
      <c r="E306" s="10">
        <v>0.6</v>
      </c>
      <c r="F306" s="9">
        <v>4.0</v>
      </c>
      <c r="G306" s="9">
        <v>1.0</v>
      </c>
      <c r="H306" s="9">
        <v>0.0</v>
      </c>
      <c r="I306" s="9">
        <v>0.0</v>
      </c>
      <c r="J306" s="17">
        <v>-3718.0</v>
      </c>
      <c r="K306" s="18">
        <v>-6138.85</v>
      </c>
      <c r="L306" s="17">
        <v>-4935.0</v>
      </c>
      <c r="M306" s="18">
        <v>-4935.0</v>
      </c>
      <c r="N306" s="18">
        <v>0.0</v>
      </c>
      <c r="O306" s="18">
        <v>642.449</v>
      </c>
    </row>
    <row r="307">
      <c r="A307" s="8" t="s">
        <v>494</v>
      </c>
      <c r="B307" s="9">
        <v>25.0</v>
      </c>
      <c r="C307" s="9" t="s">
        <v>460</v>
      </c>
      <c r="D307" s="9">
        <v>75.0</v>
      </c>
      <c r="E307" s="10">
        <v>0.6</v>
      </c>
      <c r="F307" s="9">
        <v>5.0</v>
      </c>
      <c r="G307" s="9">
        <v>1.0</v>
      </c>
      <c r="H307" s="9">
        <v>0.0</v>
      </c>
      <c r="I307" s="9">
        <v>0.0</v>
      </c>
      <c r="J307" s="17">
        <v>-3337.0</v>
      </c>
      <c r="K307" s="18">
        <v>-6079.85</v>
      </c>
      <c r="L307" s="17">
        <v>-4548.0</v>
      </c>
      <c r="M307" s="18">
        <v>-4548.0</v>
      </c>
      <c r="N307" s="18">
        <v>0.0</v>
      </c>
      <c r="O307" s="18">
        <v>983.522</v>
      </c>
    </row>
    <row r="308">
      <c r="A308" s="8" t="s">
        <v>495</v>
      </c>
      <c r="B308" s="9">
        <v>25.0</v>
      </c>
      <c r="C308" s="9" t="s">
        <v>460</v>
      </c>
      <c r="D308" s="9">
        <v>75.0</v>
      </c>
      <c r="E308" s="10">
        <v>1.0</v>
      </c>
      <c r="F308" s="9">
        <v>1.0</v>
      </c>
      <c r="G308" s="9">
        <v>0.0</v>
      </c>
      <c r="H308" s="9">
        <v>1.0</v>
      </c>
      <c r="I308" s="9">
        <v>0.0</v>
      </c>
      <c r="J308" s="17">
        <v>2701.0</v>
      </c>
      <c r="K308" s="18">
        <v>-91.3294</v>
      </c>
      <c r="L308" s="17">
        <v>650.0</v>
      </c>
      <c r="M308" s="18">
        <v>413.009</v>
      </c>
      <c r="N308" s="18">
        <v>36.4601</v>
      </c>
      <c r="O308" s="18">
        <v>3600.0</v>
      </c>
    </row>
    <row r="309">
      <c r="A309" s="8" t="s">
        <v>496</v>
      </c>
      <c r="B309" s="9">
        <v>25.0</v>
      </c>
      <c r="C309" s="9" t="s">
        <v>460</v>
      </c>
      <c r="D309" s="9">
        <v>75.0</v>
      </c>
      <c r="E309" s="10">
        <v>1.0</v>
      </c>
      <c r="F309" s="9">
        <v>2.0</v>
      </c>
      <c r="G309" s="9">
        <v>0.0</v>
      </c>
      <c r="H309" s="9">
        <v>1.0</v>
      </c>
      <c r="I309" s="9">
        <v>0.0</v>
      </c>
      <c r="J309" s="17">
        <v>1313.0</v>
      </c>
      <c r="K309" s="18">
        <v>-291.856</v>
      </c>
      <c r="L309" s="17">
        <v>549.0</v>
      </c>
      <c r="M309" s="18">
        <v>391.602</v>
      </c>
      <c r="N309" s="18">
        <v>28.67</v>
      </c>
      <c r="O309" s="18">
        <v>3600.0</v>
      </c>
    </row>
    <row r="310">
      <c r="A310" s="8" t="s">
        <v>497</v>
      </c>
      <c r="B310" s="9">
        <v>25.0</v>
      </c>
      <c r="C310" s="9" t="s">
        <v>460</v>
      </c>
      <c r="D310" s="9">
        <v>75.0</v>
      </c>
      <c r="E310" s="10">
        <v>1.0</v>
      </c>
      <c r="F310" s="9">
        <v>3.0</v>
      </c>
      <c r="G310" s="9">
        <v>1.0</v>
      </c>
      <c r="H310" s="9">
        <v>0.0</v>
      </c>
      <c r="I310" s="9">
        <v>0.0</v>
      </c>
      <c r="J310" s="17">
        <v>1539.0</v>
      </c>
      <c r="K310" s="18">
        <v>-49.842</v>
      </c>
      <c r="L310" s="17">
        <v>557.0</v>
      </c>
      <c r="M310" s="18">
        <v>557.0</v>
      </c>
      <c r="N310" s="18">
        <v>0.0</v>
      </c>
      <c r="O310" s="18">
        <v>1529.88</v>
      </c>
    </row>
    <row r="311">
      <c r="A311" s="8" t="s">
        <v>498</v>
      </c>
      <c r="B311" s="9">
        <v>25.0</v>
      </c>
      <c r="C311" s="9" t="s">
        <v>460</v>
      </c>
      <c r="D311" s="9">
        <v>75.0</v>
      </c>
      <c r="E311" s="10">
        <v>1.0</v>
      </c>
      <c r="F311" s="9">
        <v>4.0</v>
      </c>
      <c r="G311" s="9">
        <v>0.0</v>
      </c>
      <c r="H311" s="9">
        <v>1.0</v>
      </c>
      <c r="I311" s="9">
        <v>0.0</v>
      </c>
      <c r="J311" s="17">
        <v>1547.0</v>
      </c>
      <c r="K311" s="18">
        <v>82.3401</v>
      </c>
      <c r="L311" s="17">
        <v>843.0</v>
      </c>
      <c r="M311" s="18">
        <v>561.48</v>
      </c>
      <c r="N311" s="18">
        <v>33.3951</v>
      </c>
      <c r="O311" s="18">
        <v>3600.0</v>
      </c>
    </row>
    <row r="312">
      <c r="A312" s="8" t="s">
        <v>499</v>
      </c>
      <c r="B312" s="9">
        <v>25.0</v>
      </c>
      <c r="C312" s="9" t="s">
        <v>460</v>
      </c>
      <c r="D312" s="9">
        <v>75.0</v>
      </c>
      <c r="E312" s="10">
        <v>1.0</v>
      </c>
      <c r="F312" s="9">
        <v>5.0</v>
      </c>
      <c r="G312" s="9">
        <v>1.0</v>
      </c>
      <c r="H312" s="9">
        <v>0.0</v>
      </c>
      <c r="I312" s="9">
        <v>0.0</v>
      </c>
      <c r="J312" s="17">
        <v>3257.0</v>
      </c>
      <c r="K312" s="18">
        <v>-312.762</v>
      </c>
      <c r="L312" s="17">
        <v>381.0</v>
      </c>
      <c r="M312" s="18">
        <v>381.0</v>
      </c>
      <c r="N312" s="18">
        <v>0.0</v>
      </c>
      <c r="O312" s="18">
        <v>3094.39</v>
      </c>
    </row>
    <row r="313">
      <c r="A313" s="8" t="s">
        <v>500</v>
      </c>
      <c r="B313" s="9">
        <v>25.0</v>
      </c>
      <c r="C313" s="9" t="s">
        <v>460</v>
      </c>
      <c r="D313" s="9">
        <v>75.0</v>
      </c>
      <c r="E313" s="10">
        <v>2.0</v>
      </c>
      <c r="F313" s="9">
        <v>1.0</v>
      </c>
      <c r="G313" s="9">
        <v>1.0</v>
      </c>
      <c r="H313" s="9">
        <v>0.0</v>
      </c>
      <c r="I313" s="9">
        <v>0.0</v>
      </c>
      <c r="J313" s="17">
        <v>54898.0</v>
      </c>
      <c r="K313" s="18">
        <v>54863.2</v>
      </c>
      <c r="L313" s="17">
        <v>54898.0</v>
      </c>
      <c r="M313" s="18">
        <v>54898.0</v>
      </c>
      <c r="N313" s="18">
        <v>0.0</v>
      </c>
      <c r="O313" s="18">
        <v>0.374</v>
      </c>
    </row>
    <row r="314">
      <c r="A314" s="8" t="s">
        <v>501</v>
      </c>
      <c r="B314" s="9">
        <v>25.0</v>
      </c>
      <c r="C314" s="9" t="s">
        <v>460</v>
      </c>
      <c r="D314" s="9">
        <v>75.0</v>
      </c>
      <c r="E314" s="10">
        <v>2.0</v>
      </c>
      <c r="F314" s="9">
        <v>2.0</v>
      </c>
      <c r="G314" s="9">
        <v>1.0</v>
      </c>
      <c r="H314" s="9">
        <v>0.0</v>
      </c>
      <c r="I314" s="9">
        <v>0.0</v>
      </c>
      <c r="J314" s="17">
        <v>55009.0</v>
      </c>
      <c r="K314" s="18">
        <v>54871.9</v>
      </c>
      <c r="L314" s="17">
        <v>54977.0</v>
      </c>
      <c r="M314" s="18">
        <v>54977.0</v>
      </c>
      <c r="N314" s="18">
        <v>0.0</v>
      </c>
      <c r="O314" s="18">
        <v>1.175</v>
      </c>
    </row>
    <row r="315">
      <c r="A315" s="8" t="s">
        <v>502</v>
      </c>
      <c r="B315" s="9">
        <v>25.0</v>
      </c>
      <c r="C315" s="9" t="s">
        <v>460</v>
      </c>
      <c r="D315" s="9">
        <v>75.0</v>
      </c>
      <c r="E315" s="10">
        <v>2.0</v>
      </c>
      <c r="F315" s="9">
        <v>3.0</v>
      </c>
      <c r="G315" s="9">
        <v>1.0</v>
      </c>
      <c r="H315" s="9">
        <v>0.0</v>
      </c>
      <c r="I315" s="9">
        <v>0.0</v>
      </c>
      <c r="J315" s="17">
        <v>55748.0</v>
      </c>
      <c r="K315" s="18">
        <v>50974.3</v>
      </c>
      <c r="L315" s="17">
        <v>55574.0</v>
      </c>
      <c r="M315" s="18">
        <v>55574.0</v>
      </c>
      <c r="N315" s="18">
        <v>0.0</v>
      </c>
      <c r="O315" s="18">
        <v>365.909</v>
      </c>
    </row>
    <row r="316">
      <c r="A316" s="8" t="s">
        <v>503</v>
      </c>
      <c r="B316" s="9">
        <v>25.0</v>
      </c>
      <c r="C316" s="9" t="s">
        <v>460</v>
      </c>
      <c r="D316" s="9">
        <v>75.0</v>
      </c>
      <c r="E316" s="10">
        <v>2.0</v>
      </c>
      <c r="F316" s="9">
        <v>4.0</v>
      </c>
      <c r="G316" s="9">
        <v>0.0</v>
      </c>
      <c r="H316" s="9">
        <v>1.0</v>
      </c>
      <c r="I316" s="9">
        <v>0.0</v>
      </c>
      <c r="J316" s="17">
        <v>61509.0</v>
      </c>
      <c r="K316" s="18">
        <v>55789.0</v>
      </c>
      <c r="L316" s="17">
        <v>61230.0</v>
      </c>
      <c r="M316" s="18">
        <v>57584.4</v>
      </c>
      <c r="N316" s="18">
        <v>5.95392</v>
      </c>
      <c r="O316" s="18">
        <v>3600.0</v>
      </c>
    </row>
    <row r="317">
      <c r="A317" s="8" t="s">
        <v>504</v>
      </c>
      <c r="B317" s="9">
        <v>25.0</v>
      </c>
      <c r="C317" s="9" t="s">
        <v>460</v>
      </c>
      <c r="D317" s="9">
        <v>75.0</v>
      </c>
      <c r="E317" s="10">
        <v>2.0</v>
      </c>
      <c r="F317" s="9">
        <v>5.0</v>
      </c>
      <c r="G317" s="9">
        <v>1.0</v>
      </c>
      <c r="H317" s="9">
        <v>0.0</v>
      </c>
      <c r="I317" s="9">
        <v>0.0</v>
      </c>
      <c r="J317" s="17">
        <v>56848.0</v>
      </c>
      <c r="K317" s="18">
        <v>53226.2</v>
      </c>
      <c r="L317" s="17">
        <v>56606.0</v>
      </c>
      <c r="M317" s="18">
        <v>56606.0</v>
      </c>
      <c r="N317" s="18">
        <v>0.0</v>
      </c>
      <c r="O317" s="18">
        <v>1.252</v>
      </c>
    </row>
    <row r="318">
      <c r="A318" s="8" t="s">
        <v>505</v>
      </c>
      <c r="B318" s="9">
        <v>30.0</v>
      </c>
      <c r="C318" s="9" t="s">
        <v>460</v>
      </c>
      <c r="D318" s="9">
        <v>25.0</v>
      </c>
      <c r="E318" s="10">
        <v>0.6</v>
      </c>
      <c r="F318" s="9">
        <v>1.0</v>
      </c>
      <c r="G318" s="9">
        <v>1.0</v>
      </c>
      <c r="H318" s="9">
        <v>0.0</v>
      </c>
      <c r="I318" s="9">
        <v>0.0</v>
      </c>
      <c r="J318" s="17">
        <v>-2250.0</v>
      </c>
      <c r="K318" s="18">
        <v>-4325.56</v>
      </c>
      <c r="L318" s="17">
        <v>-3074.0</v>
      </c>
      <c r="M318" s="18">
        <v>-3074.0</v>
      </c>
      <c r="N318" s="18">
        <v>0.0</v>
      </c>
      <c r="O318" s="18">
        <v>882.978</v>
      </c>
    </row>
    <row r="319">
      <c r="A319" s="8" t="s">
        <v>506</v>
      </c>
      <c r="B319" s="9">
        <v>30.0</v>
      </c>
      <c r="C319" s="9" t="s">
        <v>460</v>
      </c>
      <c r="D319" s="9">
        <v>25.0</v>
      </c>
      <c r="E319" s="10">
        <v>0.6</v>
      </c>
      <c r="F319" s="9">
        <v>2.0</v>
      </c>
      <c r="G319" s="9">
        <v>1.0</v>
      </c>
      <c r="H319" s="9">
        <v>0.0</v>
      </c>
      <c r="I319" s="9">
        <v>0.0</v>
      </c>
      <c r="J319" s="17">
        <v>-2653.0</v>
      </c>
      <c r="K319" s="18">
        <v>-4450.19</v>
      </c>
      <c r="L319" s="17">
        <v>-3114.0</v>
      </c>
      <c r="M319" s="18">
        <v>-3114.0</v>
      </c>
      <c r="N319" s="18">
        <v>0.0</v>
      </c>
      <c r="O319" s="18">
        <v>1323.13</v>
      </c>
    </row>
    <row r="320">
      <c r="A320" s="8" t="s">
        <v>507</v>
      </c>
      <c r="B320" s="9">
        <v>30.0</v>
      </c>
      <c r="C320" s="9" t="s">
        <v>460</v>
      </c>
      <c r="D320" s="9">
        <v>25.0</v>
      </c>
      <c r="E320" s="10">
        <v>0.6</v>
      </c>
      <c r="F320" s="9">
        <v>3.0</v>
      </c>
      <c r="G320" s="9">
        <v>1.0</v>
      </c>
      <c r="H320" s="9">
        <v>0.0</v>
      </c>
      <c r="I320" s="9">
        <v>0.0</v>
      </c>
      <c r="J320" s="17">
        <v>-1973.0</v>
      </c>
      <c r="K320" s="18">
        <v>-4291.07</v>
      </c>
      <c r="L320" s="17">
        <v>-2944.0</v>
      </c>
      <c r="M320" s="18">
        <v>-2944.0</v>
      </c>
      <c r="N320" s="18">
        <v>0.0</v>
      </c>
      <c r="O320" s="18">
        <v>1566.2</v>
      </c>
    </row>
    <row r="321">
      <c r="A321" s="8" t="s">
        <v>508</v>
      </c>
      <c r="B321" s="9">
        <v>30.0</v>
      </c>
      <c r="C321" s="9" t="s">
        <v>460</v>
      </c>
      <c r="D321" s="9">
        <v>25.0</v>
      </c>
      <c r="E321" s="10">
        <v>0.6</v>
      </c>
      <c r="F321" s="9">
        <v>4.0</v>
      </c>
      <c r="G321" s="9">
        <v>1.0</v>
      </c>
      <c r="H321" s="9">
        <v>0.0</v>
      </c>
      <c r="I321" s="9">
        <v>0.0</v>
      </c>
      <c r="J321" s="17">
        <v>-2463.0</v>
      </c>
      <c r="K321" s="18">
        <v>-4437.76</v>
      </c>
      <c r="L321" s="17">
        <v>-2948.0</v>
      </c>
      <c r="M321" s="18">
        <v>-2948.0</v>
      </c>
      <c r="N321" s="18">
        <v>0.0</v>
      </c>
      <c r="O321" s="18">
        <v>3561.5</v>
      </c>
    </row>
    <row r="322">
      <c r="A322" s="8" t="s">
        <v>509</v>
      </c>
      <c r="B322" s="9">
        <v>30.0</v>
      </c>
      <c r="C322" s="9" t="s">
        <v>460</v>
      </c>
      <c r="D322" s="9">
        <v>25.0</v>
      </c>
      <c r="E322" s="10">
        <v>0.6</v>
      </c>
      <c r="F322" s="9">
        <v>5.0</v>
      </c>
      <c r="G322" s="9">
        <v>0.0</v>
      </c>
      <c r="H322" s="9">
        <v>1.0</v>
      </c>
      <c r="I322" s="9">
        <v>0.0</v>
      </c>
      <c r="J322" s="17">
        <v>-2236.0</v>
      </c>
      <c r="K322" s="18">
        <v>-5087.03</v>
      </c>
      <c r="L322" s="17">
        <v>-3357.0</v>
      </c>
      <c r="M322" s="18">
        <v>-3482.56</v>
      </c>
      <c r="N322" s="18">
        <v>3.74013</v>
      </c>
      <c r="O322" s="18">
        <v>3600.0</v>
      </c>
    </row>
    <row r="323">
      <c r="A323" s="8" t="s">
        <v>510</v>
      </c>
      <c r="B323" s="9">
        <v>30.0</v>
      </c>
      <c r="C323" s="9" t="s">
        <v>460</v>
      </c>
      <c r="D323" s="9">
        <v>25.0</v>
      </c>
      <c r="E323" s="10">
        <v>1.0</v>
      </c>
      <c r="F323" s="9">
        <v>1.0</v>
      </c>
      <c r="G323" s="9">
        <v>0.0</v>
      </c>
      <c r="H323" s="9">
        <v>1.0</v>
      </c>
      <c r="I323" s="9">
        <v>0.0</v>
      </c>
      <c r="J323" s="17">
        <v>-654.0</v>
      </c>
      <c r="K323" s="18">
        <v>-2117.79</v>
      </c>
      <c r="L323" s="17">
        <v>-1039.0</v>
      </c>
      <c r="M323" s="18">
        <v>-1538.16</v>
      </c>
      <c r="N323" s="18">
        <v>48.0423</v>
      </c>
      <c r="O323" s="18">
        <v>3600.0</v>
      </c>
    </row>
    <row r="324">
      <c r="A324" s="8" t="s">
        <v>511</v>
      </c>
      <c r="B324" s="9">
        <v>30.0</v>
      </c>
      <c r="C324" s="9" t="s">
        <v>460</v>
      </c>
      <c r="D324" s="9">
        <v>25.0</v>
      </c>
      <c r="E324" s="10">
        <v>1.0</v>
      </c>
      <c r="F324" s="9">
        <v>2.0</v>
      </c>
      <c r="G324" s="9">
        <v>0.0</v>
      </c>
      <c r="H324" s="9">
        <v>1.0</v>
      </c>
      <c r="I324" s="9">
        <v>0.0</v>
      </c>
      <c r="J324" s="17">
        <v>-465.0</v>
      </c>
      <c r="K324" s="18">
        <v>-1986.95</v>
      </c>
      <c r="L324" s="17">
        <v>-1097.0</v>
      </c>
      <c r="M324" s="18">
        <v>-1308.51</v>
      </c>
      <c r="N324" s="18">
        <v>19.2811</v>
      </c>
      <c r="O324" s="18">
        <v>3600.0</v>
      </c>
    </row>
    <row r="325">
      <c r="A325" s="8" t="s">
        <v>512</v>
      </c>
      <c r="B325" s="9">
        <v>30.0</v>
      </c>
      <c r="C325" s="9" t="s">
        <v>460</v>
      </c>
      <c r="D325" s="9">
        <v>25.0</v>
      </c>
      <c r="E325" s="10">
        <v>1.0</v>
      </c>
      <c r="F325" s="9">
        <v>3.0</v>
      </c>
      <c r="G325" s="9">
        <v>0.0</v>
      </c>
      <c r="H325" s="9">
        <v>1.0</v>
      </c>
      <c r="I325" s="9">
        <v>0.0</v>
      </c>
      <c r="J325" s="17">
        <v>-524.0</v>
      </c>
      <c r="K325" s="18">
        <v>-2165.03</v>
      </c>
      <c r="L325" s="17">
        <v>-946.0</v>
      </c>
      <c r="M325" s="18">
        <v>-1511.37</v>
      </c>
      <c r="N325" s="18">
        <v>59.764</v>
      </c>
      <c r="O325" s="18">
        <v>3600.0</v>
      </c>
    </row>
    <row r="326">
      <c r="A326" s="8" t="s">
        <v>513</v>
      </c>
      <c r="B326" s="9">
        <v>30.0</v>
      </c>
      <c r="C326" s="9" t="s">
        <v>460</v>
      </c>
      <c r="D326" s="9">
        <v>25.0</v>
      </c>
      <c r="E326" s="10">
        <v>1.0</v>
      </c>
      <c r="F326" s="9">
        <v>4.0</v>
      </c>
      <c r="G326" s="9">
        <v>0.0</v>
      </c>
      <c r="H326" s="9">
        <v>1.0</v>
      </c>
      <c r="I326" s="9">
        <v>0.0</v>
      </c>
      <c r="J326" s="17">
        <v>-729.0</v>
      </c>
      <c r="K326" s="18">
        <v>-2115.79</v>
      </c>
      <c r="L326" s="17">
        <v>-929.0</v>
      </c>
      <c r="M326" s="18">
        <v>-1552.29</v>
      </c>
      <c r="N326" s="18">
        <v>67.0924</v>
      </c>
      <c r="O326" s="18">
        <v>3600.0</v>
      </c>
    </row>
    <row r="327">
      <c r="A327" s="8" t="s">
        <v>514</v>
      </c>
      <c r="B327" s="9">
        <v>30.0</v>
      </c>
      <c r="C327" s="9" t="s">
        <v>460</v>
      </c>
      <c r="D327" s="9">
        <v>25.0</v>
      </c>
      <c r="E327" s="10">
        <v>1.0</v>
      </c>
      <c r="F327" s="9">
        <v>5.0</v>
      </c>
      <c r="G327" s="9">
        <v>0.0</v>
      </c>
      <c r="H327" s="9">
        <v>1.0</v>
      </c>
      <c r="I327" s="9">
        <v>0.0</v>
      </c>
      <c r="J327" s="17">
        <v>-588.0</v>
      </c>
      <c r="K327" s="18">
        <v>-2264.48</v>
      </c>
      <c r="L327" s="17">
        <v>-1025.0</v>
      </c>
      <c r="M327" s="18">
        <v>-1653.11</v>
      </c>
      <c r="N327" s="18">
        <v>61.2795</v>
      </c>
      <c r="O327" s="18">
        <v>3600.0</v>
      </c>
    </row>
    <row r="328">
      <c r="A328" s="8" t="s">
        <v>515</v>
      </c>
      <c r="B328" s="9">
        <v>30.0</v>
      </c>
      <c r="C328" s="9" t="s">
        <v>460</v>
      </c>
      <c r="D328" s="9">
        <v>25.0</v>
      </c>
      <c r="E328" s="10">
        <v>2.0</v>
      </c>
      <c r="F328" s="9">
        <v>1.0</v>
      </c>
      <c r="G328" s="9">
        <v>0.0</v>
      </c>
      <c r="H328" s="9">
        <v>1.0</v>
      </c>
      <c r="I328" s="9">
        <v>0.0</v>
      </c>
      <c r="J328" s="17">
        <v>17510.0</v>
      </c>
      <c r="K328" s="18">
        <v>15924.5</v>
      </c>
      <c r="L328" s="17">
        <v>16370.0</v>
      </c>
      <c r="M328" s="18">
        <v>16273.1</v>
      </c>
      <c r="N328" s="18">
        <v>0.591926</v>
      </c>
      <c r="O328" s="18">
        <v>3600.0</v>
      </c>
    </row>
    <row r="329">
      <c r="A329" s="8" t="s">
        <v>516</v>
      </c>
      <c r="B329" s="9">
        <v>30.0</v>
      </c>
      <c r="C329" s="9" t="s">
        <v>460</v>
      </c>
      <c r="D329" s="9">
        <v>25.0</v>
      </c>
      <c r="E329" s="10">
        <v>2.0</v>
      </c>
      <c r="F329" s="9">
        <v>2.0</v>
      </c>
      <c r="G329" s="9">
        <v>1.0</v>
      </c>
      <c r="H329" s="9">
        <v>0.0</v>
      </c>
      <c r="I329" s="9">
        <v>0.0</v>
      </c>
      <c r="J329" s="17">
        <v>19228.0</v>
      </c>
      <c r="K329" s="18">
        <v>17249.7</v>
      </c>
      <c r="L329" s="17">
        <v>17533.0</v>
      </c>
      <c r="M329" s="18">
        <v>17533.0</v>
      </c>
      <c r="N329" s="18">
        <v>0.0</v>
      </c>
      <c r="O329" s="18">
        <v>327.095</v>
      </c>
    </row>
    <row r="330">
      <c r="A330" s="8" t="s">
        <v>517</v>
      </c>
      <c r="B330" s="9">
        <v>30.0</v>
      </c>
      <c r="C330" s="9" t="s">
        <v>460</v>
      </c>
      <c r="D330" s="9">
        <v>25.0</v>
      </c>
      <c r="E330" s="10">
        <v>2.0</v>
      </c>
      <c r="F330" s="9">
        <v>3.0</v>
      </c>
      <c r="G330" s="9">
        <v>1.0</v>
      </c>
      <c r="H330" s="9">
        <v>0.0</v>
      </c>
      <c r="I330" s="9">
        <v>0.0</v>
      </c>
      <c r="J330" s="17">
        <v>17211.0</v>
      </c>
      <c r="K330" s="18">
        <v>15540.7</v>
      </c>
      <c r="L330" s="17">
        <v>15870.0</v>
      </c>
      <c r="M330" s="18">
        <v>15870.0</v>
      </c>
      <c r="N330" s="18">
        <v>0.0</v>
      </c>
      <c r="O330" s="18">
        <v>824.138</v>
      </c>
    </row>
    <row r="331">
      <c r="A331" s="8" t="s">
        <v>518</v>
      </c>
      <c r="B331" s="9">
        <v>30.0</v>
      </c>
      <c r="C331" s="9" t="s">
        <v>460</v>
      </c>
      <c r="D331" s="9">
        <v>25.0</v>
      </c>
      <c r="E331" s="10">
        <v>2.0</v>
      </c>
      <c r="F331" s="9">
        <v>4.0</v>
      </c>
      <c r="G331" s="9">
        <v>1.0</v>
      </c>
      <c r="H331" s="9">
        <v>0.0</v>
      </c>
      <c r="I331" s="9">
        <v>0.0</v>
      </c>
      <c r="J331" s="17">
        <v>18256.0</v>
      </c>
      <c r="K331" s="18">
        <v>16540.3</v>
      </c>
      <c r="L331" s="17">
        <v>16871.0</v>
      </c>
      <c r="M331" s="18">
        <v>16871.0</v>
      </c>
      <c r="N331" s="18">
        <v>0.0</v>
      </c>
      <c r="O331" s="18">
        <v>2456.59</v>
      </c>
    </row>
    <row r="332">
      <c r="A332" s="8" t="s">
        <v>519</v>
      </c>
      <c r="B332" s="9">
        <v>30.0</v>
      </c>
      <c r="C332" s="9" t="s">
        <v>460</v>
      </c>
      <c r="D332" s="9">
        <v>25.0</v>
      </c>
      <c r="E332" s="10">
        <v>2.0</v>
      </c>
      <c r="F332" s="9">
        <v>5.0</v>
      </c>
      <c r="G332" s="9">
        <v>1.0</v>
      </c>
      <c r="H332" s="9">
        <v>0.0</v>
      </c>
      <c r="I332" s="9">
        <v>0.0</v>
      </c>
      <c r="J332" s="17">
        <v>20775.0</v>
      </c>
      <c r="K332" s="18">
        <v>20520.7</v>
      </c>
      <c r="L332" s="17">
        <v>20663.0</v>
      </c>
      <c r="M332" s="18">
        <v>20663.0</v>
      </c>
      <c r="N332" s="18">
        <v>0.0</v>
      </c>
      <c r="O332" s="18">
        <v>6.694</v>
      </c>
    </row>
    <row r="333">
      <c r="A333" s="8" t="s">
        <v>520</v>
      </c>
      <c r="B333" s="9">
        <v>30.0</v>
      </c>
      <c r="C333" s="9" t="s">
        <v>460</v>
      </c>
      <c r="D333" s="9">
        <v>50.0</v>
      </c>
      <c r="E333" s="10">
        <v>0.6</v>
      </c>
      <c r="F333" s="9">
        <v>1.0</v>
      </c>
      <c r="G333" s="9">
        <v>0.0</v>
      </c>
      <c r="H333" s="9">
        <v>1.0</v>
      </c>
      <c r="I333" s="9">
        <v>0.0</v>
      </c>
      <c r="J333" s="17">
        <v>-3003.0</v>
      </c>
      <c r="K333" s="18">
        <v>-7564.08</v>
      </c>
      <c r="L333" s="17">
        <v>-5077.0</v>
      </c>
      <c r="M333" s="18">
        <v>-5694.32</v>
      </c>
      <c r="N333" s="18">
        <v>12.1591</v>
      </c>
      <c r="O333" s="18">
        <v>3600.0</v>
      </c>
    </row>
    <row r="334">
      <c r="A334" s="8" t="s">
        <v>521</v>
      </c>
      <c r="B334" s="9">
        <v>30.0</v>
      </c>
      <c r="C334" s="9" t="s">
        <v>460</v>
      </c>
      <c r="D334" s="9">
        <v>50.0</v>
      </c>
      <c r="E334" s="10">
        <v>0.6</v>
      </c>
      <c r="F334" s="9">
        <v>2.0</v>
      </c>
      <c r="G334" s="9">
        <v>1.0</v>
      </c>
      <c r="H334" s="9">
        <v>0.0</v>
      </c>
      <c r="I334" s="9">
        <v>0.0</v>
      </c>
      <c r="J334" s="17">
        <v>-5344.0</v>
      </c>
      <c r="K334" s="18">
        <v>-7738.08</v>
      </c>
      <c r="L334" s="17">
        <v>-5618.0</v>
      </c>
      <c r="M334" s="18">
        <v>-5618.0</v>
      </c>
      <c r="N334" s="18">
        <v>0.0</v>
      </c>
      <c r="O334" s="18">
        <v>1148.05</v>
      </c>
    </row>
    <row r="335">
      <c r="A335" s="8" t="s">
        <v>522</v>
      </c>
      <c r="B335" s="9">
        <v>30.0</v>
      </c>
      <c r="C335" s="9" t="s">
        <v>460</v>
      </c>
      <c r="D335" s="9">
        <v>50.0</v>
      </c>
      <c r="E335" s="10">
        <v>0.6</v>
      </c>
      <c r="F335" s="9">
        <v>3.0</v>
      </c>
      <c r="G335" s="9">
        <v>0.0</v>
      </c>
      <c r="H335" s="9">
        <v>1.0</v>
      </c>
      <c r="I335" s="9">
        <v>0.0</v>
      </c>
      <c r="J335" s="17">
        <v>-3047.0</v>
      </c>
      <c r="K335" s="18">
        <v>-7890.01</v>
      </c>
      <c r="L335" s="17">
        <v>-5124.0</v>
      </c>
      <c r="M335" s="18">
        <v>-6216.42</v>
      </c>
      <c r="N335" s="18">
        <v>21.3196</v>
      </c>
      <c r="O335" s="18">
        <v>3600.0</v>
      </c>
    </row>
    <row r="336">
      <c r="A336" s="8" t="s">
        <v>523</v>
      </c>
      <c r="B336" s="9">
        <v>30.0</v>
      </c>
      <c r="C336" s="9" t="s">
        <v>460</v>
      </c>
      <c r="D336" s="9">
        <v>50.0</v>
      </c>
      <c r="E336" s="10">
        <v>0.6</v>
      </c>
      <c r="F336" s="9">
        <v>4.0</v>
      </c>
      <c r="G336" s="9">
        <v>0.0</v>
      </c>
      <c r="H336" s="9">
        <v>1.0</v>
      </c>
      <c r="I336" s="9">
        <v>0.0</v>
      </c>
      <c r="J336" s="17">
        <v>-3568.0</v>
      </c>
      <c r="K336" s="18">
        <v>-7739.39</v>
      </c>
      <c r="L336" s="17">
        <v>-4780.0</v>
      </c>
      <c r="M336" s="18">
        <v>-5998.92</v>
      </c>
      <c r="N336" s="18">
        <v>25.5003</v>
      </c>
      <c r="O336" s="18">
        <v>3600.0</v>
      </c>
    </row>
    <row r="337">
      <c r="A337" s="8" t="s">
        <v>524</v>
      </c>
      <c r="B337" s="9">
        <v>30.0</v>
      </c>
      <c r="C337" s="9" t="s">
        <v>460</v>
      </c>
      <c r="D337" s="9">
        <v>50.0</v>
      </c>
      <c r="E337" s="10">
        <v>0.6</v>
      </c>
      <c r="F337" s="9">
        <v>5.0</v>
      </c>
      <c r="G337" s="9">
        <v>0.0</v>
      </c>
      <c r="H337" s="9">
        <v>1.0</v>
      </c>
      <c r="I337" s="9">
        <v>0.0</v>
      </c>
      <c r="J337" s="17">
        <v>-3899.0</v>
      </c>
      <c r="K337" s="18">
        <v>-7688.65</v>
      </c>
      <c r="L337" s="17">
        <v>-4850.0</v>
      </c>
      <c r="M337" s="18">
        <v>-5880.24</v>
      </c>
      <c r="N337" s="18">
        <v>21.2421</v>
      </c>
      <c r="O337" s="18">
        <v>3600.0</v>
      </c>
    </row>
    <row r="338">
      <c r="A338" s="8" t="s">
        <v>525</v>
      </c>
      <c r="B338" s="9">
        <v>30.0</v>
      </c>
      <c r="C338" s="9" t="s">
        <v>460</v>
      </c>
      <c r="D338" s="9">
        <v>50.0</v>
      </c>
      <c r="E338" s="10">
        <v>1.0</v>
      </c>
      <c r="F338" s="9">
        <v>1.0</v>
      </c>
      <c r="G338" s="9">
        <v>0.0</v>
      </c>
      <c r="H338" s="9">
        <v>1.0</v>
      </c>
      <c r="I338" s="9">
        <v>0.0</v>
      </c>
      <c r="J338" s="17">
        <v>352.0</v>
      </c>
      <c r="K338" s="18">
        <v>-2430.28</v>
      </c>
      <c r="L338" s="17">
        <v>-965.0</v>
      </c>
      <c r="M338" s="18">
        <v>-1781.51</v>
      </c>
      <c r="N338" s="18">
        <v>84.6126</v>
      </c>
      <c r="O338" s="18">
        <v>3600.0</v>
      </c>
    </row>
    <row r="339">
      <c r="A339" s="8" t="s">
        <v>526</v>
      </c>
      <c r="B339" s="9">
        <v>30.0</v>
      </c>
      <c r="C339" s="9" t="s">
        <v>460</v>
      </c>
      <c r="D339" s="9">
        <v>50.0</v>
      </c>
      <c r="E339" s="10">
        <v>1.0</v>
      </c>
      <c r="F339" s="9">
        <v>2.0</v>
      </c>
      <c r="G339" s="9">
        <v>1.0</v>
      </c>
      <c r="H339" s="9">
        <v>0.0</v>
      </c>
      <c r="I339" s="9">
        <v>0.0</v>
      </c>
      <c r="J339" s="17">
        <v>-127.0</v>
      </c>
      <c r="K339" s="18">
        <v>-3290.93</v>
      </c>
      <c r="L339" s="17">
        <v>-1951.0</v>
      </c>
      <c r="M339" s="18">
        <v>-1951.0</v>
      </c>
      <c r="N339" s="18">
        <v>0.0</v>
      </c>
      <c r="O339" s="18">
        <v>3159.83</v>
      </c>
    </row>
    <row r="340">
      <c r="A340" s="8" t="s">
        <v>527</v>
      </c>
      <c r="B340" s="9">
        <v>30.0</v>
      </c>
      <c r="C340" s="9" t="s">
        <v>460</v>
      </c>
      <c r="D340" s="9">
        <v>50.0</v>
      </c>
      <c r="E340" s="10">
        <v>1.0</v>
      </c>
      <c r="F340" s="9">
        <v>3.0</v>
      </c>
      <c r="G340" s="9">
        <v>0.0</v>
      </c>
      <c r="H340" s="9">
        <v>1.0</v>
      </c>
      <c r="I340" s="9">
        <v>0.0</v>
      </c>
      <c r="J340" s="17">
        <v>-311.0</v>
      </c>
      <c r="K340" s="18">
        <v>-2376.59</v>
      </c>
      <c r="L340" s="17">
        <v>-761.0</v>
      </c>
      <c r="M340" s="18">
        <v>-1780.82</v>
      </c>
      <c r="N340" s="18">
        <v>134.01</v>
      </c>
      <c r="O340" s="18">
        <v>3600.0</v>
      </c>
    </row>
    <row r="341">
      <c r="A341" s="8" t="s">
        <v>528</v>
      </c>
      <c r="B341" s="9">
        <v>30.0</v>
      </c>
      <c r="C341" s="9" t="s">
        <v>460</v>
      </c>
      <c r="D341" s="9">
        <v>50.0</v>
      </c>
      <c r="E341" s="10">
        <v>1.0</v>
      </c>
      <c r="F341" s="9">
        <v>4.0</v>
      </c>
      <c r="G341" s="9">
        <v>0.0</v>
      </c>
      <c r="H341" s="9">
        <v>1.0</v>
      </c>
      <c r="I341" s="9">
        <v>0.0</v>
      </c>
      <c r="J341" s="17">
        <v>51.0</v>
      </c>
      <c r="K341" s="18">
        <v>-2443.84</v>
      </c>
      <c r="L341" s="17">
        <v>-412.0</v>
      </c>
      <c r="M341" s="18">
        <v>-1766.82</v>
      </c>
      <c r="N341" s="18">
        <v>328.84</v>
      </c>
      <c r="O341" s="18">
        <v>3600.0</v>
      </c>
    </row>
    <row r="342">
      <c r="A342" s="8" t="s">
        <v>529</v>
      </c>
      <c r="B342" s="9">
        <v>30.0</v>
      </c>
      <c r="C342" s="9" t="s">
        <v>460</v>
      </c>
      <c r="D342" s="9">
        <v>50.0</v>
      </c>
      <c r="E342" s="10">
        <v>1.0</v>
      </c>
      <c r="F342" s="9">
        <v>5.0</v>
      </c>
      <c r="G342" s="9">
        <v>0.0</v>
      </c>
      <c r="H342" s="9">
        <v>1.0</v>
      </c>
      <c r="I342" s="9">
        <v>0.0</v>
      </c>
      <c r="J342" s="17">
        <v>-433.0</v>
      </c>
      <c r="K342" s="18">
        <v>-2500.01</v>
      </c>
      <c r="L342" s="17">
        <v>-865.0</v>
      </c>
      <c r="M342" s="18">
        <v>-1776.03</v>
      </c>
      <c r="N342" s="18">
        <v>105.321</v>
      </c>
      <c r="O342" s="18">
        <v>3600.0</v>
      </c>
    </row>
    <row r="343">
      <c r="A343" s="8" t="s">
        <v>530</v>
      </c>
      <c r="B343" s="9">
        <v>30.0</v>
      </c>
      <c r="C343" s="9" t="s">
        <v>460</v>
      </c>
      <c r="D343" s="9">
        <v>50.0</v>
      </c>
      <c r="E343" s="10">
        <v>2.0</v>
      </c>
      <c r="F343" s="9">
        <v>1.0</v>
      </c>
      <c r="G343" s="9">
        <v>1.0</v>
      </c>
      <c r="H343" s="9">
        <v>0.0</v>
      </c>
      <c r="I343" s="9">
        <v>0.0</v>
      </c>
      <c r="J343" s="17">
        <v>34677.0</v>
      </c>
      <c r="K343" s="18">
        <v>34049.9</v>
      </c>
      <c r="L343" s="17">
        <v>34399.0</v>
      </c>
      <c r="M343" s="18">
        <v>34399.0</v>
      </c>
      <c r="N343" s="18">
        <v>0.0</v>
      </c>
      <c r="O343" s="18">
        <v>226.015</v>
      </c>
    </row>
    <row r="344">
      <c r="A344" s="8" t="s">
        <v>531</v>
      </c>
      <c r="B344" s="9">
        <v>30.0</v>
      </c>
      <c r="C344" s="9" t="s">
        <v>460</v>
      </c>
      <c r="D344" s="9">
        <v>50.0</v>
      </c>
      <c r="E344" s="10">
        <v>2.0</v>
      </c>
      <c r="F344" s="9">
        <v>2.0</v>
      </c>
      <c r="G344" s="9">
        <v>1.0</v>
      </c>
      <c r="H344" s="9">
        <v>0.0</v>
      </c>
      <c r="I344" s="9">
        <v>0.0</v>
      </c>
      <c r="J344" s="17">
        <v>32578.0</v>
      </c>
      <c r="K344" s="18">
        <v>32161.1</v>
      </c>
      <c r="L344" s="17">
        <v>32568.0</v>
      </c>
      <c r="M344" s="18">
        <v>32568.0</v>
      </c>
      <c r="N344" s="18">
        <v>0.0</v>
      </c>
      <c r="O344" s="18">
        <v>156.47</v>
      </c>
    </row>
    <row r="345">
      <c r="A345" s="8" t="s">
        <v>532</v>
      </c>
      <c r="B345" s="9">
        <v>30.0</v>
      </c>
      <c r="C345" s="9" t="s">
        <v>460</v>
      </c>
      <c r="D345" s="9">
        <v>50.0</v>
      </c>
      <c r="E345" s="10">
        <v>2.0</v>
      </c>
      <c r="F345" s="9">
        <v>3.0</v>
      </c>
      <c r="G345" s="9">
        <v>1.0</v>
      </c>
      <c r="H345" s="9">
        <v>0.0</v>
      </c>
      <c r="I345" s="9">
        <v>0.0</v>
      </c>
      <c r="J345" s="17">
        <v>40817.0</v>
      </c>
      <c r="K345" s="18">
        <v>36812.3</v>
      </c>
      <c r="L345" s="17">
        <v>37084.0</v>
      </c>
      <c r="M345" s="18">
        <v>37084.0</v>
      </c>
      <c r="N345" s="18">
        <v>0.0</v>
      </c>
      <c r="O345" s="18">
        <v>140.724</v>
      </c>
    </row>
    <row r="346">
      <c r="A346" s="8" t="s">
        <v>533</v>
      </c>
      <c r="B346" s="9">
        <v>30.0</v>
      </c>
      <c r="C346" s="9" t="s">
        <v>460</v>
      </c>
      <c r="D346" s="9">
        <v>50.0</v>
      </c>
      <c r="E346" s="10">
        <v>2.0</v>
      </c>
      <c r="F346" s="9">
        <v>4.0</v>
      </c>
      <c r="G346" s="9">
        <v>1.0</v>
      </c>
      <c r="H346" s="9">
        <v>0.0</v>
      </c>
      <c r="I346" s="9">
        <v>0.0</v>
      </c>
      <c r="J346" s="17">
        <v>39467.0</v>
      </c>
      <c r="K346" s="18">
        <v>35355.8</v>
      </c>
      <c r="L346" s="17">
        <v>35824.0</v>
      </c>
      <c r="M346" s="18">
        <v>35824.0</v>
      </c>
      <c r="N346" s="18">
        <v>0.0</v>
      </c>
      <c r="O346" s="18">
        <v>2414.27</v>
      </c>
    </row>
    <row r="347">
      <c r="A347" s="8" t="s">
        <v>534</v>
      </c>
      <c r="B347" s="9">
        <v>30.0</v>
      </c>
      <c r="C347" s="9" t="s">
        <v>460</v>
      </c>
      <c r="D347" s="9">
        <v>50.0</v>
      </c>
      <c r="E347" s="10">
        <v>2.0</v>
      </c>
      <c r="F347" s="9">
        <v>5.0</v>
      </c>
      <c r="G347" s="9">
        <v>1.0</v>
      </c>
      <c r="H347" s="9">
        <v>0.0</v>
      </c>
      <c r="I347" s="9">
        <v>0.0</v>
      </c>
      <c r="J347" s="17">
        <v>38337.0</v>
      </c>
      <c r="K347" s="18">
        <v>34415.0</v>
      </c>
      <c r="L347" s="17">
        <v>34884.0</v>
      </c>
      <c r="M347" s="18">
        <v>34884.0</v>
      </c>
      <c r="N347" s="18">
        <v>0.0</v>
      </c>
      <c r="O347" s="18">
        <v>860.072</v>
      </c>
    </row>
    <row r="348">
      <c r="A348" s="8" t="s">
        <v>535</v>
      </c>
      <c r="B348" s="9">
        <v>30.0</v>
      </c>
      <c r="C348" s="9" t="s">
        <v>460</v>
      </c>
      <c r="D348" s="9">
        <v>75.0</v>
      </c>
      <c r="E348" s="10">
        <v>0.6</v>
      </c>
      <c r="F348" s="9">
        <v>1.0</v>
      </c>
      <c r="G348" s="9">
        <v>0.0</v>
      </c>
      <c r="H348" s="9">
        <v>1.0</v>
      </c>
      <c r="I348" s="9">
        <v>0.0</v>
      </c>
      <c r="J348" s="17">
        <v>-4576.0</v>
      </c>
      <c r="K348" s="18">
        <v>-9214.71</v>
      </c>
      <c r="L348" s="17">
        <v>-6681.0</v>
      </c>
      <c r="M348" s="18">
        <v>-7495.84</v>
      </c>
      <c r="N348" s="18">
        <v>12.1965</v>
      </c>
      <c r="O348" s="18">
        <v>3600.0</v>
      </c>
    </row>
    <row r="349">
      <c r="A349" s="8" t="s">
        <v>536</v>
      </c>
      <c r="B349" s="9">
        <v>30.0</v>
      </c>
      <c r="C349" s="9" t="s">
        <v>460</v>
      </c>
      <c r="D349" s="9">
        <v>75.0</v>
      </c>
      <c r="E349" s="10">
        <v>0.6</v>
      </c>
      <c r="F349" s="9">
        <v>2.0</v>
      </c>
      <c r="G349" s="9">
        <v>0.0</v>
      </c>
      <c r="H349" s="9">
        <v>1.0</v>
      </c>
      <c r="I349" s="9">
        <v>0.0</v>
      </c>
      <c r="J349" s="17">
        <v>-5615.0</v>
      </c>
      <c r="K349" s="18">
        <v>-9340.57</v>
      </c>
      <c r="L349" s="17">
        <v>-6304.0</v>
      </c>
      <c r="M349" s="18">
        <v>-7820.12</v>
      </c>
      <c r="N349" s="18">
        <v>24.0501</v>
      </c>
      <c r="O349" s="18">
        <v>3600.0</v>
      </c>
    </row>
    <row r="350">
      <c r="A350" s="8" t="s">
        <v>537</v>
      </c>
      <c r="B350" s="9">
        <v>30.0</v>
      </c>
      <c r="C350" s="9" t="s">
        <v>460</v>
      </c>
      <c r="D350" s="9">
        <v>75.0</v>
      </c>
      <c r="E350" s="10">
        <v>0.6</v>
      </c>
      <c r="F350" s="9">
        <v>3.0</v>
      </c>
      <c r="G350" s="9">
        <v>0.0</v>
      </c>
      <c r="H350" s="9">
        <v>1.0</v>
      </c>
      <c r="I350" s="9">
        <v>0.0</v>
      </c>
      <c r="J350" s="17">
        <v>-5151.0</v>
      </c>
      <c r="K350" s="18">
        <v>-8694.7</v>
      </c>
      <c r="L350" s="17">
        <v>-5876.0</v>
      </c>
      <c r="M350" s="18">
        <v>-6966.59</v>
      </c>
      <c r="N350" s="18">
        <v>18.5601</v>
      </c>
      <c r="O350" s="18">
        <v>3600.0</v>
      </c>
    </row>
    <row r="351">
      <c r="A351" s="8" t="s">
        <v>538</v>
      </c>
      <c r="B351" s="9">
        <v>30.0</v>
      </c>
      <c r="C351" s="9" t="s">
        <v>460</v>
      </c>
      <c r="D351" s="9">
        <v>75.0</v>
      </c>
      <c r="E351" s="10">
        <v>0.6</v>
      </c>
      <c r="F351" s="9">
        <v>4.0</v>
      </c>
      <c r="G351" s="9">
        <v>0.0</v>
      </c>
      <c r="H351" s="9">
        <v>1.0</v>
      </c>
      <c r="I351" s="9">
        <v>0.0</v>
      </c>
      <c r="J351" s="17">
        <v>-4432.0</v>
      </c>
      <c r="K351" s="18">
        <v>-9091.57</v>
      </c>
      <c r="L351" s="17">
        <v>-6321.0</v>
      </c>
      <c r="M351" s="18">
        <v>-7583.22</v>
      </c>
      <c r="N351" s="18">
        <v>19.9687</v>
      </c>
      <c r="O351" s="18">
        <v>3600.0</v>
      </c>
    </row>
    <row r="352">
      <c r="A352" s="8" t="s">
        <v>539</v>
      </c>
      <c r="B352" s="9">
        <v>30.0</v>
      </c>
      <c r="C352" s="9" t="s">
        <v>460</v>
      </c>
      <c r="D352" s="9">
        <v>75.0</v>
      </c>
      <c r="E352" s="10">
        <v>0.6</v>
      </c>
      <c r="F352" s="9">
        <v>5.0</v>
      </c>
      <c r="G352" s="9">
        <v>0.0</v>
      </c>
      <c r="H352" s="9">
        <v>1.0</v>
      </c>
      <c r="I352" s="9">
        <v>0.0</v>
      </c>
      <c r="J352" s="17">
        <v>-2779.0</v>
      </c>
      <c r="K352" s="18">
        <v>-9053.25</v>
      </c>
      <c r="L352" s="17">
        <v>-6123.0</v>
      </c>
      <c r="M352" s="18">
        <v>-7563.35</v>
      </c>
      <c r="N352" s="18">
        <v>23.5236</v>
      </c>
      <c r="O352" s="18">
        <v>3600.0</v>
      </c>
    </row>
    <row r="353">
      <c r="A353" s="8" t="s">
        <v>540</v>
      </c>
      <c r="B353" s="9">
        <v>30.0</v>
      </c>
      <c r="C353" s="9" t="s">
        <v>460</v>
      </c>
      <c r="D353" s="9">
        <v>75.0</v>
      </c>
      <c r="E353" s="10">
        <v>1.0</v>
      </c>
      <c r="F353" s="9">
        <v>1.0</v>
      </c>
      <c r="G353" s="9">
        <v>0.0</v>
      </c>
      <c r="H353" s="9">
        <v>1.0</v>
      </c>
      <c r="I353" s="9">
        <v>0.0</v>
      </c>
      <c r="J353" s="17">
        <v>116.0</v>
      </c>
      <c r="K353" s="18">
        <v>-2274.01</v>
      </c>
      <c r="L353" s="17">
        <v>-463.0</v>
      </c>
      <c r="M353" s="18">
        <v>-1550.66</v>
      </c>
      <c r="N353" s="18">
        <v>234.915</v>
      </c>
      <c r="O353" s="18">
        <v>3600.0</v>
      </c>
    </row>
    <row r="354">
      <c r="A354" s="8" t="s">
        <v>541</v>
      </c>
      <c r="B354" s="9">
        <v>30.0</v>
      </c>
      <c r="C354" s="9" t="s">
        <v>460</v>
      </c>
      <c r="D354" s="9">
        <v>75.0</v>
      </c>
      <c r="E354" s="10">
        <v>1.0</v>
      </c>
      <c r="F354" s="9">
        <v>2.0</v>
      </c>
      <c r="G354" s="9">
        <v>0.0</v>
      </c>
      <c r="H354" s="9">
        <v>1.0</v>
      </c>
      <c r="I354" s="9">
        <v>0.0</v>
      </c>
      <c r="J354" s="17">
        <v>535.0</v>
      </c>
      <c r="K354" s="18">
        <v>-2155.04</v>
      </c>
      <c r="L354" s="17">
        <v>-242.0</v>
      </c>
      <c r="M354" s="18">
        <v>-1646.33</v>
      </c>
      <c r="N354" s="18">
        <v>580.303</v>
      </c>
      <c r="O354" s="18">
        <v>3600.0</v>
      </c>
    </row>
    <row r="355">
      <c r="A355" s="8" t="s">
        <v>542</v>
      </c>
      <c r="B355" s="9">
        <v>30.0</v>
      </c>
      <c r="C355" s="9" t="s">
        <v>460</v>
      </c>
      <c r="D355" s="9">
        <v>75.0</v>
      </c>
      <c r="E355" s="10">
        <v>1.0</v>
      </c>
      <c r="F355" s="9">
        <v>3.0</v>
      </c>
      <c r="G355" s="9">
        <v>0.0</v>
      </c>
      <c r="H355" s="9">
        <v>1.0</v>
      </c>
      <c r="I355" s="9">
        <v>0.0</v>
      </c>
      <c r="J355" s="17">
        <v>312.0</v>
      </c>
      <c r="K355" s="18">
        <v>-2312.12</v>
      </c>
      <c r="L355" s="17">
        <v>-683.0</v>
      </c>
      <c r="M355" s="18">
        <v>-1621.7</v>
      </c>
      <c r="N355" s="18">
        <v>137.438</v>
      </c>
      <c r="O355" s="18">
        <v>3600.0</v>
      </c>
    </row>
    <row r="356">
      <c r="A356" s="8" t="s">
        <v>543</v>
      </c>
      <c r="B356" s="9">
        <v>30.0</v>
      </c>
      <c r="C356" s="9" t="s">
        <v>460</v>
      </c>
      <c r="D356" s="9">
        <v>75.0</v>
      </c>
      <c r="E356" s="10">
        <v>1.0</v>
      </c>
      <c r="F356" s="9">
        <v>4.0</v>
      </c>
      <c r="G356" s="9">
        <v>0.0</v>
      </c>
      <c r="H356" s="9">
        <v>1.0</v>
      </c>
      <c r="I356" s="9">
        <v>0.0</v>
      </c>
      <c r="J356" s="17">
        <v>560.0</v>
      </c>
      <c r="K356" s="18">
        <v>-2126.28</v>
      </c>
      <c r="L356" s="17">
        <v>-480.0</v>
      </c>
      <c r="M356" s="18">
        <v>-1554.28</v>
      </c>
      <c r="N356" s="18">
        <v>223.808</v>
      </c>
      <c r="O356" s="18">
        <v>3600.0</v>
      </c>
    </row>
    <row r="357">
      <c r="A357" s="8" t="s">
        <v>544</v>
      </c>
      <c r="B357" s="9">
        <v>30.0</v>
      </c>
      <c r="C357" s="9" t="s">
        <v>460</v>
      </c>
      <c r="D357" s="9">
        <v>75.0</v>
      </c>
      <c r="E357" s="10">
        <v>1.0</v>
      </c>
      <c r="F357" s="9">
        <v>5.0</v>
      </c>
      <c r="G357" s="9">
        <v>0.0</v>
      </c>
      <c r="H357" s="9">
        <v>1.0</v>
      </c>
      <c r="I357" s="9">
        <v>0.0</v>
      </c>
      <c r="J357" s="17">
        <v>1237.0</v>
      </c>
      <c r="K357" s="18">
        <v>-2210.48</v>
      </c>
      <c r="L357" s="17">
        <v>-371.0</v>
      </c>
      <c r="M357" s="18">
        <v>-1513.29</v>
      </c>
      <c r="N357" s="18">
        <v>307.895</v>
      </c>
      <c r="O357" s="18">
        <v>3600.0</v>
      </c>
    </row>
    <row r="358">
      <c r="A358" s="8" t="s">
        <v>545</v>
      </c>
      <c r="B358" s="9">
        <v>30.0</v>
      </c>
      <c r="C358" s="9" t="s">
        <v>460</v>
      </c>
      <c r="D358" s="9">
        <v>75.0</v>
      </c>
      <c r="E358" s="10">
        <v>2.0</v>
      </c>
      <c r="F358" s="9">
        <v>1.0</v>
      </c>
      <c r="G358" s="9">
        <v>0.0</v>
      </c>
      <c r="H358" s="9">
        <v>1.0</v>
      </c>
      <c r="I358" s="9">
        <v>0.0</v>
      </c>
      <c r="J358" s="17">
        <v>57317.0</v>
      </c>
      <c r="K358" s="18">
        <v>51442.1</v>
      </c>
      <c r="L358" s="17">
        <v>52084.0</v>
      </c>
      <c r="M358" s="18">
        <v>51926.9</v>
      </c>
      <c r="N358" s="18">
        <v>0.301555</v>
      </c>
      <c r="O358" s="18">
        <v>3600.0</v>
      </c>
    </row>
    <row r="359">
      <c r="A359" s="8" t="s">
        <v>546</v>
      </c>
      <c r="B359" s="9">
        <v>30.0</v>
      </c>
      <c r="C359" s="9" t="s">
        <v>460</v>
      </c>
      <c r="D359" s="9">
        <v>75.0</v>
      </c>
      <c r="E359" s="10">
        <v>2.0</v>
      </c>
      <c r="F359" s="9">
        <v>2.0</v>
      </c>
      <c r="G359" s="9">
        <v>0.0</v>
      </c>
      <c r="H359" s="9">
        <v>1.0</v>
      </c>
      <c r="I359" s="9">
        <v>0.0</v>
      </c>
      <c r="J359" s="17">
        <v>58066.0</v>
      </c>
      <c r="K359" s="18">
        <v>52616.5</v>
      </c>
      <c r="L359" s="17">
        <v>57746.0</v>
      </c>
      <c r="M359" s="18">
        <v>52956.5</v>
      </c>
      <c r="N359" s="18">
        <v>8.29416</v>
      </c>
      <c r="O359" s="18">
        <v>3600.0</v>
      </c>
    </row>
    <row r="360">
      <c r="A360" s="8" t="s">
        <v>547</v>
      </c>
      <c r="B360" s="9">
        <v>30.0</v>
      </c>
      <c r="C360" s="9" t="s">
        <v>460</v>
      </c>
      <c r="D360" s="9">
        <v>75.0</v>
      </c>
      <c r="E360" s="10">
        <v>2.0</v>
      </c>
      <c r="F360" s="9">
        <v>3.0</v>
      </c>
      <c r="G360" s="9">
        <v>1.0</v>
      </c>
      <c r="H360" s="9">
        <v>0.0</v>
      </c>
      <c r="I360" s="9">
        <v>0.0</v>
      </c>
      <c r="J360" s="17">
        <v>48560.0</v>
      </c>
      <c r="K360" s="18">
        <v>47919.0</v>
      </c>
      <c r="L360" s="17">
        <v>48418.0</v>
      </c>
      <c r="M360" s="18">
        <v>48418.0</v>
      </c>
      <c r="N360" s="18">
        <v>0.0</v>
      </c>
      <c r="O360" s="18">
        <v>869.355</v>
      </c>
    </row>
    <row r="361">
      <c r="A361" s="8" t="s">
        <v>548</v>
      </c>
      <c r="B361" s="9">
        <v>30.0</v>
      </c>
      <c r="C361" s="9" t="s">
        <v>460</v>
      </c>
      <c r="D361" s="9">
        <v>75.0</v>
      </c>
      <c r="E361" s="10">
        <v>2.0</v>
      </c>
      <c r="F361" s="9">
        <v>4.0</v>
      </c>
      <c r="G361" s="9">
        <v>0.0</v>
      </c>
      <c r="H361" s="9">
        <v>1.0</v>
      </c>
      <c r="I361" s="9">
        <v>0.0</v>
      </c>
      <c r="J361" s="17">
        <v>56623.0</v>
      </c>
      <c r="K361" s="18">
        <v>50718.3</v>
      </c>
      <c r="L361" s="17">
        <v>51321.0</v>
      </c>
      <c r="M361" s="18">
        <v>51110.5</v>
      </c>
      <c r="N361" s="18">
        <v>0.410145</v>
      </c>
      <c r="O361" s="18">
        <v>3600.0</v>
      </c>
    </row>
    <row r="362">
      <c r="A362" s="8" t="s">
        <v>549</v>
      </c>
      <c r="B362" s="9">
        <v>30.0</v>
      </c>
      <c r="C362" s="9" t="s">
        <v>460</v>
      </c>
      <c r="D362" s="9">
        <v>75.0</v>
      </c>
      <c r="E362" s="10">
        <v>2.0</v>
      </c>
      <c r="F362" s="9">
        <v>5.0</v>
      </c>
      <c r="G362" s="9">
        <v>1.0</v>
      </c>
      <c r="H362" s="9">
        <v>0.0</v>
      </c>
      <c r="I362" s="9">
        <v>0.0</v>
      </c>
      <c r="J362" s="17">
        <v>57091.0</v>
      </c>
      <c r="K362" s="18">
        <v>51262.2</v>
      </c>
      <c r="L362" s="17">
        <v>51682.0</v>
      </c>
      <c r="M362" s="18">
        <v>51682.0</v>
      </c>
      <c r="N362" s="18">
        <v>0.0</v>
      </c>
      <c r="O362" s="18">
        <v>1124.32</v>
      </c>
    </row>
    <row r="363">
      <c r="A363" s="8" t="s">
        <v>550</v>
      </c>
      <c r="B363" s="9">
        <v>35.0</v>
      </c>
      <c r="C363" s="9" t="s">
        <v>460</v>
      </c>
      <c r="D363" s="9">
        <v>25.0</v>
      </c>
      <c r="E363" s="10">
        <v>0.6</v>
      </c>
      <c r="F363" s="9">
        <v>1.0</v>
      </c>
      <c r="G363" s="9">
        <v>0.0</v>
      </c>
      <c r="H363" s="9">
        <v>1.0</v>
      </c>
      <c r="I363" s="9">
        <v>0.0</v>
      </c>
      <c r="J363" s="17">
        <v>-2897.0</v>
      </c>
      <c r="K363" s="18">
        <v>-6515.52</v>
      </c>
      <c r="L363" s="17">
        <v>-4122.0</v>
      </c>
      <c r="M363" s="18">
        <v>-4954.15</v>
      </c>
      <c r="N363" s="18">
        <v>20.1879</v>
      </c>
      <c r="O363" s="18">
        <v>3600.0</v>
      </c>
    </row>
    <row r="364">
      <c r="A364" s="8" t="s">
        <v>551</v>
      </c>
      <c r="B364" s="9">
        <v>35.0</v>
      </c>
      <c r="C364" s="9" t="s">
        <v>460</v>
      </c>
      <c r="D364" s="9">
        <v>25.0</v>
      </c>
      <c r="E364" s="10">
        <v>0.6</v>
      </c>
      <c r="F364" s="9">
        <v>2.0</v>
      </c>
      <c r="G364" s="9">
        <v>0.0</v>
      </c>
      <c r="H364" s="9">
        <v>1.0</v>
      </c>
      <c r="I364" s="9">
        <v>0.0</v>
      </c>
      <c r="J364" s="17">
        <v>-2597.0</v>
      </c>
      <c r="K364" s="18">
        <v>-6892.51</v>
      </c>
      <c r="L364" s="17">
        <v>-4187.0</v>
      </c>
      <c r="M364" s="18">
        <v>-5446.64</v>
      </c>
      <c r="N364" s="18">
        <v>30.0845</v>
      </c>
      <c r="O364" s="18">
        <v>3600.0</v>
      </c>
    </row>
    <row r="365">
      <c r="A365" s="8" t="s">
        <v>552</v>
      </c>
      <c r="B365" s="9">
        <v>35.0</v>
      </c>
      <c r="C365" s="9" t="s">
        <v>460</v>
      </c>
      <c r="D365" s="9">
        <v>25.0</v>
      </c>
      <c r="E365" s="10">
        <v>0.6</v>
      </c>
      <c r="F365" s="9">
        <v>3.0</v>
      </c>
      <c r="G365" s="9">
        <v>0.0</v>
      </c>
      <c r="H365" s="9">
        <v>1.0</v>
      </c>
      <c r="I365" s="9">
        <v>0.0</v>
      </c>
      <c r="J365" s="17">
        <v>-2182.0</v>
      </c>
      <c r="K365" s="18">
        <v>-5932.32</v>
      </c>
      <c r="L365" s="17">
        <v>-3740.0</v>
      </c>
      <c r="M365" s="18">
        <v>-4651.39</v>
      </c>
      <c r="N365" s="18">
        <v>24.3687</v>
      </c>
      <c r="O365" s="18">
        <v>3600.0</v>
      </c>
    </row>
    <row r="366">
      <c r="A366" s="8" t="s">
        <v>553</v>
      </c>
      <c r="B366" s="9">
        <v>35.0</v>
      </c>
      <c r="C366" s="9" t="s">
        <v>460</v>
      </c>
      <c r="D366" s="9">
        <v>25.0</v>
      </c>
      <c r="E366" s="10">
        <v>0.6</v>
      </c>
      <c r="F366" s="9">
        <v>4.0</v>
      </c>
      <c r="G366" s="9">
        <v>0.0</v>
      </c>
      <c r="H366" s="9">
        <v>1.0</v>
      </c>
      <c r="I366" s="9">
        <v>0.0</v>
      </c>
      <c r="J366" s="17">
        <v>-1747.0</v>
      </c>
      <c r="K366" s="18">
        <v>-6195.6</v>
      </c>
      <c r="L366" s="17">
        <v>-4231.0</v>
      </c>
      <c r="M366" s="18">
        <v>-5001.83</v>
      </c>
      <c r="N366" s="18">
        <v>18.2187</v>
      </c>
      <c r="O366" s="18">
        <v>3600.0</v>
      </c>
    </row>
    <row r="367">
      <c r="A367" s="8" t="s">
        <v>554</v>
      </c>
      <c r="B367" s="9">
        <v>35.0</v>
      </c>
      <c r="C367" s="9" t="s">
        <v>460</v>
      </c>
      <c r="D367" s="9">
        <v>25.0</v>
      </c>
      <c r="E367" s="10">
        <v>0.6</v>
      </c>
      <c r="F367" s="9">
        <v>5.0</v>
      </c>
      <c r="G367" s="9">
        <v>1.0</v>
      </c>
      <c r="H367" s="9">
        <v>0.0</v>
      </c>
      <c r="I367" s="9">
        <v>0.0</v>
      </c>
      <c r="J367" s="17">
        <v>-2256.0</v>
      </c>
      <c r="K367" s="18">
        <v>-6213.17</v>
      </c>
      <c r="L367" s="17">
        <v>-4487.0</v>
      </c>
      <c r="M367" s="18">
        <v>-4487.0</v>
      </c>
      <c r="N367" s="18">
        <v>0.0</v>
      </c>
      <c r="O367" s="18">
        <v>2312.26</v>
      </c>
    </row>
    <row r="368">
      <c r="A368" s="8" t="s">
        <v>555</v>
      </c>
      <c r="B368" s="9">
        <v>35.0</v>
      </c>
      <c r="C368" s="9" t="s">
        <v>460</v>
      </c>
      <c r="D368" s="9">
        <v>25.0</v>
      </c>
      <c r="E368" s="10">
        <v>1.0</v>
      </c>
      <c r="F368" s="9">
        <v>1.0</v>
      </c>
      <c r="G368" s="9">
        <v>0.0</v>
      </c>
      <c r="H368" s="9">
        <v>1.0</v>
      </c>
      <c r="I368" s="9">
        <v>0.0</v>
      </c>
      <c r="J368" s="17">
        <v>-1439.0</v>
      </c>
      <c r="K368" s="18">
        <v>-3763.94</v>
      </c>
      <c r="L368" s="17">
        <v>-1715.0</v>
      </c>
      <c r="M368" s="18">
        <v>-3097.51</v>
      </c>
      <c r="N368" s="18">
        <v>80.6129</v>
      </c>
      <c r="O368" s="18">
        <v>3600.0</v>
      </c>
    </row>
    <row r="369">
      <c r="A369" s="8" t="s">
        <v>556</v>
      </c>
      <c r="B369" s="9">
        <v>35.0</v>
      </c>
      <c r="C369" s="9" t="s">
        <v>460</v>
      </c>
      <c r="D369" s="9">
        <v>25.0</v>
      </c>
      <c r="E369" s="10">
        <v>1.0</v>
      </c>
      <c r="F369" s="9">
        <v>2.0</v>
      </c>
      <c r="G369" s="9">
        <v>0.0</v>
      </c>
      <c r="H369" s="9">
        <v>1.0</v>
      </c>
      <c r="I369" s="9">
        <v>0.0</v>
      </c>
      <c r="J369" s="17">
        <v>132.0</v>
      </c>
      <c r="K369" s="18">
        <v>-3817.23</v>
      </c>
      <c r="L369" s="17">
        <v>-1555.0</v>
      </c>
      <c r="M369" s="18">
        <v>-3198.41</v>
      </c>
      <c r="N369" s="18">
        <v>105.685</v>
      </c>
      <c r="O369" s="18">
        <v>3600.0</v>
      </c>
    </row>
    <row r="370">
      <c r="A370" s="8" t="s">
        <v>557</v>
      </c>
      <c r="B370" s="9">
        <v>35.0</v>
      </c>
      <c r="C370" s="9" t="s">
        <v>460</v>
      </c>
      <c r="D370" s="9">
        <v>25.0</v>
      </c>
      <c r="E370" s="10">
        <v>1.0</v>
      </c>
      <c r="F370" s="9">
        <v>3.0</v>
      </c>
      <c r="G370" s="9">
        <v>0.0</v>
      </c>
      <c r="H370" s="9">
        <v>1.0</v>
      </c>
      <c r="I370" s="9">
        <v>0.0</v>
      </c>
      <c r="J370" s="17">
        <v>-1062.0</v>
      </c>
      <c r="K370" s="18">
        <v>-3464.9</v>
      </c>
      <c r="L370" s="17">
        <v>-1572.0</v>
      </c>
      <c r="M370" s="18">
        <v>-2916.8</v>
      </c>
      <c r="N370" s="18">
        <v>85.5472</v>
      </c>
      <c r="O370" s="18">
        <v>3600.0</v>
      </c>
    </row>
    <row r="371">
      <c r="A371" s="8" t="s">
        <v>558</v>
      </c>
      <c r="B371" s="9">
        <v>35.0</v>
      </c>
      <c r="C371" s="9" t="s">
        <v>460</v>
      </c>
      <c r="D371" s="9">
        <v>25.0</v>
      </c>
      <c r="E371" s="10">
        <v>1.0</v>
      </c>
      <c r="F371" s="9">
        <v>4.0</v>
      </c>
      <c r="G371" s="9">
        <v>0.0</v>
      </c>
      <c r="H371" s="9">
        <v>1.0</v>
      </c>
      <c r="I371" s="9">
        <v>0.0</v>
      </c>
      <c r="J371" s="17">
        <v>-824.0</v>
      </c>
      <c r="K371" s="18">
        <v>-3476.31</v>
      </c>
      <c r="L371" s="17">
        <v>-1653.0</v>
      </c>
      <c r="M371" s="18">
        <v>-2945.73</v>
      </c>
      <c r="N371" s="18">
        <v>78.2051</v>
      </c>
      <c r="O371" s="18">
        <v>3600.0</v>
      </c>
    </row>
    <row r="372">
      <c r="A372" s="8" t="s">
        <v>559</v>
      </c>
      <c r="B372" s="9">
        <v>35.0</v>
      </c>
      <c r="C372" s="9" t="s">
        <v>460</v>
      </c>
      <c r="D372" s="9">
        <v>25.0</v>
      </c>
      <c r="E372" s="10">
        <v>1.0</v>
      </c>
      <c r="F372" s="9">
        <v>5.0</v>
      </c>
      <c r="G372" s="9">
        <v>0.0</v>
      </c>
      <c r="H372" s="9">
        <v>1.0</v>
      </c>
      <c r="I372" s="9">
        <v>0.0</v>
      </c>
      <c r="J372" s="17">
        <v>-815.0</v>
      </c>
      <c r="K372" s="18">
        <v>-3713.34</v>
      </c>
      <c r="L372" s="17">
        <v>-1955.0</v>
      </c>
      <c r="M372" s="18">
        <v>-2955.39</v>
      </c>
      <c r="N372" s="18">
        <v>51.1711</v>
      </c>
      <c r="O372" s="18">
        <v>3600.0</v>
      </c>
    </row>
    <row r="373">
      <c r="A373" s="8" t="s">
        <v>560</v>
      </c>
      <c r="B373" s="9">
        <v>35.0</v>
      </c>
      <c r="C373" s="9" t="s">
        <v>460</v>
      </c>
      <c r="D373" s="9">
        <v>25.0</v>
      </c>
      <c r="E373" s="10">
        <v>2.0</v>
      </c>
      <c r="F373" s="9">
        <v>1.0</v>
      </c>
      <c r="G373" s="9">
        <v>0.0</v>
      </c>
      <c r="H373" s="9">
        <v>1.0</v>
      </c>
      <c r="I373" s="9">
        <v>0.0</v>
      </c>
      <c r="J373" s="17">
        <v>18891.0</v>
      </c>
      <c r="K373" s="18">
        <v>16432.9</v>
      </c>
      <c r="L373" s="17">
        <v>17112.0</v>
      </c>
      <c r="M373" s="18">
        <v>16612.3</v>
      </c>
      <c r="N373" s="18">
        <v>2.92003</v>
      </c>
      <c r="O373" s="18">
        <v>3600.0</v>
      </c>
    </row>
    <row r="374">
      <c r="A374" s="8" t="s">
        <v>561</v>
      </c>
      <c r="B374" s="9">
        <v>35.0</v>
      </c>
      <c r="C374" s="9" t="s">
        <v>460</v>
      </c>
      <c r="D374" s="9">
        <v>25.0</v>
      </c>
      <c r="E374" s="10">
        <v>2.0</v>
      </c>
      <c r="F374" s="9">
        <v>2.0</v>
      </c>
      <c r="G374" s="9">
        <v>0.0</v>
      </c>
      <c r="H374" s="9">
        <v>1.0</v>
      </c>
      <c r="I374" s="9">
        <v>0.0</v>
      </c>
      <c r="J374" s="17">
        <v>20934.0</v>
      </c>
      <c r="K374" s="18">
        <v>18407.0</v>
      </c>
      <c r="L374" s="17">
        <v>19279.0</v>
      </c>
      <c r="M374" s="18">
        <v>18603.0</v>
      </c>
      <c r="N374" s="18">
        <v>3.50631</v>
      </c>
      <c r="O374" s="18">
        <v>3600.0</v>
      </c>
    </row>
    <row r="375">
      <c r="A375" s="8" t="s">
        <v>562</v>
      </c>
      <c r="B375" s="9">
        <v>35.0</v>
      </c>
      <c r="C375" s="9" t="s">
        <v>460</v>
      </c>
      <c r="D375" s="9">
        <v>25.0</v>
      </c>
      <c r="E375" s="10">
        <v>2.0</v>
      </c>
      <c r="F375" s="9">
        <v>3.0</v>
      </c>
      <c r="G375" s="9">
        <v>0.0</v>
      </c>
      <c r="H375" s="9">
        <v>1.0</v>
      </c>
      <c r="I375" s="9">
        <v>0.0</v>
      </c>
      <c r="J375" s="17">
        <v>17168.0</v>
      </c>
      <c r="K375" s="18">
        <v>15074.2</v>
      </c>
      <c r="L375" s="17">
        <v>15851.0</v>
      </c>
      <c r="M375" s="18">
        <v>15220.9</v>
      </c>
      <c r="N375" s="18">
        <v>3.975</v>
      </c>
      <c r="O375" s="18">
        <v>3600.0</v>
      </c>
    </row>
    <row r="376">
      <c r="A376" s="8" t="s">
        <v>563</v>
      </c>
      <c r="B376" s="9">
        <v>35.0</v>
      </c>
      <c r="C376" s="9" t="s">
        <v>460</v>
      </c>
      <c r="D376" s="9">
        <v>25.0</v>
      </c>
      <c r="E376" s="10">
        <v>2.0</v>
      </c>
      <c r="F376" s="9">
        <v>4.0</v>
      </c>
      <c r="G376" s="9">
        <v>0.0</v>
      </c>
      <c r="H376" s="9">
        <v>1.0</v>
      </c>
      <c r="I376" s="9">
        <v>0.0</v>
      </c>
      <c r="J376" s="17">
        <v>19574.0</v>
      </c>
      <c r="K376" s="18">
        <v>16938.2</v>
      </c>
      <c r="L376" s="17">
        <v>18052.0</v>
      </c>
      <c r="M376" s="18">
        <v>17109.2</v>
      </c>
      <c r="N376" s="18">
        <v>5.22247</v>
      </c>
      <c r="O376" s="18">
        <v>3600.0</v>
      </c>
    </row>
    <row r="377">
      <c r="A377" s="8" t="s">
        <v>564</v>
      </c>
      <c r="B377" s="9">
        <v>35.0</v>
      </c>
      <c r="C377" s="9" t="s">
        <v>460</v>
      </c>
      <c r="D377" s="9">
        <v>25.0</v>
      </c>
      <c r="E377" s="10">
        <v>2.0</v>
      </c>
      <c r="F377" s="9">
        <v>5.0</v>
      </c>
      <c r="G377" s="9">
        <v>0.0</v>
      </c>
      <c r="H377" s="9">
        <v>1.0</v>
      </c>
      <c r="I377" s="9">
        <v>0.0</v>
      </c>
      <c r="J377" s="17">
        <v>18457.0</v>
      </c>
      <c r="K377" s="18">
        <v>15776.6</v>
      </c>
      <c r="L377" s="17">
        <v>16780.0</v>
      </c>
      <c r="M377" s="18">
        <v>16052.2</v>
      </c>
      <c r="N377" s="18">
        <v>4.33722</v>
      </c>
      <c r="O377" s="18">
        <v>3600.0</v>
      </c>
    </row>
    <row r="378">
      <c r="A378" s="8" t="s">
        <v>565</v>
      </c>
      <c r="B378" s="9">
        <v>35.0</v>
      </c>
      <c r="C378" s="9" t="s">
        <v>460</v>
      </c>
      <c r="D378" s="9">
        <v>50.0</v>
      </c>
      <c r="E378" s="10">
        <v>0.6</v>
      </c>
      <c r="F378" s="9">
        <v>1.0</v>
      </c>
      <c r="G378" s="9">
        <v>0.0</v>
      </c>
      <c r="H378" s="9">
        <v>1.0</v>
      </c>
      <c r="I378" s="9">
        <v>0.0</v>
      </c>
      <c r="J378" s="17">
        <v>-4476.0</v>
      </c>
      <c r="K378" s="18">
        <v>-10912.8</v>
      </c>
      <c r="L378" s="17">
        <v>-6152.0</v>
      </c>
      <c r="M378" s="18">
        <v>-9213.3</v>
      </c>
      <c r="N378" s="18">
        <v>49.7611</v>
      </c>
      <c r="O378" s="18">
        <v>3600.0</v>
      </c>
    </row>
    <row r="379">
      <c r="A379" s="8" t="s">
        <v>566</v>
      </c>
      <c r="B379" s="9">
        <v>35.0</v>
      </c>
      <c r="C379" s="9" t="s">
        <v>460</v>
      </c>
      <c r="D379" s="9">
        <v>50.0</v>
      </c>
      <c r="E379" s="10">
        <v>0.6</v>
      </c>
      <c r="F379" s="9">
        <v>2.0</v>
      </c>
      <c r="G379" s="9">
        <v>0.0</v>
      </c>
      <c r="H379" s="9">
        <v>1.0</v>
      </c>
      <c r="I379" s="9">
        <v>0.0</v>
      </c>
      <c r="J379" s="17">
        <v>-4706.0</v>
      </c>
      <c r="K379" s="18">
        <v>-10348.9</v>
      </c>
      <c r="L379" s="17">
        <v>-5947.0</v>
      </c>
      <c r="M379" s="18">
        <v>-8837.93</v>
      </c>
      <c r="N379" s="18">
        <v>48.6115</v>
      </c>
      <c r="O379" s="18">
        <v>3600.0</v>
      </c>
    </row>
    <row r="380">
      <c r="A380" s="8" t="s">
        <v>567</v>
      </c>
      <c r="B380" s="9">
        <v>35.0</v>
      </c>
      <c r="C380" s="9" t="s">
        <v>460</v>
      </c>
      <c r="D380" s="9">
        <v>50.0</v>
      </c>
      <c r="E380" s="10">
        <v>0.6</v>
      </c>
      <c r="F380" s="9">
        <v>3.0</v>
      </c>
      <c r="G380" s="9">
        <v>0.0</v>
      </c>
      <c r="H380" s="9">
        <v>1.0</v>
      </c>
      <c r="I380" s="9">
        <v>0.0</v>
      </c>
      <c r="J380" s="17">
        <v>-5965.0</v>
      </c>
      <c r="K380" s="18">
        <v>-10972.4</v>
      </c>
      <c r="L380" s="17">
        <v>-6207.0</v>
      </c>
      <c r="M380" s="18">
        <v>-9480.07</v>
      </c>
      <c r="N380" s="18">
        <v>52.7319</v>
      </c>
      <c r="O380" s="18">
        <v>3600.0</v>
      </c>
    </row>
    <row r="381">
      <c r="A381" s="8" t="s">
        <v>568</v>
      </c>
      <c r="B381" s="9">
        <v>35.0</v>
      </c>
      <c r="C381" s="9" t="s">
        <v>460</v>
      </c>
      <c r="D381" s="9">
        <v>50.0</v>
      </c>
      <c r="E381" s="10">
        <v>0.6</v>
      </c>
      <c r="F381" s="9">
        <v>4.0</v>
      </c>
      <c r="G381" s="9">
        <v>0.0</v>
      </c>
      <c r="H381" s="9">
        <v>1.0</v>
      </c>
      <c r="I381" s="9">
        <v>0.0</v>
      </c>
      <c r="J381" s="17">
        <v>-4986.0</v>
      </c>
      <c r="K381" s="18">
        <v>-10873.2</v>
      </c>
      <c r="L381" s="17">
        <v>-6304.0</v>
      </c>
      <c r="M381" s="18">
        <v>-9423.36</v>
      </c>
      <c r="N381" s="18">
        <v>49.4822</v>
      </c>
      <c r="O381" s="18">
        <v>3600.0</v>
      </c>
    </row>
    <row r="382">
      <c r="A382" s="8" t="s">
        <v>569</v>
      </c>
      <c r="B382" s="9">
        <v>35.0</v>
      </c>
      <c r="C382" s="9" t="s">
        <v>460</v>
      </c>
      <c r="D382" s="9">
        <v>50.0</v>
      </c>
      <c r="E382" s="10">
        <v>0.6</v>
      </c>
      <c r="F382" s="9">
        <v>5.0</v>
      </c>
      <c r="G382" s="9">
        <v>0.0</v>
      </c>
      <c r="H382" s="9">
        <v>1.0</v>
      </c>
      <c r="I382" s="9">
        <v>0.0</v>
      </c>
      <c r="J382" s="17">
        <v>-5232.0</v>
      </c>
      <c r="K382" s="18">
        <v>-11150.7</v>
      </c>
      <c r="L382" s="17">
        <v>-6307.0</v>
      </c>
      <c r="M382" s="18">
        <v>-9550.31</v>
      </c>
      <c r="N382" s="18">
        <v>51.424</v>
      </c>
      <c r="O382" s="18">
        <v>3600.0</v>
      </c>
    </row>
    <row r="383">
      <c r="A383" s="8" t="s">
        <v>570</v>
      </c>
      <c r="B383" s="9">
        <v>35.0</v>
      </c>
      <c r="C383" s="9" t="s">
        <v>460</v>
      </c>
      <c r="D383" s="9">
        <v>50.0</v>
      </c>
      <c r="E383" s="10">
        <v>1.0</v>
      </c>
      <c r="F383" s="9">
        <v>1.0</v>
      </c>
      <c r="G383" s="9">
        <v>0.0</v>
      </c>
      <c r="H383" s="9">
        <v>1.0</v>
      </c>
      <c r="I383" s="9">
        <v>0.0</v>
      </c>
      <c r="J383" s="17">
        <v>50.0</v>
      </c>
      <c r="K383" s="18">
        <v>-4489.55</v>
      </c>
      <c r="L383" s="17">
        <v>-2010.0</v>
      </c>
      <c r="M383" s="18">
        <v>-3850.43</v>
      </c>
      <c r="N383" s="18">
        <v>91.5639</v>
      </c>
      <c r="O383" s="18">
        <v>3600.0</v>
      </c>
    </row>
    <row r="384">
      <c r="A384" s="8" t="s">
        <v>571</v>
      </c>
      <c r="B384" s="9">
        <v>35.0</v>
      </c>
      <c r="C384" s="9" t="s">
        <v>460</v>
      </c>
      <c r="D384" s="9">
        <v>50.0</v>
      </c>
      <c r="E384" s="10">
        <v>1.0</v>
      </c>
      <c r="F384" s="9">
        <v>2.0</v>
      </c>
      <c r="G384" s="9">
        <v>0.0</v>
      </c>
      <c r="H384" s="9">
        <v>1.0</v>
      </c>
      <c r="I384" s="9">
        <v>0.0</v>
      </c>
      <c r="J384" s="17">
        <v>-512.0</v>
      </c>
      <c r="K384" s="18">
        <v>-4420.18</v>
      </c>
      <c r="L384" s="17">
        <v>-1545.0</v>
      </c>
      <c r="M384" s="18">
        <v>-3859.19</v>
      </c>
      <c r="N384" s="18">
        <v>149.786</v>
      </c>
      <c r="O384" s="18">
        <v>3600.0</v>
      </c>
    </row>
    <row r="385">
      <c r="A385" s="8" t="s">
        <v>572</v>
      </c>
      <c r="B385" s="9">
        <v>35.0</v>
      </c>
      <c r="C385" s="9" t="s">
        <v>460</v>
      </c>
      <c r="D385" s="9">
        <v>50.0</v>
      </c>
      <c r="E385" s="10">
        <v>1.0</v>
      </c>
      <c r="F385" s="9">
        <v>3.0</v>
      </c>
      <c r="G385" s="9">
        <v>0.0</v>
      </c>
      <c r="H385" s="9">
        <v>1.0</v>
      </c>
      <c r="I385" s="9">
        <v>0.0</v>
      </c>
      <c r="J385" s="17">
        <v>-1404.0</v>
      </c>
      <c r="K385" s="18">
        <v>-4710.63</v>
      </c>
      <c r="L385" s="17">
        <v>-1516.0</v>
      </c>
      <c r="M385" s="18">
        <v>-4135.84</v>
      </c>
      <c r="N385" s="18">
        <v>172.812</v>
      </c>
      <c r="O385" s="18">
        <v>3600.0</v>
      </c>
    </row>
    <row r="386">
      <c r="A386" s="8" t="s">
        <v>573</v>
      </c>
      <c r="B386" s="9">
        <v>35.0</v>
      </c>
      <c r="C386" s="9" t="s">
        <v>460</v>
      </c>
      <c r="D386" s="9">
        <v>50.0</v>
      </c>
      <c r="E386" s="10">
        <v>1.0</v>
      </c>
      <c r="F386" s="9">
        <v>4.0</v>
      </c>
      <c r="G386" s="9">
        <v>0.0</v>
      </c>
      <c r="H386" s="9">
        <v>1.0</v>
      </c>
      <c r="I386" s="9">
        <v>0.0</v>
      </c>
      <c r="J386" s="17">
        <v>2488.0</v>
      </c>
      <c r="K386" s="18">
        <v>-4445.25</v>
      </c>
      <c r="L386" s="17">
        <v>-1766.0</v>
      </c>
      <c r="M386" s="18">
        <v>-3832.11</v>
      </c>
      <c r="N386" s="18">
        <v>116.994</v>
      </c>
      <c r="O386" s="18">
        <v>3600.0</v>
      </c>
    </row>
    <row r="387">
      <c r="A387" s="8" t="s">
        <v>574</v>
      </c>
      <c r="B387" s="9">
        <v>35.0</v>
      </c>
      <c r="C387" s="9" t="s">
        <v>460</v>
      </c>
      <c r="D387" s="9">
        <v>50.0</v>
      </c>
      <c r="E387" s="10">
        <v>1.0</v>
      </c>
      <c r="F387" s="9">
        <v>5.0</v>
      </c>
      <c r="G387" s="9">
        <v>0.0</v>
      </c>
      <c r="H387" s="9">
        <v>1.0</v>
      </c>
      <c r="I387" s="9">
        <v>0.0</v>
      </c>
      <c r="J387" s="17">
        <v>-1221.0</v>
      </c>
      <c r="K387" s="18">
        <v>-5205.72</v>
      </c>
      <c r="L387" s="17">
        <v>-1711.0</v>
      </c>
      <c r="M387" s="18">
        <v>-4257.92</v>
      </c>
      <c r="N387" s="18">
        <v>148.856</v>
      </c>
      <c r="O387" s="18">
        <v>3600.0</v>
      </c>
    </row>
    <row r="388">
      <c r="A388" s="8" t="s">
        <v>575</v>
      </c>
      <c r="B388" s="9">
        <v>35.0</v>
      </c>
      <c r="C388" s="9" t="s">
        <v>460</v>
      </c>
      <c r="D388" s="9">
        <v>50.0</v>
      </c>
      <c r="E388" s="10">
        <v>2.0</v>
      </c>
      <c r="F388" s="9">
        <v>1.0</v>
      </c>
      <c r="G388" s="9">
        <v>0.0</v>
      </c>
      <c r="H388" s="9">
        <v>1.0</v>
      </c>
      <c r="I388" s="9">
        <v>0.0</v>
      </c>
      <c r="J388" s="17">
        <v>38945.0</v>
      </c>
      <c r="K388" s="18">
        <v>34328.4</v>
      </c>
      <c r="L388" s="17">
        <v>34955.0</v>
      </c>
      <c r="M388" s="18">
        <v>34535.6</v>
      </c>
      <c r="N388" s="18">
        <v>1.19995</v>
      </c>
      <c r="O388" s="18">
        <v>3600.0</v>
      </c>
    </row>
    <row r="389">
      <c r="A389" s="8" t="s">
        <v>576</v>
      </c>
      <c r="B389" s="9">
        <v>35.0</v>
      </c>
      <c r="C389" s="9" t="s">
        <v>460</v>
      </c>
      <c r="D389" s="9">
        <v>50.0</v>
      </c>
      <c r="E389" s="10">
        <v>2.0</v>
      </c>
      <c r="F389" s="9">
        <v>2.0</v>
      </c>
      <c r="G389" s="9">
        <v>0.0</v>
      </c>
      <c r="H389" s="9">
        <v>1.0</v>
      </c>
      <c r="I389" s="9">
        <v>0.0</v>
      </c>
      <c r="J389" s="17">
        <v>36616.0</v>
      </c>
      <c r="K389" s="18">
        <v>32373.8</v>
      </c>
      <c r="L389" s="17">
        <v>33448.0</v>
      </c>
      <c r="M389" s="18">
        <v>32587.5</v>
      </c>
      <c r="N389" s="18">
        <v>2.57254</v>
      </c>
      <c r="O389" s="18">
        <v>3600.0</v>
      </c>
    </row>
    <row r="390">
      <c r="A390" s="8" t="s">
        <v>577</v>
      </c>
      <c r="B390" s="9">
        <v>35.0</v>
      </c>
      <c r="C390" s="9" t="s">
        <v>460</v>
      </c>
      <c r="D390" s="9">
        <v>50.0</v>
      </c>
      <c r="E390" s="10">
        <v>2.0</v>
      </c>
      <c r="F390" s="9">
        <v>3.0</v>
      </c>
      <c r="G390" s="9">
        <v>0.0</v>
      </c>
      <c r="H390" s="9">
        <v>1.0</v>
      </c>
      <c r="I390" s="9">
        <v>0.0</v>
      </c>
      <c r="J390" s="17">
        <v>40385.0</v>
      </c>
      <c r="K390" s="18">
        <v>35390.8</v>
      </c>
      <c r="L390" s="17">
        <v>36467.0</v>
      </c>
      <c r="M390" s="18">
        <v>35615.8</v>
      </c>
      <c r="N390" s="18">
        <v>2.33421</v>
      </c>
      <c r="O390" s="18">
        <v>3600.0</v>
      </c>
    </row>
    <row r="391">
      <c r="A391" s="8" t="s">
        <v>578</v>
      </c>
      <c r="B391" s="9">
        <v>35.0</v>
      </c>
      <c r="C391" s="9" t="s">
        <v>460</v>
      </c>
      <c r="D391" s="9">
        <v>50.0</v>
      </c>
      <c r="E391" s="10">
        <v>2.0</v>
      </c>
      <c r="F391" s="9">
        <v>4.0</v>
      </c>
      <c r="G391" s="9">
        <v>0.0</v>
      </c>
      <c r="H391" s="9">
        <v>1.0</v>
      </c>
      <c r="I391" s="9">
        <v>0.0</v>
      </c>
      <c r="J391" s="17">
        <v>40111.0</v>
      </c>
      <c r="K391" s="18">
        <v>35731.3</v>
      </c>
      <c r="L391" s="17">
        <v>39840.0</v>
      </c>
      <c r="M391" s="18">
        <v>35955.6</v>
      </c>
      <c r="N391" s="18">
        <v>9.75009</v>
      </c>
      <c r="O391" s="18">
        <v>3600.0</v>
      </c>
    </row>
    <row r="392">
      <c r="A392" s="8" t="s">
        <v>579</v>
      </c>
      <c r="B392" s="9">
        <v>35.0</v>
      </c>
      <c r="C392" s="9" t="s">
        <v>460</v>
      </c>
      <c r="D392" s="9">
        <v>50.0</v>
      </c>
      <c r="E392" s="10">
        <v>2.0</v>
      </c>
      <c r="F392" s="9">
        <v>5.0</v>
      </c>
      <c r="G392" s="9">
        <v>0.0</v>
      </c>
      <c r="H392" s="9">
        <v>1.0</v>
      </c>
      <c r="I392" s="9">
        <v>0.0</v>
      </c>
      <c r="J392" s="17">
        <v>38078.0</v>
      </c>
      <c r="K392" s="18">
        <v>33220.0</v>
      </c>
      <c r="L392" s="17">
        <v>34223.0</v>
      </c>
      <c r="M392" s="18">
        <v>33642.0</v>
      </c>
      <c r="N392" s="18">
        <v>1.69778</v>
      </c>
      <c r="O392" s="18">
        <v>3600.0</v>
      </c>
    </row>
    <row r="393">
      <c r="A393" s="8" t="s">
        <v>580</v>
      </c>
      <c r="B393" s="9">
        <v>35.0</v>
      </c>
      <c r="C393" s="9" t="s">
        <v>460</v>
      </c>
      <c r="D393" s="9">
        <v>75.0</v>
      </c>
      <c r="E393" s="10">
        <v>0.6</v>
      </c>
      <c r="F393" s="9">
        <v>1.0</v>
      </c>
      <c r="G393" s="9">
        <v>0.0</v>
      </c>
      <c r="H393" s="9">
        <v>1.0</v>
      </c>
      <c r="I393" s="9">
        <v>0.0</v>
      </c>
      <c r="J393" s="17">
        <v>-6835.0</v>
      </c>
      <c r="K393" s="18">
        <v>-13048.3</v>
      </c>
      <c r="L393" s="17">
        <v>-8500.0</v>
      </c>
      <c r="M393" s="18">
        <v>-11680.8</v>
      </c>
      <c r="N393" s="18">
        <v>37.4212</v>
      </c>
      <c r="O393" s="18">
        <v>3600.0</v>
      </c>
    </row>
    <row r="394">
      <c r="A394" s="8" t="s">
        <v>581</v>
      </c>
      <c r="B394" s="9">
        <v>35.0</v>
      </c>
      <c r="C394" s="9" t="s">
        <v>460</v>
      </c>
      <c r="D394" s="9">
        <v>75.0</v>
      </c>
      <c r="E394" s="10">
        <v>0.6</v>
      </c>
      <c r="F394" s="9">
        <v>2.0</v>
      </c>
      <c r="G394" s="9">
        <v>0.0</v>
      </c>
      <c r="H394" s="9">
        <v>1.0</v>
      </c>
      <c r="I394" s="9">
        <v>0.0</v>
      </c>
      <c r="J394" s="17">
        <v>-6574.0</v>
      </c>
      <c r="K394" s="18">
        <v>-13087.7</v>
      </c>
      <c r="L394" s="17">
        <v>-8426.0</v>
      </c>
      <c r="M394" s="18">
        <v>-11565.1</v>
      </c>
      <c r="N394" s="18">
        <v>37.2553</v>
      </c>
      <c r="O394" s="18">
        <v>3600.0</v>
      </c>
    </row>
    <row r="395">
      <c r="A395" s="8" t="s">
        <v>582</v>
      </c>
      <c r="B395" s="9">
        <v>35.0</v>
      </c>
      <c r="C395" s="9" t="s">
        <v>460</v>
      </c>
      <c r="D395" s="9">
        <v>75.0</v>
      </c>
      <c r="E395" s="10">
        <v>0.6</v>
      </c>
      <c r="F395" s="9">
        <v>3.0</v>
      </c>
      <c r="G395" s="9">
        <v>0.0</v>
      </c>
      <c r="H395" s="9">
        <v>1.0</v>
      </c>
      <c r="I395" s="9">
        <v>0.0</v>
      </c>
      <c r="J395" s="17">
        <v>-6268.0</v>
      </c>
      <c r="K395" s="18">
        <v>-12875.3</v>
      </c>
      <c r="L395" s="17">
        <v>-8334.0</v>
      </c>
      <c r="M395" s="18">
        <v>-11150.2</v>
      </c>
      <c r="N395" s="18">
        <v>33.7912</v>
      </c>
      <c r="O395" s="18">
        <v>3600.0</v>
      </c>
    </row>
    <row r="396">
      <c r="A396" s="8" t="s">
        <v>583</v>
      </c>
      <c r="B396" s="9">
        <v>35.0</v>
      </c>
      <c r="C396" s="9" t="s">
        <v>460</v>
      </c>
      <c r="D396" s="9">
        <v>75.0</v>
      </c>
      <c r="E396" s="10">
        <v>0.6</v>
      </c>
      <c r="F396" s="9">
        <v>4.0</v>
      </c>
      <c r="G396" s="9">
        <v>0.0</v>
      </c>
      <c r="H396" s="9">
        <v>1.0</v>
      </c>
      <c r="I396" s="9">
        <v>0.0</v>
      </c>
      <c r="J396" s="17">
        <v>-6960.0</v>
      </c>
      <c r="K396" s="18">
        <v>-13301.2</v>
      </c>
      <c r="L396" s="17">
        <v>-8610.0</v>
      </c>
      <c r="M396" s="18">
        <v>-11831.4</v>
      </c>
      <c r="N396" s="18">
        <v>37.4142</v>
      </c>
      <c r="O396" s="18">
        <v>3600.0</v>
      </c>
    </row>
    <row r="397">
      <c r="A397" s="8" t="s">
        <v>584</v>
      </c>
      <c r="B397" s="9">
        <v>35.0</v>
      </c>
      <c r="C397" s="9" t="s">
        <v>460</v>
      </c>
      <c r="D397" s="9">
        <v>75.0</v>
      </c>
      <c r="E397" s="10">
        <v>0.6</v>
      </c>
      <c r="F397" s="9">
        <v>5.0</v>
      </c>
      <c r="G397" s="9">
        <v>0.0</v>
      </c>
      <c r="H397" s="9">
        <v>1.0</v>
      </c>
      <c r="I397" s="9">
        <v>0.0</v>
      </c>
      <c r="J397" s="17">
        <v>-8346.0</v>
      </c>
      <c r="K397" s="18">
        <v>-13493.3</v>
      </c>
      <c r="L397" s="17">
        <v>-8658.0</v>
      </c>
      <c r="M397" s="18">
        <v>-12131.6</v>
      </c>
      <c r="N397" s="18">
        <v>40.1196</v>
      </c>
      <c r="O397" s="18">
        <v>3600.0</v>
      </c>
    </row>
    <row r="398">
      <c r="A398" s="8" t="s">
        <v>585</v>
      </c>
      <c r="B398" s="9">
        <v>35.0</v>
      </c>
      <c r="C398" s="9" t="s">
        <v>460</v>
      </c>
      <c r="D398" s="9">
        <v>75.0</v>
      </c>
      <c r="E398" s="10">
        <v>1.0</v>
      </c>
      <c r="F398" s="9">
        <v>1.0</v>
      </c>
      <c r="G398" s="9">
        <v>0.0</v>
      </c>
      <c r="H398" s="9">
        <v>1.0</v>
      </c>
      <c r="I398" s="9">
        <v>0.0</v>
      </c>
      <c r="J398" s="17">
        <v>-14.0</v>
      </c>
      <c r="K398" s="18">
        <v>-4677.16</v>
      </c>
      <c r="L398" s="17">
        <v>-1851.0</v>
      </c>
      <c r="M398" s="18">
        <v>-3971.65</v>
      </c>
      <c r="N398" s="18">
        <v>114.568</v>
      </c>
      <c r="O398" s="18">
        <v>3600.0</v>
      </c>
    </row>
    <row r="399">
      <c r="A399" s="8" t="s">
        <v>586</v>
      </c>
      <c r="B399" s="9">
        <v>35.0</v>
      </c>
      <c r="C399" s="9" t="s">
        <v>460</v>
      </c>
      <c r="D399" s="9">
        <v>75.0</v>
      </c>
      <c r="E399" s="10">
        <v>1.0</v>
      </c>
      <c r="F399" s="9">
        <v>2.0</v>
      </c>
      <c r="G399" s="9">
        <v>0.0</v>
      </c>
      <c r="H399" s="9">
        <v>1.0</v>
      </c>
      <c r="I399" s="9">
        <v>0.0</v>
      </c>
      <c r="J399" s="17">
        <v>2480.0</v>
      </c>
      <c r="K399" s="18">
        <v>-4724.01</v>
      </c>
      <c r="L399" s="17">
        <v>-1958.0</v>
      </c>
      <c r="M399" s="18">
        <v>-3948.88</v>
      </c>
      <c r="N399" s="18">
        <v>101.679</v>
      </c>
      <c r="O399" s="18">
        <v>3600.0</v>
      </c>
    </row>
    <row r="400">
      <c r="A400" s="8" t="s">
        <v>587</v>
      </c>
      <c r="B400" s="9">
        <v>35.0</v>
      </c>
      <c r="C400" s="9" t="s">
        <v>460</v>
      </c>
      <c r="D400" s="9">
        <v>75.0</v>
      </c>
      <c r="E400" s="10">
        <v>1.0</v>
      </c>
      <c r="F400" s="9">
        <v>3.0</v>
      </c>
      <c r="G400" s="9">
        <v>0.0</v>
      </c>
      <c r="H400" s="9">
        <v>1.0</v>
      </c>
      <c r="I400" s="9">
        <v>0.0</v>
      </c>
      <c r="J400" s="17">
        <v>-1059.0</v>
      </c>
      <c r="K400" s="18">
        <v>-4884.2</v>
      </c>
      <c r="L400" s="17">
        <v>-2056.0</v>
      </c>
      <c r="M400" s="18">
        <v>-3973.32</v>
      </c>
      <c r="N400" s="18">
        <v>93.255</v>
      </c>
      <c r="O400" s="18">
        <v>3600.0</v>
      </c>
    </row>
    <row r="401">
      <c r="A401" s="8" t="s">
        <v>588</v>
      </c>
      <c r="B401" s="9">
        <v>35.0</v>
      </c>
      <c r="C401" s="9" t="s">
        <v>460</v>
      </c>
      <c r="D401" s="9">
        <v>75.0</v>
      </c>
      <c r="E401" s="10">
        <v>1.0</v>
      </c>
      <c r="F401" s="9">
        <v>4.0</v>
      </c>
      <c r="G401" s="9">
        <v>0.0</v>
      </c>
      <c r="H401" s="9">
        <v>1.0</v>
      </c>
      <c r="I401" s="9">
        <v>0.0</v>
      </c>
      <c r="J401" s="17">
        <v>-797.0</v>
      </c>
      <c r="K401" s="18">
        <v>-4597.0</v>
      </c>
      <c r="L401" s="17">
        <v>-1546.0</v>
      </c>
      <c r="M401" s="18">
        <v>-3942.18</v>
      </c>
      <c r="N401" s="18">
        <v>154.992</v>
      </c>
      <c r="O401" s="18">
        <v>3600.0</v>
      </c>
    </row>
    <row r="402">
      <c r="A402" s="8" t="s">
        <v>589</v>
      </c>
      <c r="B402" s="9">
        <v>35.0</v>
      </c>
      <c r="C402" s="9" t="s">
        <v>460</v>
      </c>
      <c r="D402" s="9">
        <v>75.0</v>
      </c>
      <c r="E402" s="10">
        <v>1.0</v>
      </c>
      <c r="F402" s="9">
        <v>5.0</v>
      </c>
      <c r="G402" s="9">
        <v>0.0</v>
      </c>
      <c r="H402" s="9">
        <v>1.0</v>
      </c>
      <c r="I402" s="9">
        <v>0.0</v>
      </c>
      <c r="J402" s="17">
        <v>821.0</v>
      </c>
      <c r="K402" s="18">
        <v>-4559.62</v>
      </c>
      <c r="L402" s="17">
        <v>-1637.0</v>
      </c>
      <c r="M402" s="18">
        <v>-4123.48</v>
      </c>
      <c r="N402" s="18">
        <v>151.892</v>
      </c>
      <c r="O402" s="18">
        <v>3600.0</v>
      </c>
    </row>
    <row r="403">
      <c r="A403" s="8" t="s">
        <v>590</v>
      </c>
      <c r="B403" s="9">
        <v>35.0</v>
      </c>
      <c r="C403" s="9" t="s">
        <v>460</v>
      </c>
      <c r="D403" s="9">
        <v>75.0</v>
      </c>
      <c r="E403" s="10">
        <v>2.0</v>
      </c>
      <c r="F403" s="9">
        <v>1.0</v>
      </c>
      <c r="G403" s="9">
        <v>0.0</v>
      </c>
      <c r="H403" s="9">
        <v>1.0</v>
      </c>
      <c r="I403" s="9">
        <v>0.0</v>
      </c>
      <c r="J403" s="17">
        <v>60749.0</v>
      </c>
      <c r="K403" s="18">
        <v>53865.6</v>
      </c>
      <c r="L403" s="17">
        <v>55186.0</v>
      </c>
      <c r="M403" s="18">
        <v>54100.9</v>
      </c>
      <c r="N403" s="18">
        <v>1.9663</v>
      </c>
      <c r="O403" s="18">
        <v>3600.0</v>
      </c>
    </row>
    <row r="404">
      <c r="A404" s="8" t="s">
        <v>591</v>
      </c>
      <c r="B404" s="9">
        <v>35.0</v>
      </c>
      <c r="C404" s="9" t="s">
        <v>460</v>
      </c>
      <c r="D404" s="9">
        <v>75.0</v>
      </c>
      <c r="E404" s="10">
        <v>2.0</v>
      </c>
      <c r="F404" s="9">
        <v>2.0</v>
      </c>
      <c r="G404" s="9">
        <v>0.0</v>
      </c>
      <c r="H404" s="9">
        <v>1.0</v>
      </c>
      <c r="I404" s="9">
        <v>0.0</v>
      </c>
      <c r="J404" s="17">
        <v>59714.0</v>
      </c>
      <c r="K404" s="18">
        <v>52760.4</v>
      </c>
      <c r="L404" s="17">
        <v>53800.0</v>
      </c>
      <c r="M404" s="18">
        <v>52981.7</v>
      </c>
      <c r="N404" s="18">
        <v>1.52091</v>
      </c>
      <c r="O404" s="18">
        <v>3600.0</v>
      </c>
    </row>
    <row r="405">
      <c r="A405" s="8" t="s">
        <v>592</v>
      </c>
      <c r="B405" s="9">
        <v>35.0</v>
      </c>
      <c r="C405" s="9" t="s">
        <v>460</v>
      </c>
      <c r="D405" s="9">
        <v>75.0</v>
      </c>
      <c r="E405" s="10">
        <v>2.0</v>
      </c>
      <c r="F405" s="9">
        <v>3.0</v>
      </c>
      <c r="G405" s="9">
        <v>0.0</v>
      </c>
      <c r="H405" s="9">
        <v>1.0</v>
      </c>
      <c r="I405" s="9">
        <v>0.0</v>
      </c>
      <c r="J405" s="17">
        <v>55854.0</v>
      </c>
      <c r="K405" s="18">
        <v>49339.0</v>
      </c>
      <c r="L405" s="17">
        <v>50286.0</v>
      </c>
      <c r="M405" s="18">
        <v>49597.7</v>
      </c>
      <c r="N405" s="18">
        <v>1.36884</v>
      </c>
      <c r="O405" s="18">
        <v>3600.0</v>
      </c>
    </row>
    <row r="406">
      <c r="A406" s="8" t="s">
        <v>593</v>
      </c>
      <c r="B406" s="9">
        <v>35.0</v>
      </c>
      <c r="C406" s="9" t="s">
        <v>460</v>
      </c>
      <c r="D406" s="9">
        <v>75.0</v>
      </c>
      <c r="E406" s="10">
        <v>2.0</v>
      </c>
      <c r="F406" s="9">
        <v>4.0</v>
      </c>
      <c r="G406" s="9">
        <v>0.0</v>
      </c>
      <c r="H406" s="9">
        <v>1.0</v>
      </c>
      <c r="I406" s="9">
        <v>0.0</v>
      </c>
      <c r="J406" s="17">
        <v>60756.0</v>
      </c>
      <c r="K406" s="18">
        <v>54361.6</v>
      </c>
      <c r="L406" s="17">
        <v>60469.0</v>
      </c>
      <c r="M406" s="18">
        <v>54570.2</v>
      </c>
      <c r="N406" s="18">
        <v>9.75508</v>
      </c>
      <c r="O406" s="18">
        <v>3600.0</v>
      </c>
    </row>
    <row r="407">
      <c r="A407" s="8" t="s">
        <v>594</v>
      </c>
      <c r="B407" s="9">
        <v>35.0</v>
      </c>
      <c r="C407" s="9" t="s">
        <v>460</v>
      </c>
      <c r="D407" s="9">
        <v>75.0</v>
      </c>
      <c r="E407" s="10">
        <v>2.0</v>
      </c>
      <c r="F407" s="9">
        <v>5.0</v>
      </c>
      <c r="G407" s="9">
        <v>0.0</v>
      </c>
      <c r="H407" s="9">
        <v>1.0</v>
      </c>
      <c r="I407" s="9">
        <v>0.0</v>
      </c>
      <c r="J407" s="17">
        <v>62965.0</v>
      </c>
      <c r="K407" s="18">
        <v>56001.6</v>
      </c>
      <c r="L407" s="17">
        <v>57413.0</v>
      </c>
      <c r="M407" s="18">
        <v>56227.9</v>
      </c>
      <c r="N407" s="18">
        <v>2.06424</v>
      </c>
      <c r="O407" s="18">
        <v>3600.0</v>
      </c>
    </row>
    <row r="408">
      <c r="B408" s="11"/>
      <c r="C408" s="11"/>
      <c r="D408" s="11"/>
      <c r="E408" s="15"/>
      <c r="F408" s="11"/>
      <c r="G408" s="11"/>
      <c r="H408" s="11"/>
      <c r="I408" s="11"/>
      <c r="J408" s="12"/>
      <c r="K408" s="13"/>
      <c r="L408" s="12"/>
      <c r="M408" s="13"/>
      <c r="N408" s="13"/>
      <c r="O408" s="13">
        <f>SUM(O3:O407)</f>
        <v>804280.978</v>
      </c>
    </row>
    <row r="409">
      <c r="B409" s="11"/>
      <c r="C409" s="11"/>
      <c r="D409" s="11"/>
      <c r="E409" s="15"/>
      <c r="F409" s="11"/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B410" s="11"/>
      <c r="C410" s="11"/>
      <c r="D410" s="11"/>
      <c r="E410" s="15"/>
      <c r="F410" s="11"/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B411" s="11"/>
      <c r="C411" s="11"/>
      <c r="D411" s="11"/>
      <c r="E411" s="15"/>
      <c r="F411" s="11"/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B412" s="11"/>
      <c r="C412" s="11"/>
      <c r="D412" s="11"/>
      <c r="E412" s="15"/>
      <c r="F412" s="11"/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B413" s="11"/>
      <c r="C413" s="11"/>
      <c r="D413" s="11"/>
      <c r="E413" s="15"/>
      <c r="F413" s="11"/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B414" s="11"/>
      <c r="C414" s="11"/>
      <c r="D414" s="11"/>
      <c r="E414" s="15"/>
      <c r="F414" s="11"/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B415" s="11"/>
      <c r="C415" s="11"/>
      <c r="D415" s="11"/>
      <c r="E415" s="15"/>
      <c r="F415" s="11"/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B416" s="11"/>
      <c r="C416" s="11"/>
      <c r="D416" s="11"/>
      <c r="E416" s="15"/>
      <c r="F416" s="11"/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B417" s="11"/>
      <c r="C417" s="11"/>
      <c r="D417" s="11"/>
      <c r="E417" s="15"/>
      <c r="F417" s="11"/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B418" s="11"/>
      <c r="C418" s="11"/>
      <c r="D418" s="11"/>
      <c r="E418" s="15"/>
      <c r="F418" s="11"/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B419" s="11"/>
      <c r="C419" s="11"/>
      <c r="D419" s="11"/>
      <c r="E419" s="15"/>
      <c r="F419" s="11"/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B420" s="11"/>
      <c r="C420" s="11"/>
      <c r="D420" s="11"/>
      <c r="E420" s="15"/>
      <c r="F420" s="11"/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B421" s="11"/>
      <c r="C421" s="11"/>
      <c r="D421" s="11"/>
      <c r="E421" s="15"/>
      <c r="F421" s="11"/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B422" s="11"/>
      <c r="C422" s="11"/>
      <c r="D422" s="11"/>
      <c r="E422" s="15"/>
      <c r="F422" s="11"/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B423" s="11"/>
      <c r="C423" s="11"/>
      <c r="D423" s="11"/>
      <c r="E423" s="15"/>
      <c r="F423" s="11"/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B424" s="11"/>
      <c r="C424" s="11"/>
      <c r="D424" s="11"/>
      <c r="E424" s="15"/>
      <c r="F424" s="11"/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B425" s="11"/>
      <c r="C425" s="11"/>
      <c r="D425" s="11"/>
      <c r="E425" s="15"/>
      <c r="F425" s="11"/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B426" s="11"/>
      <c r="C426" s="11"/>
      <c r="D426" s="11"/>
      <c r="E426" s="15"/>
      <c r="F426" s="11"/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B427" s="11"/>
      <c r="C427" s="11"/>
      <c r="D427" s="11"/>
      <c r="E427" s="15"/>
      <c r="F427" s="11"/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B428" s="11"/>
      <c r="C428" s="11"/>
      <c r="D428" s="11"/>
      <c r="E428" s="15"/>
      <c r="F428" s="11"/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B429" s="11"/>
      <c r="C429" s="11"/>
      <c r="D429" s="11"/>
      <c r="E429" s="15"/>
      <c r="F429" s="11"/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B430" s="11"/>
      <c r="C430" s="11"/>
      <c r="D430" s="11"/>
      <c r="E430" s="15"/>
      <c r="F430" s="11"/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B431" s="11"/>
      <c r="C431" s="11"/>
      <c r="D431" s="11"/>
      <c r="E431" s="15"/>
      <c r="F431" s="11"/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B432" s="11"/>
      <c r="C432" s="11"/>
      <c r="D432" s="11"/>
      <c r="E432" s="15"/>
      <c r="F432" s="11"/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B433" s="11"/>
      <c r="C433" s="11"/>
      <c r="D433" s="11"/>
      <c r="E433" s="15"/>
      <c r="F433" s="11"/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B434" s="11"/>
      <c r="C434" s="11"/>
      <c r="D434" s="11"/>
      <c r="E434" s="15"/>
      <c r="F434" s="11"/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B435" s="11"/>
      <c r="C435" s="11"/>
      <c r="D435" s="11"/>
      <c r="E435" s="15"/>
      <c r="F435" s="11"/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B436" s="11"/>
      <c r="C436" s="11"/>
      <c r="D436" s="11"/>
      <c r="E436" s="15"/>
      <c r="F436" s="11"/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B437" s="11"/>
      <c r="C437" s="11"/>
      <c r="D437" s="11"/>
      <c r="E437" s="15"/>
      <c r="F437" s="11"/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B438" s="11"/>
      <c r="C438" s="11"/>
      <c r="D438" s="11"/>
      <c r="E438" s="15"/>
      <c r="F438" s="11"/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B439" s="11"/>
      <c r="C439" s="11"/>
      <c r="D439" s="11"/>
      <c r="E439" s="15"/>
      <c r="F439" s="11"/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B440" s="11"/>
      <c r="C440" s="11"/>
      <c r="D440" s="11"/>
      <c r="E440" s="15"/>
      <c r="F440" s="11"/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B441" s="11"/>
      <c r="C441" s="11"/>
      <c r="D441" s="11"/>
      <c r="E441" s="15"/>
      <c r="F441" s="11"/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B442" s="11"/>
      <c r="C442" s="11"/>
      <c r="D442" s="11"/>
      <c r="E442" s="15"/>
      <c r="F442" s="11"/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B443" s="11"/>
      <c r="C443" s="11"/>
      <c r="D443" s="11"/>
      <c r="E443" s="15"/>
      <c r="F443" s="11"/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B444" s="11"/>
      <c r="C444" s="11"/>
      <c r="D444" s="11"/>
      <c r="E444" s="15"/>
      <c r="F444" s="11"/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B445" s="11"/>
      <c r="C445" s="11"/>
      <c r="D445" s="11"/>
      <c r="E445" s="15"/>
      <c r="F445" s="11"/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B446" s="11"/>
      <c r="C446" s="11"/>
      <c r="D446" s="11"/>
      <c r="E446" s="15"/>
      <c r="F446" s="11"/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B447" s="11"/>
      <c r="C447" s="11"/>
      <c r="D447" s="11"/>
      <c r="E447" s="15"/>
      <c r="F447" s="11"/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B448" s="11"/>
      <c r="C448" s="11"/>
      <c r="D448" s="11"/>
      <c r="E448" s="15"/>
      <c r="F448" s="11"/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B449" s="11"/>
      <c r="C449" s="11"/>
      <c r="D449" s="11"/>
      <c r="E449" s="15"/>
      <c r="F449" s="11"/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B450" s="11"/>
      <c r="C450" s="11"/>
      <c r="D450" s="11"/>
      <c r="E450" s="15"/>
      <c r="F450" s="11"/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B451" s="11"/>
      <c r="C451" s="11"/>
      <c r="D451" s="11"/>
      <c r="E451" s="15"/>
      <c r="F451" s="11"/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B452" s="11"/>
      <c r="C452" s="11"/>
      <c r="D452" s="11"/>
      <c r="E452" s="15"/>
      <c r="F452" s="11"/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B453" s="11"/>
      <c r="C453" s="11"/>
      <c r="D453" s="11"/>
      <c r="E453" s="15"/>
      <c r="F453" s="11"/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B454" s="11"/>
      <c r="C454" s="11"/>
      <c r="D454" s="11"/>
      <c r="E454" s="15"/>
      <c r="F454" s="11"/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B455" s="11"/>
      <c r="C455" s="11"/>
      <c r="D455" s="11"/>
      <c r="E455" s="15"/>
      <c r="F455" s="11"/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B456" s="11"/>
      <c r="C456" s="11"/>
      <c r="D456" s="11"/>
      <c r="E456" s="15"/>
      <c r="F456" s="11"/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B457" s="11"/>
      <c r="C457" s="11"/>
      <c r="D457" s="11"/>
      <c r="E457" s="15"/>
      <c r="F457" s="11"/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B458" s="11"/>
      <c r="C458" s="11"/>
      <c r="D458" s="11"/>
      <c r="E458" s="15"/>
      <c r="F458" s="11"/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B459" s="11"/>
      <c r="C459" s="11"/>
      <c r="D459" s="11"/>
      <c r="E459" s="15"/>
      <c r="F459" s="11"/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B460" s="11"/>
      <c r="C460" s="11"/>
      <c r="D460" s="11"/>
      <c r="E460" s="15"/>
      <c r="F460" s="11"/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B461" s="11"/>
      <c r="C461" s="11"/>
      <c r="D461" s="11"/>
      <c r="E461" s="15"/>
      <c r="F461" s="11"/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B462" s="11"/>
      <c r="C462" s="11"/>
      <c r="D462" s="11"/>
      <c r="E462" s="15"/>
      <c r="F462" s="11"/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B463" s="11"/>
      <c r="C463" s="11"/>
      <c r="D463" s="11"/>
      <c r="E463" s="15"/>
      <c r="F463" s="11"/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B464" s="11"/>
      <c r="C464" s="11"/>
      <c r="D464" s="11"/>
      <c r="E464" s="15"/>
      <c r="F464" s="11"/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B465" s="11"/>
      <c r="C465" s="11"/>
      <c r="D465" s="11"/>
      <c r="E465" s="15"/>
      <c r="F465" s="11"/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B466" s="11"/>
      <c r="C466" s="11"/>
      <c r="D466" s="11"/>
      <c r="E466" s="15"/>
      <c r="F466" s="11"/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B467" s="11"/>
      <c r="C467" s="11"/>
      <c r="D467" s="11"/>
      <c r="E467" s="15"/>
      <c r="F467" s="11"/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B468" s="11"/>
      <c r="C468" s="11"/>
      <c r="D468" s="11"/>
      <c r="E468" s="15"/>
      <c r="F468" s="11"/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B469" s="11"/>
      <c r="C469" s="11"/>
      <c r="D469" s="11"/>
      <c r="E469" s="15"/>
      <c r="F469" s="11"/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B470" s="11"/>
      <c r="C470" s="11"/>
      <c r="D470" s="11"/>
      <c r="E470" s="15"/>
      <c r="F470" s="11"/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B471" s="11"/>
      <c r="C471" s="11"/>
      <c r="D471" s="11"/>
      <c r="E471" s="15"/>
      <c r="F471" s="11"/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B472" s="11"/>
      <c r="C472" s="11"/>
      <c r="D472" s="11"/>
      <c r="E472" s="15"/>
      <c r="F472" s="11"/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B473" s="11"/>
      <c r="C473" s="11"/>
      <c r="D473" s="11"/>
      <c r="E473" s="15"/>
      <c r="F473" s="11"/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B474" s="11"/>
      <c r="C474" s="11"/>
      <c r="D474" s="11"/>
      <c r="E474" s="15"/>
      <c r="F474" s="11"/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B475" s="11"/>
      <c r="C475" s="11"/>
      <c r="D475" s="11"/>
      <c r="E475" s="15"/>
      <c r="F475" s="11"/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B476" s="11"/>
      <c r="C476" s="11"/>
      <c r="D476" s="11"/>
      <c r="E476" s="15"/>
      <c r="F476" s="11"/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B477" s="11"/>
      <c r="C477" s="11"/>
      <c r="D477" s="11"/>
      <c r="E477" s="15"/>
      <c r="F477" s="11"/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B478" s="11"/>
      <c r="C478" s="11"/>
      <c r="D478" s="11"/>
      <c r="E478" s="15"/>
      <c r="F478" s="11"/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B479" s="11"/>
      <c r="C479" s="11"/>
      <c r="D479" s="11"/>
      <c r="E479" s="15"/>
      <c r="F479" s="11"/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B480" s="11"/>
      <c r="C480" s="11"/>
      <c r="D480" s="11"/>
      <c r="E480" s="15"/>
      <c r="F480" s="11"/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B481" s="11"/>
      <c r="C481" s="11"/>
      <c r="D481" s="11"/>
      <c r="E481" s="15"/>
      <c r="F481" s="11"/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B482" s="11"/>
      <c r="C482" s="11"/>
      <c r="D482" s="11"/>
      <c r="E482" s="15"/>
      <c r="F482" s="11"/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B483" s="11"/>
      <c r="C483" s="11"/>
      <c r="D483" s="11"/>
      <c r="E483" s="15"/>
      <c r="F483" s="11"/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B484" s="11"/>
      <c r="C484" s="11"/>
      <c r="D484" s="11"/>
      <c r="E484" s="15"/>
      <c r="F484" s="11"/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B485" s="11"/>
      <c r="C485" s="11"/>
      <c r="D485" s="11"/>
      <c r="E485" s="15"/>
      <c r="F485" s="11"/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B486" s="11"/>
      <c r="C486" s="11"/>
      <c r="D486" s="11"/>
      <c r="E486" s="15"/>
      <c r="F486" s="11"/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B487" s="11"/>
      <c r="C487" s="11"/>
      <c r="D487" s="11"/>
      <c r="E487" s="15"/>
      <c r="F487" s="11"/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B488" s="11"/>
      <c r="C488" s="11"/>
      <c r="D488" s="11"/>
      <c r="E488" s="15"/>
      <c r="F488" s="11"/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B489" s="11"/>
      <c r="C489" s="11"/>
      <c r="D489" s="11"/>
      <c r="E489" s="15"/>
      <c r="F489" s="11"/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B490" s="11"/>
      <c r="C490" s="11"/>
      <c r="D490" s="11"/>
      <c r="E490" s="15"/>
      <c r="F490" s="11"/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B491" s="11"/>
      <c r="C491" s="11"/>
      <c r="D491" s="11"/>
      <c r="E491" s="15"/>
      <c r="F491" s="11"/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B492" s="11"/>
      <c r="C492" s="11"/>
      <c r="D492" s="11"/>
      <c r="E492" s="15"/>
      <c r="F492" s="11"/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B493" s="11"/>
      <c r="C493" s="11"/>
      <c r="D493" s="11"/>
      <c r="E493" s="15"/>
      <c r="F493" s="11"/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B494" s="11"/>
      <c r="C494" s="11"/>
      <c r="D494" s="11"/>
      <c r="E494" s="15"/>
      <c r="F494" s="11"/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B495" s="11"/>
      <c r="C495" s="11"/>
      <c r="D495" s="11"/>
      <c r="E495" s="15"/>
      <c r="F495" s="11"/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B496" s="11"/>
      <c r="C496" s="11"/>
      <c r="D496" s="11"/>
      <c r="E496" s="15"/>
      <c r="F496" s="11"/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B497" s="11"/>
      <c r="C497" s="11"/>
      <c r="D497" s="11"/>
      <c r="E497" s="15"/>
      <c r="F497" s="11"/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B498" s="11"/>
      <c r="C498" s="11"/>
      <c r="D498" s="11"/>
      <c r="E498" s="15"/>
      <c r="F498" s="11"/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B499" s="11"/>
      <c r="C499" s="11"/>
      <c r="D499" s="11"/>
      <c r="E499" s="15"/>
      <c r="F499" s="11"/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B500" s="11"/>
      <c r="C500" s="11"/>
      <c r="D500" s="11"/>
      <c r="E500" s="15"/>
      <c r="F500" s="11"/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B501" s="11"/>
      <c r="C501" s="11"/>
      <c r="D501" s="11"/>
      <c r="E501" s="15"/>
      <c r="F501" s="11"/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B502" s="11"/>
      <c r="C502" s="11"/>
      <c r="D502" s="11"/>
      <c r="E502" s="15"/>
      <c r="F502" s="11"/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B503" s="11"/>
      <c r="C503" s="11"/>
      <c r="D503" s="11"/>
      <c r="E503" s="15"/>
      <c r="F503" s="11"/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B504" s="11"/>
      <c r="C504" s="11"/>
      <c r="D504" s="11"/>
      <c r="E504" s="15"/>
      <c r="F504" s="11"/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B505" s="11"/>
      <c r="C505" s="11"/>
      <c r="D505" s="11"/>
      <c r="E505" s="15"/>
      <c r="F505" s="11"/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B506" s="11"/>
      <c r="C506" s="11"/>
      <c r="D506" s="11"/>
      <c r="E506" s="15"/>
      <c r="F506" s="11"/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B507" s="11"/>
      <c r="C507" s="11"/>
      <c r="D507" s="11"/>
      <c r="E507" s="15"/>
      <c r="F507" s="11"/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B508" s="11"/>
      <c r="C508" s="11"/>
      <c r="D508" s="11"/>
      <c r="E508" s="15"/>
      <c r="F508" s="11"/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B509" s="11"/>
      <c r="C509" s="11"/>
      <c r="D509" s="11"/>
      <c r="E509" s="15"/>
      <c r="F509" s="11"/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B510" s="11"/>
      <c r="C510" s="11"/>
      <c r="D510" s="11"/>
      <c r="E510" s="15"/>
      <c r="F510" s="11"/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B511" s="11"/>
      <c r="C511" s="11"/>
      <c r="D511" s="11"/>
      <c r="E511" s="15"/>
      <c r="F511" s="11"/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B512" s="11"/>
      <c r="C512" s="11"/>
      <c r="D512" s="11"/>
      <c r="E512" s="15"/>
      <c r="F512" s="11"/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B513" s="11"/>
      <c r="C513" s="11"/>
      <c r="D513" s="11"/>
      <c r="E513" s="15"/>
      <c r="F513" s="11"/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B514" s="11"/>
      <c r="C514" s="11"/>
      <c r="D514" s="11"/>
      <c r="E514" s="15"/>
      <c r="F514" s="11"/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B515" s="11"/>
      <c r="C515" s="11"/>
      <c r="D515" s="11"/>
      <c r="E515" s="15"/>
      <c r="F515" s="11"/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B516" s="11"/>
      <c r="C516" s="11"/>
      <c r="D516" s="11"/>
      <c r="E516" s="15"/>
      <c r="F516" s="11"/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B517" s="11"/>
      <c r="C517" s="11"/>
      <c r="D517" s="11"/>
      <c r="E517" s="15"/>
      <c r="F517" s="11"/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B518" s="11"/>
      <c r="C518" s="11"/>
      <c r="D518" s="11"/>
      <c r="E518" s="15"/>
      <c r="F518" s="11"/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B519" s="11"/>
      <c r="C519" s="11"/>
      <c r="D519" s="11"/>
      <c r="E519" s="15"/>
      <c r="F519" s="11"/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B520" s="11"/>
      <c r="C520" s="11"/>
      <c r="D520" s="11"/>
      <c r="E520" s="15"/>
      <c r="F520" s="11"/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B521" s="11"/>
      <c r="C521" s="11"/>
      <c r="D521" s="11"/>
      <c r="E521" s="15"/>
      <c r="F521" s="11"/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B522" s="11"/>
      <c r="C522" s="11"/>
      <c r="D522" s="11"/>
      <c r="E522" s="15"/>
      <c r="F522" s="11"/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B523" s="11"/>
      <c r="C523" s="11"/>
      <c r="D523" s="11"/>
      <c r="E523" s="15"/>
      <c r="F523" s="11"/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B524" s="11"/>
      <c r="C524" s="11"/>
      <c r="D524" s="11"/>
      <c r="E524" s="15"/>
      <c r="F524" s="11"/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B525" s="11"/>
      <c r="C525" s="11"/>
      <c r="D525" s="11"/>
      <c r="E525" s="15"/>
      <c r="F525" s="11"/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B526" s="11"/>
      <c r="C526" s="11"/>
      <c r="D526" s="11"/>
      <c r="E526" s="15"/>
      <c r="F526" s="11"/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B527" s="11"/>
      <c r="C527" s="11"/>
      <c r="D527" s="11"/>
      <c r="E527" s="15"/>
      <c r="F527" s="11"/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B528" s="11"/>
      <c r="C528" s="11"/>
      <c r="D528" s="11"/>
      <c r="E528" s="15"/>
      <c r="F528" s="11"/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B529" s="11"/>
      <c r="C529" s="11"/>
      <c r="D529" s="11"/>
      <c r="E529" s="15"/>
      <c r="F529" s="11"/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B530" s="11"/>
      <c r="C530" s="11"/>
      <c r="D530" s="11"/>
      <c r="E530" s="15"/>
      <c r="F530" s="11"/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B531" s="11"/>
      <c r="C531" s="11"/>
      <c r="D531" s="11"/>
      <c r="E531" s="15"/>
      <c r="F531" s="11"/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B532" s="11"/>
      <c r="C532" s="11"/>
      <c r="D532" s="11"/>
      <c r="E532" s="15"/>
      <c r="F532" s="11"/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B533" s="11"/>
      <c r="C533" s="11"/>
      <c r="D533" s="11"/>
      <c r="E533" s="15"/>
      <c r="F533" s="11"/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B534" s="11"/>
      <c r="C534" s="11"/>
      <c r="D534" s="11"/>
      <c r="E534" s="15"/>
      <c r="F534" s="11"/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B535" s="11"/>
      <c r="C535" s="11"/>
      <c r="D535" s="11"/>
      <c r="E535" s="15"/>
      <c r="F535" s="11"/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B536" s="11"/>
      <c r="C536" s="11"/>
      <c r="D536" s="11"/>
      <c r="E536" s="15"/>
      <c r="F536" s="11"/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B537" s="11"/>
      <c r="C537" s="11"/>
      <c r="D537" s="11"/>
      <c r="E537" s="15"/>
      <c r="F537" s="11"/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B538" s="11"/>
      <c r="C538" s="11"/>
      <c r="D538" s="11"/>
      <c r="E538" s="15"/>
      <c r="F538" s="11"/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B539" s="11"/>
      <c r="C539" s="11"/>
      <c r="D539" s="11"/>
      <c r="E539" s="15"/>
      <c r="F539" s="11"/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B540" s="11"/>
      <c r="C540" s="11"/>
      <c r="D540" s="11"/>
      <c r="E540" s="15"/>
      <c r="F540" s="11"/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B541" s="11"/>
      <c r="C541" s="11"/>
      <c r="D541" s="11"/>
      <c r="E541" s="15"/>
      <c r="F541" s="11"/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B542" s="11"/>
      <c r="C542" s="11"/>
      <c r="D542" s="11"/>
      <c r="E542" s="15"/>
      <c r="F542" s="11"/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B543" s="11"/>
      <c r="C543" s="11"/>
      <c r="D543" s="11"/>
      <c r="E543" s="15"/>
      <c r="F543" s="11"/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B544" s="11"/>
      <c r="C544" s="11"/>
      <c r="D544" s="11"/>
      <c r="E544" s="15"/>
      <c r="F544" s="11"/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B545" s="11"/>
      <c r="C545" s="11"/>
      <c r="D545" s="11"/>
      <c r="E545" s="15"/>
      <c r="F545" s="11"/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B546" s="11"/>
      <c r="C546" s="11"/>
      <c r="D546" s="11"/>
      <c r="E546" s="15"/>
      <c r="F546" s="11"/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B547" s="11"/>
      <c r="C547" s="11"/>
      <c r="D547" s="11"/>
      <c r="E547" s="15"/>
      <c r="F547" s="11"/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B548" s="11"/>
      <c r="C548" s="11"/>
      <c r="D548" s="11"/>
      <c r="E548" s="15"/>
      <c r="F548" s="11"/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B549" s="11"/>
      <c r="C549" s="11"/>
      <c r="D549" s="11"/>
      <c r="E549" s="15"/>
      <c r="F549" s="11"/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B550" s="11"/>
      <c r="C550" s="11"/>
      <c r="D550" s="11"/>
      <c r="E550" s="15"/>
      <c r="F550" s="11"/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B551" s="11"/>
      <c r="C551" s="11"/>
      <c r="D551" s="11"/>
      <c r="E551" s="15"/>
      <c r="F551" s="11"/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B552" s="11"/>
      <c r="C552" s="11"/>
      <c r="D552" s="11"/>
      <c r="E552" s="15"/>
      <c r="F552" s="11"/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B553" s="11"/>
      <c r="C553" s="11"/>
      <c r="D553" s="11"/>
      <c r="E553" s="15"/>
      <c r="F553" s="11"/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B554" s="11"/>
      <c r="C554" s="11"/>
      <c r="D554" s="11"/>
      <c r="E554" s="15"/>
      <c r="F554" s="11"/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B555" s="11"/>
      <c r="C555" s="11"/>
      <c r="D555" s="11"/>
      <c r="E555" s="15"/>
      <c r="F555" s="11"/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B556" s="11"/>
      <c r="C556" s="11"/>
      <c r="D556" s="11"/>
      <c r="E556" s="15"/>
      <c r="F556" s="11"/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B557" s="11"/>
      <c r="C557" s="11"/>
      <c r="D557" s="11"/>
      <c r="E557" s="15"/>
      <c r="F557" s="11"/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B558" s="11"/>
      <c r="C558" s="11"/>
      <c r="D558" s="11"/>
      <c r="E558" s="15"/>
      <c r="F558" s="11"/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B559" s="11"/>
      <c r="C559" s="11"/>
      <c r="D559" s="11"/>
      <c r="E559" s="15"/>
      <c r="F559" s="11"/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B560" s="11"/>
      <c r="C560" s="11"/>
      <c r="D560" s="11"/>
      <c r="E560" s="15"/>
      <c r="F560" s="11"/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B561" s="11"/>
      <c r="C561" s="11"/>
      <c r="D561" s="11"/>
      <c r="E561" s="15"/>
      <c r="F561" s="11"/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B562" s="11"/>
      <c r="C562" s="11"/>
      <c r="D562" s="11"/>
      <c r="E562" s="15"/>
      <c r="F562" s="11"/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B563" s="11"/>
      <c r="C563" s="11"/>
      <c r="D563" s="11"/>
      <c r="E563" s="15"/>
      <c r="F563" s="11"/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B564" s="11"/>
      <c r="C564" s="11"/>
      <c r="D564" s="11"/>
      <c r="E564" s="15"/>
      <c r="F564" s="11"/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B565" s="11"/>
      <c r="C565" s="11"/>
      <c r="D565" s="11"/>
      <c r="E565" s="15"/>
      <c r="F565" s="11"/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B566" s="11"/>
      <c r="C566" s="11"/>
      <c r="D566" s="11"/>
      <c r="E566" s="15"/>
      <c r="F566" s="11"/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B567" s="11"/>
      <c r="C567" s="11"/>
      <c r="D567" s="11"/>
      <c r="E567" s="15"/>
      <c r="F567" s="11"/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B568" s="11"/>
      <c r="C568" s="11"/>
      <c r="D568" s="11"/>
      <c r="E568" s="15"/>
      <c r="F568" s="11"/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B569" s="11"/>
      <c r="C569" s="11"/>
      <c r="D569" s="11"/>
      <c r="E569" s="15"/>
      <c r="F569" s="11"/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B570" s="11"/>
      <c r="C570" s="11"/>
      <c r="D570" s="11"/>
      <c r="E570" s="15"/>
      <c r="F570" s="11"/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B571" s="11"/>
      <c r="C571" s="11"/>
      <c r="D571" s="11"/>
      <c r="E571" s="15"/>
      <c r="F571" s="11"/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B572" s="11"/>
      <c r="C572" s="11"/>
      <c r="D572" s="11"/>
      <c r="E572" s="15"/>
      <c r="F572" s="11"/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B573" s="11"/>
      <c r="C573" s="11"/>
      <c r="D573" s="11"/>
      <c r="E573" s="15"/>
      <c r="F573" s="11"/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B574" s="11"/>
      <c r="C574" s="11"/>
      <c r="D574" s="11"/>
      <c r="E574" s="15"/>
      <c r="F574" s="11"/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B575" s="11"/>
      <c r="C575" s="11"/>
      <c r="D575" s="11"/>
      <c r="E575" s="15"/>
      <c r="F575" s="11"/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B576" s="11"/>
      <c r="C576" s="11"/>
      <c r="D576" s="11"/>
      <c r="E576" s="15"/>
      <c r="F576" s="11"/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B577" s="11"/>
      <c r="C577" s="11"/>
      <c r="D577" s="11"/>
      <c r="E577" s="15"/>
      <c r="F577" s="11"/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B578" s="11"/>
      <c r="C578" s="11"/>
      <c r="D578" s="11"/>
      <c r="E578" s="15"/>
      <c r="F578" s="11"/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B579" s="11"/>
      <c r="C579" s="11"/>
      <c r="D579" s="11"/>
      <c r="E579" s="15"/>
      <c r="F579" s="11"/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B580" s="11"/>
      <c r="C580" s="11"/>
      <c r="D580" s="11"/>
      <c r="E580" s="15"/>
      <c r="F580" s="11"/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B581" s="11"/>
      <c r="C581" s="11"/>
      <c r="D581" s="11"/>
      <c r="E581" s="15"/>
      <c r="F581" s="11"/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B582" s="11"/>
      <c r="C582" s="11"/>
      <c r="D582" s="11"/>
      <c r="E582" s="15"/>
      <c r="F582" s="11"/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B583" s="11"/>
      <c r="C583" s="11"/>
      <c r="D583" s="11"/>
      <c r="E583" s="15"/>
      <c r="F583" s="11"/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B584" s="11"/>
      <c r="C584" s="11"/>
      <c r="D584" s="11"/>
      <c r="E584" s="15"/>
      <c r="F584" s="11"/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B585" s="11"/>
      <c r="C585" s="11"/>
      <c r="D585" s="11"/>
      <c r="E585" s="15"/>
      <c r="F585" s="11"/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B586" s="11"/>
      <c r="C586" s="11"/>
      <c r="D586" s="11"/>
      <c r="E586" s="15"/>
      <c r="F586" s="11"/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B587" s="11"/>
      <c r="C587" s="11"/>
      <c r="D587" s="11"/>
      <c r="E587" s="15"/>
      <c r="F587" s="11"/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B588" s="11"/>
      <c r="C588" s="11"/>
      <c r="D588" s="11"/>
      <c r="E588" s="15"/>
      <c r="F588" s="11"/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B589" s="11"/>
      <c r="C589" s="11"/>
      <c r="D589" s="11"/>
      <c r="E589" s="15"/>
      <c r="F589" s="11"/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B590" s="11"/>
      <c r="C590" s="11"/>
      <c r="D590" s="11"/>
      <c r="E590" s="15"/>
      <c r="F590" s="11"/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B591" s="11"/>
      <c r="C591" s="11"/>
      <c r="D591" s="11"/>
      <c r="E591" s="15"/>
      <c r="F591" s="11"/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B592" s="11"/>
      <c r="C592" s="11"/>
      <c r="D592" s="11"/>
      <c r="E592" s="15"/>
      <c r="F592" s="11"/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B593" s="11"/>
      <c r="C593" s="11"/>
      <c r="D593" s="11"/>
      <c r="E593" s="15"/>
      <c r="F593" s="11"/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B594" s="11"/>
      <c r="C594" s="11"/>
      <c r="D594" s="11"/>
      <c r="E594" s="15"/>
      <c r="F594" s="11"/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B595" s="11"/>
      <c r="C595" s="11"/>
      <c r="D595" s="11"/>
      <c r="E595" s="15"/>
      <c r="F595" s="11"/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B596" s="11"/>
      <c r="C596" s="11"/>
      <c r="D596" s="11"/>
      <c r="E596" s="15"/>
      <c r="F596" s="11"/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B597" s="11"/>
      <c r="C597" s="11"/>
      <c r="D597" s="11"/>
      <c r="E597" s="15"/>
      <c r="F597" s="11"/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B598" s="11"/>
      <c r="C598" s="11"/>
      <c r="D598" s="11"/>
      <c r="E598" s="15"/>
      <c r="F598" s="11"/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B599" s="11"/>
      <c r="C599" s="11"/>
      <c r="D599" s="11"/>
      <c r="E599" s="15"/>
      <c r="F599" s="11"/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B600" s="11"/>
      <c r="C600" s="11"/>
      <c r="D600" s="11"/>
      <c r="E600" s="15"/>
      <c r="F600" s="11"/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B601" s="11"/>
      <c r="C601" s="11"/>
      <c r="D601" s="11"/>
      <c r="E601" s="15"/>
      <c r="F601" s="11"/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B602" s="11"/>
      <c r="C602" s="11"/>
      <c r="D602" s="11"/>
      <c r="E602" s="15"/>
      <c r="F602" s="11"/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B603" s="11"/>
      <c r="C603" s="11"/>
      <c r="D603" s="11"/>
      <c r="E603" s="15"/>
      <c r="F603" s="11"/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B604" s="11"/>
      <c r="C604" s="11"/>
      <c r="D604" s="11"/>
      <c r="E604" s="15"/>
      <c r="F604" s="11"/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B605" s="11"/>
      <c r="C605" s="11"/>
      <c r="D605" s="11"/>
      <c r="E605" s="15"/>
      <c r="F605" s="11"/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B606" s="11"/>
      <c r="C606" s="11"/>
      <c r="D606" s="11"/>
      <c r="E606" s="15"/>
      <c r="F606" s="11"/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B607" s="11"/>
      <c r="C607" s="11"/>
      <c r="D607" s="11"/>
      <c r="E607" s="15"/>
      <c r="F607" s="11"/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B608" s="11"/>
      <c r="C608" s="11"/>
      <c r="D608" s="11"/>
      <c r="E608" s="15"/>
      <c r="F608" s="11"/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B609" s="11"/>
      <c r="C609" s="11"/>
      <c r="D609" s="11"/>
      <c r="E609" s="15"/>
      <c r="F609" s="11"/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B610" s="11"/>
      <c r="C610" s="11"/>
      <c r="D610" s="11"/>
      <c r="E610" s="15"/>
      <c r="F610" s="11"/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B611" s="11"/>
      <c r="C611" s="11"/>
      <c r="D611" s="11"/>
      <c r="E611" s="15"/>
      <c r="F611" s="11"/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B612" s="11"/>
      <c r="C612" s="11"/>
      <c r="D612" s="11"/>
      <c r="E612" s="15"/>
      <c r="F612" s="11"/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B613" s="11"/>
      <c r="C613" s="11"/>
      <c r="D613" s="11"/>
      <c r="E613" s="15"/>
      <c r="F613" s="11"/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B614" s="11"/>
      <c r="C614" s="11"/>
      <c r="D614" s="11"/>
      <c r="E614" s="15"/>
      <c r="F614" s="11"/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B615" s="11"/>
      <c r="C615" s="11"/>
      <c r="D615" s="11"/>
      <c r="E615" s="15"/>
      <c r="F615" s="11"/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B616" s="11"/>
      <c r="C616" s="11"/>
      <c r="D616" s="11"/>
      <c r="E616" s="15"/>
      <c r="F616" s="11"/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B617" s="11"/>
      <c r="C617" s="11"/>
      <c r="D617" s="11"/>
      <c r="E617" s="15"/>
      <c r="F617" s="11"/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B618" s="11"/>
      <c r="C618" s="11"/>
      <c r="D618" s="11"/>
      <c r="E618" s="15"/>
      <c r="F618" s="11"/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B619" s="11"/>
      <c r="C619" s="11"/>
      <c r="D619" s="11"/>
      <c r="E619" s="15"/>
      <c r="F619" s="11"/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B620" s="11"/>
      <c r="C620" s="11"/>
      <c r="D620" s="11"/>
      <c r="E620" s="15"/>
      <c r="F620" s="11"/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B621" s="11"/>
      <c r="C621" s="11"/>
      <c r="D621" s="11"/>
      <c r="E621" s="15"/>
      <c r="F621" s="11"/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B622" s="11"/>
      <c r="C622" s="11"/>
      <c r="D622" s="11"/>
      <c r="E622" s="15"/>
      <c r="F622" s="11"/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B623" s="11"/>
      <c r="C623" s="11"/>
      <c r="D623" s="11"/>
      <c r="E623" s="15"/>
      <c r="F623" s="11"/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B624" s="11"/>
      <c r="C624" s="11"/>
      <c r="D624" s="11"/>
      <c r="E624" s="15"/>
      <c r="F624" s="11"/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B625" s="11"/>
      <c r="C625" s="11"/>
      <c r="D625" s="11"/>
      <c r="E625" s="15"/>
      <c r="F625" s="11"/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B626" s="11"/>
      <c r="C626" s="11"/>
      <c r="D626" s="11"/>
      <c r="E626" s="15"/>
      <c r="F626" s="11"/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B627" s="11"/>
      <c r="C627" s="11"/>
      <c r="D627" s="11"/>
      <c r="E627" s="15"/>
      <c r="F627" s="11"/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B628" s="11"/>
      <c r="C628" s="11"/>
      <c r="D628" s="11"/>
      <c r="E628" s="15"/>
      <c r="F628" s="11"/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B629" s="11"/>
      <c r="C629" s="11"/>
      <c r="D629" s="11"/>
      <c r="E629" s="15"/>
      <c r="F629" s="11"/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B630" s="11"/>
      <c r="C630" s="11"/>
      <c r="D630" s="11"/>
      <c r="E630" s="15"/>
      <c r="F630" s="11"/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B631" s="11"/>
      <c r="C631" s="11"/>
      <c r="D631" s="11"/>
      <c r="E631" s="15"/>
      <c r="F631" s="11"/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B632" s="11"/>
      <c r="C632" s="11"/>
      <c r="D632" s="11"/>
      <c r="E632" s="15"/>
      <c r="F632" s="11"/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B633" s="11"/>
      <c r="C633" s="11"/>
      <c r="D633" s="11"/>
      <c r="E633" s="15"/>
      <c r="F633" s="11"/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B634" s="11"/>
      <c r="C634" s="11"/>
      <c r="D634" s="11"/>
      <c r="E634" s="15"/>
      <c r="F634" s="11"/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B635" s="11"/>
      <c r="C635" s="11"/>
      <c r="D635" s="11"/>
      <c r="E635" s="15"/>
      <c r="F635" s="11"/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B636" s="11"/>
      <c r="C636" s="11"/>
      <c r="D636" s="11"/>
      <c r="E636" s="15"/>
      <c r="F636" s="11"/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B637" s="11"/>
      <c r="C637" s="11"/>
      <c r="D637" s="11"/>
      <c r="E637" s="15"/>
      <c r="F637" s="11"/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B638" s="11"/>
      <c r="C638" s="11"/>
      <c r="D638" s="11"/>
      <c r="E638" s="15"/>
      <c r="F638" s="11"/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B639" s="11"/>
      <c r="C639" s="11"/>
      <c r="D639" s="11"/>
      <c r="E639" s="15"/>
      <c r="F639" s="11"/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B640" s="11"/>
      <c r="C640" s="11"/>
      <c r="D640" s="11"/>
      <c r="E640" s="15"/>
      <c r="F640" s="11"/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B641" s="11"/>
      <c r="C641" s="11"/>
      <c r="D641" s="11"/>
      <c r="E641" s="15"/>
      <c r="F641" s="11"/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B642" s="11"/>
      <c r="C642" s="11"/>
      <c r="D642" s="11"/>
      <c r="E642" s="15"/>
      <c r="F642" s="11"/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B643" s="11"/>
      <c r="C643" s="11"/>
      <c r="D643" s="11"/>
      <c r="E643" s="15"/>
      <c r="F643" s="11"/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B644" s="11"/>
      <c r="C644" s="11"/>
      <c r="D644" s="11"/>
      <c r="E644" s="15"/>
      <c r="F644" s="11"/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B645" s="11"/>
      <c r="C645" s="11"/>
      <c r="D645" s="11"/>
      <c r="E645" s="15"/>
      <c r="F645" s="11"/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B646" s="11"/>
      <c r="C646" s="11"/>
      <c r="D646" s="11"/>
      <c r="E646" s="15"/>
      <c r="F646" s="11"/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B647" s="11"/>
      <c r="C647" s="11"/>
      <c r="D647" s="11"/>
      <c r="E647" s="15"/>
      <c r="F647" s="11"/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B648" s="11"/>
      <c r="C648" s="11"/>
      <c r="D648" s="11"/>
      <c r="E648" s="15"/>
      <c r="F648" s="11"/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B649" s="11"/>
      <c r="C649" s="11"/>
      <c r="D649" s="11"/>
      <c r="E649" s="15"/>
      <c r="F649" s="11"/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B650" s="11"/>
      <c r="C650" s="11"/>
      <c r="D650" s="11"/>
      <c r="E650" s="15"/>
      <c r="F650" s="11"/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B651" s="11"/>
      <c r="C651" s="11"/>
      <c r="D651" s="11"/>
      <c r="E651" s="15"/>
      <c r="F651" s="11"/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B652" s="11"/>
      <c r="C652" s="11"/>
      <c r="D652" s="11"/>
      <c r="E652" s="15"/>
      <c r="F652" s="11"/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B653" s="11"/>
      <c r="C653" s="11"/>
      <c r="D653" s="11"/>
      <c r="E653" s="15"/>
      <c r="F653" s="11"/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B654" s="11"/>
      <c r="C654" s="11"/>
      <c r="D654" s="11"/>
      <c r="E654" s="15"/>
      <c r="F654" s="11"/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B655" s="11"/>
      <c r="C655" s="11"/>
      <c r="D655" s="11"/>
      <c r="E655" s="15"/>
      <c r="F655" s="11"/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B656" s="11"/>
      <c r="C656" s="11"/>
      <c r="D656" s="11"/>
      <c r="E656" s="15"/>
      <c r="F656" s="11"/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B657" s="11"/>
      <c r="C657" s="11"/>
      <c r="D657" s="11"/>
      <c r="E657" s="15"/>
      <c r="F657" s="11"/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B658" s="11"/>
      <c r="C658" s="11"/>
      <c r="D658" s="11"/>
      <c r="E658" s="15"/>
      <c r="F658" s="11"/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B659" s="11"/>
      <c r="C659" s="11"/>
      <c r="D659" s="11"/>
      <c r="E659" s="15"/>
      <c r="F659" s="11"/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B660" s="11"/>
      <c r="C660" s="11"/>
      <c r="D660" s="11"/>
      <c r="E660" s="15"/>
      <c r="F660" s="11"/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B661" s="11"/>
      <c r="C661" s="11"/>
      <c r="D661" s="11"/>
      <c r="E661" s="15"/>
      <c r="F661" s="11"/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B662" s="11"/>
      <c r="C662" s="11"/>
      <c r="D662" s="11"/>
      <c r="E662" s="15"/>
      <c r="F662" s="11"/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B663" s="11"/>
      <c r="C663" s="11"/>
      <c r="D663" s="11"/>
      <c r="E663" s="15"/>
      <c r="F663" s="11"/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B664" s="11"/>
      <c r="C664" s="11"/>
      <c r="D664" s="11"/>
      <c r="E664" s="15"/>
      <c r="F664" s="11"/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B665" s="11"/>
      <c r="C665" s="11"/>
      <c r="D665" s="11"/>
      <c r="E665" s="15"/>
      <c r="F665" s="11"/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B666" s="11"/>
      <c r="C666" s="11"/>
      <c r="D666" s="11"/>
      <c r="E666" s="15"/>
      <c r="F666" s="11"/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B667" s="11"/>
      <c r="C667" s="11"/>
      <c r="D667" s="11"/>
      <c r="E667" s="15"/>
      <c r="F667" s="11"/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B668" s="11"/>
      <c r="C668" s="11"/>
      <c r="D668" s="11"/>
      <c r="E668" s="15"/>
      <c r="F668" s="11"/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B669" s="11"/>
      <c r="C669" s="11"/>
      <c r="D669" s="11"/>
      <c r="E669" s="15"/>
      <c r="F669" s="11"/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B670" s="11"/>
      <c r="C670" s="11"/>
      <c r="D670" s="11"/>
      <c r="E670" s="15"/>
      <c r="F670" s="11"/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B671" s="11"/>
      <c r="C671" s="11"/>
      <c r="D671" s="11"/>
      <c r="E671" s="15"/>
      <c r="F671" s="11"/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B672" s="11"/>
      <c r="C672" s="11"/>
      <c r="D672" s="11"/>
      <c r="E672" s="15"/>
      <c r="F672" s="11"/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B673" s="11"/>
      <c r="C673" s="11"/>
      <c r="D673" s="11"/>
      <c r="E673" s="15"/>
      <c r="F673" s="11"/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B674" s="11"/>
      <c r="C674" s="11"/>
      <c r="D674" s="11"/>
      <c r="E674" s="15"/>
      <c r="F674" s="11"/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B675" s="11"/>
      <c r="C675" s="11"/>
      <c r="D675" s="11"/>
      <c r="E675" s="15"/>
      <c r="F675" s="11"/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B676" s="11"/>
      <c r="C676" s="11"/>
      <c r="D676" s="11"/>
      <c r="E676" s="15"/>
      <c r="F676" s="11"/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B677" s="11"/>
      <c r="C677" s="11"/>
      <c r="D677" s="11"/>
      <c r="E677" s="15"/>
      <c r="F677" s="11"/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697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0.0</v>
      </c>
      <c r="H3" s="9">
        <v>1.0</v>
      </c>
      <c r="I3" s="9">
        <v>0.0</v>
      </c>
      <c r="J3" s="17">
        <v>-519.0</v>
      </c>
      <c r="K3" s="18">
        <v>-788.0</v>
      </c>
      <c r="L3" s="17">
        <v>-604.0</v>
      </c>
      <c r="M3" s="18">
        <v>-737.63</v>
      </c>
      <c r="N3" s="18">
        <v>22.1242</v>
      </c>
      <c r="O3" s="18">
        <v>3600.0</v>
      </c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0.0</v>
      </c>
      <c r="H4" s="9">
        <v>1.0</v>
      </c>
      <c r="I4" s="9">
        <v>0.0</v>
      </c>
      <c r="J4" s="17">
        <v>-624.0</v>
      </c>
      <c r="K4" s="18">
        <v>-852.015</v>
      </c>
      <c r="L4" s="17">
        <v>-665.0</v>
      </c>
      <c r="M4" s="18">
        <v>-800.906</v>
      </c>
      <c r="N4" s="18">
        <v>20.437</v>
      </c>
      <c r="O4" s="18">
        <v>3600.0</v>
      </c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0.0</v>
      </c>
      <c r="H5" s="9">
        <v>1.0</v>
      </c>
      <c r="I5" s="9">
        <v>0.0</v>
      </c>
      <c r="J5" s="17">
        <v>142.0</v>
      </c>
      <c r="K5" s="18">
        <v>-1014.0</v>
      </c>
      <c r="L5" s="17">
        <v>-727.0</v>
      </c>
      <c r="M5" s="18">
        <v>-926.902</v>
      </c>
      <c r="N5" s="18">
        <v>27.4969</v>
      </c>
      <c r="O5" s="18">
        <v>3600.0</v>
      </c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0.0</v>
      </c>
      <c r="H6" s="9">
        <v>1.0</v>
      </c>
      <c r="I6" s="9">
        <v>0.0</v>
      </c>
      <c r="J6" s="17">
        <v>-461.0</v>
      </c>
      <c r="K6" s="18">
        <v>-929.031</v>
      </c>
      <c r="L6" s="17">
        <v>-634.0</v>
      </c>
      <c r="M6" s="18">
        <v>-817.132</v>
      </c>
      <c r="N6" s="18">
        <v>28.8852</v>
      </c>
      <c r="O6" s="18">
        <v>3600.0</v>
      </c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0.0</v>
      </c>
      <c r="H7" s="9">
        <v>1.0</v>
      </c>
      <c r="I7" s="9">
        <v>0.0</v>
      </c>
      <c r="J7" s="17">
        <v>-465.0</v>
      </c>
      <c r="K7" s="18">
        <v>-883.047</v>
      </c>
      <c r="L7" s="17">
        <v>-650.0</v>
      </c>
      <c r="M7" s="18">
        <v>-834.986</v>
      </c>
      <c r="N7" s="18">
        <v>28.4594</v>
      </c>
      <c r="O7" s="18">
        <v>3600.0</v>
      </c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0.0</v>
      </c>
      <c r="H8" s="9">
        <v>1.0</v>
      </c>
      <c r="I8" s="9">
        <v>0.0</v>
      </c>
      <c r="J8" s="17">
        <v>-57.0</v>
      </c>
      <c r="K8" s="18">
        <v>-686.649</v>
      </c>
      <c r="L8" s="17">
        <v>-442.0</v>
      </c>
      <c r="M8" s="18">
        <v>-633.496</v>
      </c>
      <c r="N8" s="18">
        <v>43.3249</v>
      </c>
      <c r="O8" s="18">
        <v>3600.0</v>
      </c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0.0</v>
      </c>
      <c r="H9" s="9">
        <v>1.0</v>
      </c>
      <c r="I9" s="9">
        <v>0.0</v>
      </c>
      <c r="J9" s="17">
        <v>-428.0</v>
      </c>
      <c r="K9" s="18">
        <v>-813.056</v>
      </c>
      <c r="L9" s="17">
        <v>-574.0</v>
      </c>
      <c r="M9" s="18">
        <v>-734.056</v>
      </c>
      <c r="N9" s="18">
        <v>27.8844</v>
      </c>
      <c r="O9" s="18">
        <v>3600.0</v>
      </c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0.0</v>
      </c>
      <c r="H10" s="9">
        <v>1.0</v>
      </c>
      <c r="I10" s="9">
        <v>0.0</v>
      </c>
      <c r="J10" s="17">
        <v>-111.0</v>
      </c>
      <c r="K10" s="18">
        <v>-900.73</v>
      </c>
      <c r="L10" s="17">
        <v>-487.0</v>
      </c>
      <c r="M10" s="18">
        <v>-803.892</v>
      </c>
      <c r="N10" s="18">
        <v>65.0702</v>
      </c>
      <c r="O10" s="18">
        <v>3600.0</v>
      </c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0.0</v>
      </c>
      <c r="H11" s="9">
        <v>1.0</v>
      </c>
      <c r="I11" s="9">
        <v>0.0</v>
      </c>
      <c r="J11" s="17">
        <v>-281.0</v>
      </c>
      <c r="K11" s="18">
        <v>-805.64</v>
      </c>
      <c r="L11" s="17">
        <v>-402.0</v>
      </c>
      <c r="M11" s="18">
        <v>-676.75</v>
      </c>
      <c r="N11" s="18">
        <v>68.3458</v>
      </c>
      <c r="O11" s="18">
        <v>3600.0</v>
      </c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0.0</v>
      </c>
      <c r="H12" s="9">
        <v>1.0</v>
      </c>
      <c r="I12" s="9">
        <v>0.0</v>
      </c>
      <c r="J12" s="17">
        <v>-313.0</v>
      </c>
      <c r="K12" s="18">
        <v>-793.0</v>
      </c>
      <c r="L12" s="17">
        <v>-473.0</v>
      </c>
      <c r="M12" s="18">
        <v>-722.945</v>
      </c>
      <c r="N12" s="18">
        <v>52.8426</v>
      </c>
      <c r="O12" s="18">
        <v>3600.0</v>
      </c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0.0</v>
      </c>
      <c r="H13" s="9">
        <v>1.0</v>
      </c>
      <c r="I13" s="9">
        <v>0.0</v>
      </c>
      <c r="J13" s="17">
        <v>3154.0</v>
      </c>
      <c r="K13" s="18">
        <v>923.2</v>
      </c>
      <c r="L13" s="17">
        <v>1422.0</v>
      </c>
      <c r="M13" s="18">
        <v>991.24</v>
      </c>
      <c r="N13" s="18">
        <v>30.2926</v>
      </c>
      <c r="O13" s="18">
        <v>3600.0</v>
      </c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0.0</v>
      </c>
      <c r="H14" s="9">
        <v>1.0</v>
      </c>
      <c r="I14" s="9">
        <v>0.0</v>
      </c>
      <c r="J14" s="17">
        <v>275.0</v>
      </c>
      <c r="K14" s="18">
        <v>-32.0</v>
      </c>
      <c r="L14" s="17">
        <v>233.0</v>
      </c>
      <c r="M14" s="18">
        <v>5.82258</v>
      </c>
      <c r="N14" s="18">
        <v>97.501</v>
      </c>
      <c r="O14" s="18">
        <v>3600.0</v>
      </c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0.0</v>
      </c>
      <c r="H15" s="9">
        <v>1.0</v>
      </c>
      <c r="I15" s="9">
        <v>0.0</v>
      </c>
      <c r="J15" s="17">
        <v>2048.0</v>
      </c>
      <c r="K15" s="18">
        <v>931.017</v>
      </c>
      <c r="L15" s="17">
        <v>1635.0</v>
      </c>
      <c r="M15" s="18">
        <v>1068.55</v>
      </c>
      <c r="N15" s="18">
        <v>34.6453</v>
      </c>
      <c r="O15" s="18">
        <v>3600.0</v>
      </c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0.0</v>
      </c>
      <c r="H16" s="9">
        <v>1.0</v>
      </c>
      <c r="I16" s="9">
        <v>0.0</v>
      </c>
      <c r="J16" s="17">
        <v>2680.0</v>
      </c>
      <c r="K16" s="18">
        <v>1325.0</v>
      </c>
      <c r="L16" s="17">
        <v>1860.0</v>
      </c>
      <c r="M16" s="18">
        <v>1340.54</v>
      </c>
      <c r="N16" s="18">
        <v>27.9277</v>
      </c>
      <c r="O16" s="18">
        <v>3600.0</v>
      </c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0.0</v>
      </c>
      <c r="H17" s="9">
        <v>1.0</v>
      </c>
      <c r="I17" s="9">
        <v>0.0</v>
      </c>
      <c r="J17" s="17">
        <v>1381.0</v>
      </c>
      <c r="K17" s="18">
        <v>1051.0</v>
      </c>
      <c r="L17" s="17">
        <v>1361.0</v>
      </c>
      <c r="M17" s="18">
        <v>1072.79</v>
      </c>
      <c r="N17" s="18">
        <v>21.1764</v>
      </c>
      <c r="O17" s="18">
        <v>3600.0</v>
      </c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0.0</v>
      </c>
      <c r="H18" s="9">
        <v>1.0</v>
      </c>
      <c r="I18" s="9">
        <v>0.0</v>
      </c>
      <c r="J18" s="17">
        <v>-876.0</v>
      </c>
      <c r="K18" s="18">
        <v>-2161.0</v>
      </c>
      <c r="L18" s="17">
        <v>-936.0</v>
      </c>
      <c r="M18" s="18">
        <v>-1947.69</v>
      </c>
      <c r="N18" s="18">
        <v>108.086</v>
      </c>
      <c r="O18" s="18">
        <v>3600.0</v>
      </c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0.0</v>
      </c>
      <c r="H19" s="9">
        <v>1.0</v>
      </c>
      <c r="I19" s="9">
        <v>0.0</v>
      </c>
      <c r="J19" s="17">
        <v>-232.0</v>
      </c>
      <c r="K19" s="18">
        <v>-2069.0</v>
      </c>
      <c r="L19" s="17">
        <v>-947.0</v>
      </c>
      <c r="M19" s="18">
        <v>-1858.63</v>
      </c>
      <c r="N19" s="18">
        <v>96.2653</v>
      </c>
      <c r="O19" s="18">
        <v>3600.0</v>
      </c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0.0</v>
      </c>
      <c r="H20" s="9">
        <v>1.0</v>
      </c>
      <c r="I20" s="9">
        <v>0.0</v>
      </c>
      <c r="J20" s="17">
        <v>-890.0</v>
      </c>
      <c r="K20" s="18">
        <v>-1831.0</v>
      </c>
      <c r="L20" s="17">
        <v>-966.0</v>
      </c>
      <c r="M20" s="18">
        <v>-1607.19</v>
      </c>
      <c r="N20" s="18">
        <v>66.3759</v>
      </c>
      <c r="O20" s="18">
        <v>3600.0</v>
      </c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0.0</v>
      </c>
      <c r="H21" s="9">
        <v>1.0</v>
      </c>
      <c r="I21" s="9">
        <v>0.0</v>
      </c>
      <c r="J21" s="17">
        <v>-240.0</v>
      </c>
      <c r="K21" s="18">
        <v>-1750.01</v>
      </c>
      <c r="L21" s="17">
        <v>-975.0</v>
      </c>
      <c r="M21" s="18">
        <v>-1639.24</v>
      </c>
      <c r="N21" s="18">
        <v>68.1274</v>
      </c>
      <c r="O21" s="18">
        <v>3600.0</v>
      </c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0.0</v>
      </c>
      <c r="H22" s="9">
        <v>1.0</v>
      </c>
      <c r="I22" s="9">
        <v>0.0</v>
      </c>
      <c r="J22" s="17">
        <v>-6.0</v>
      </c>
      <c r="K22" s="18">
        <v>-2560.07</v>
      </c>
      <c r="L22" s="17">
        <v>-1103.0</v>
      </c>
      <c r="M22" s="18">
        <v>-2237.36</v>
      </c>
      <c r="N22" s="18">
        <v>102.843</v>
      </c>
      <c r="O22" s="18">
        <v>3600.0</v>
      </c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0.0</v>
      </c>
      <c r="H23" s="9">
        <v>1.0</v>
      </c>
      <c r="I23" s="9">
        <v>0.0</v>
      </c>
      <c r="J23" s="17">
        <v>299.0</v>
      </c>
      <c r="K23" s="18">
        <v>-2047.47</v>
      </c>
      <c r="L23" s="17">
        <v>-616.0</v>
      </c>
      <c r="M23" s="18">
        <v>-1823.27</v>
      </c>
      <c r="N23" s="18">
        <v>195.985</v>
      </c>
      <c r="O23" s="18">
        <v>3600.0</v>
      </c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0.0</v>
      </c>
      <c r="H24" s="9">
        <v>1.0</v>
      </c>
      <c r="I24" s="9">
        <v>0.0</v>
      </c>
      <c r="J24" s="17">
        <v>-294.0</v>
      </c>
      <c r="K24" s="18">
        <v>-2018.09</v>
      </c>
      <c r="L24" s="17">
        <v>-784.0</v>
      </c>
      <c r="M24" s="18">
        <v>-1802.3</v>
      </c>
      <c r="N24" s="18">
        <v>129.885</v>
      </c>
      <c r="O24" s="18">
        <v>3600.0</v>
      </c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0.0</v>
      </c>
      <c r="H25" s="9">
        <v>1.0</v>
      </c>
      <c r="I25" s="9">
        <v>0.0</v>
      </c>
      <c r="J25" s="17">
        <v>-459.0</v>
      </c>
      <c r="K25" s="18">
        <v>-1829.01</v>
      </c>
      <c r="L25" s="17">
        <v>-838.0</v>
      </c>
      <c r="M25" s="18">
        <v>-1597.34</v>
      </c>
      <c r="N25" s="18">
        <v>90.6139</v>
      </c>
      <c r="O25" s="18">
        <v>3600.0</v>
      </c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0.0</v>
      </c>
      <c r="H26" s="9">
        <v>1.0</v>
      </c>
      <c r="I26" s="9">
        <v>0.0</v>
      </c>
      <c r="J26" s="17">
        <v>-441.0</v>
      </c>
      <c r="K26" s="18">
        <v>-1743.03</v>
      </c>
      <c r="L26" s="17">
        <v>-805.0</v>
      </c>
      <c r="M26" s="18">
        <v>-1631.81</v>
      </c>
      <c r="N26" s="18">
        <v>102.709</v>
      </c>
      <c r="O26" s="18">
        <v>3600.0</v>
      </c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0.0</v>
      </c>
      <c r="H27" s="9">
        <v>1.0</v>
      </c>
      <c r="I27" s="9">
        <v>0.0</v>
      </c>
      <c r="J27" s="17">
        <v>211.0</v>
      </c>
      <c r="K27" s="18">
        <v>-2312.48</v>
      </c>
      <c r="L27" s="17">
        <v>-569.0</v>
      </c>
      <c r="M27" s="18">
        <v>-2004.05</v>
      </c>
      <c r="N27" s="18">
        <v>252.205</v>
      </c>
      <c r="O27" s="18">
        <v>3600.0</v>
      </c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0.0</v>
      </c>
      <c r="H28" s="9">
        <v>1.0</v>
      </c>
      <c r="I28" s="9">
        <v>0.0</v>
      </c>
      <c r="J28" s="17">
        <v>2145.0</v>
      </c>
      <c r="K28" s="18">
        <v>386.276</v>
      </c>
      <c r="L28" s="17">
        <v>1521.0</v>
      </c>
      <c r="M28" s="18">
        <v>460.31</v>
      </c>
      <c r="N28" s="18">
        <v>69.7363</v>
      </c>
      <c r="O28" s="18">
        <v>3600.0</v>
      </c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0.0</v>
      </c>
      <c r="H29" s="9">
        <v>1.0</v>
      </c>
      <c r="I29" s="9">
        <v>0.0</v>
      </c>
      <c r="J29" s="17">
        <v>609.0</v>
      </c>
      <c r="K29" s="18">
        <v>-782.224</v>
      </c>
      <c r="L29" s="17">
        <v>368.0</v>
      </c>
      <c r="M29" s="18">
        <v>-667.985</v>
      </c>
      <c r="N29" s="18">
        <v>281.518</v>
      </c>
      <c r="O29" s="18">
        <v>3600.0</v>
      </c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0.0</v>
      </c>
      <c r="H30" s="9">
        <v>1.0</v>
      </c>
      <c r="I30" s="9">
        <v>0.0</v>
      </c>
      <c r="J30" s="17">
        <v>-472.0</v>
      </c>
      <c r="K30" s="18">
        <v>-1364.0</v>
      </c>
      <c r="L30" s="17">
        <v>-499.0</v>
      </c>
      <c r="M30" s="18">
        <v>-1249.51</v>
      </c>
      <c r="N30" s="18">
        <v>150.402</v>
      </c>
      <c r="O30" s="18">
        <v>3600.0</v>
      </c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0.0</v>
      </c>
      <c r="H31" s="9">
        <v>1.0</v>
      </c>
      <c r="I31" s="9">
        <v>0.0</v>
      </c>
      <c r="J31" s="17">
        <v>-243.0</v>
      </c>
      <c r="K31" s="18">
        <v>-1328.08</v>
      </c>
      <c r="L31" s="17">
        <v>-354.0</v>
      </c>
      <c r="M31" s="18">
        <v>-1325.77</v>
      </c>
      <c r="N31" s="18">
        <v>274.511</v>
      </c>
      <c r="O31" s="18">
        <v>3600.0</v>
      </c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0.0</v>
      </c>
      <c r="H32" s="9">
        <v>1.0</v>
      </c>
      <c r="I32" s="9">
        <v>0.0</v>
      </c>
      <c r="J32" s="17">
        <v>4872.0</v>
      </c>
      <c r="K32" s="18">
        <v>2133.45</v>
      </c>
      <c r="L32" s="17">
        <v>3809.0</v>
      </c>
      <c r="M32" s="18">
        <v>2218.6</v>
      </c>
      <c r="N32" s="18">
        <v>41.7537</v>
      </c>
      <c r="O32" s="18">
        <v>3600.0</v>
      </c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0.0</v>
      </c>
      <c r="H33" s="9">
        <v>1.0</v>
      </c>
      <c r="I33" s="9">
        <v>0.0</v>
      </c>
      <c r="J33" s="17">
        <v>-86.0</v>
      </c>
      <c r="K33" s="18">
        <v>-2898.04</v>
      </c>
      <c r="L33" s="17">
        <v>-1097.0</v>
      </c>
      <c r="M33" s="18">
        <v>-2638.06</v>
      </c>
      <c r="N33" s="18">
        <v>140.48</v>
      </c>
      <c r="O33" s="18">
        <v>3600.0</v>
      </c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0.0</v>
      </c>
      <c r="H34" s="9">
        <v>1.0</v>
      </c>
      <c r="I34" s="9">
        <v>0.0</v>
      </c>
      <c r="J34" s="17">
        <v>5.0</v>
      </c>
      <c r="K34" s="18">
        <v>-2769.01</v>
      </c>
      <c r="L34" s="17">
        <v>-898.0</v>
      </c>
      <c r="M34" s="18">
        <v>-2534.56</v>
      </c>
      <c r="N34" s="18">
        <v>182.245</v>
      </c>
      <c r="O34" s="18">
        <v>3600.0</v>
      </c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0.0</v>
      </c>
      <c r="H35" s="9">
        <v>1.0</v>
      </c>
      <c r="I35" s="9">
        <v>0.0</v>
      </c>
      <c r="J35" s="17">
        <v>-611.0</v>
      </c>
      <c r="K35" s="18">
        <v>-2706.05</v>
      </c>
      <c r="L35" s="17">
        <v>-1011.0</v>
      </c>
      <c r="M35" s="18">
        <v>-2483.83</v>
      </c>
      <c r="N35" s="18">
        <v>145.681</v>
      </c>
      <c r="O35" s="18">
        <v>3600.0</v>
      </c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0.0</v>
      </c>
      <c r="H36" s="9">
        <v>1.0</v>
      </c>
      <c r="I36" s="9">
        <v>0.0</v>
      </c>
      <c r="J36" s="17">
        <v>-73.0</v>
      </c>
      <c r="K36" s="18">
        <v>-2657.06</v>
      </c>
      <c r="L36" s="17">
        <v>-1063.0</v>
      </c>
      <c r="M36" s="18">
        <v>-2359.56</v>
      </c>
      <c r="N36" s="18">
        <v>121.972</v>
      </c>
      <c r="O36" s="18">
        <v>3600.0</v>
      </c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0.0</v>
      </c>
      <c r="H37" s="9">
        <v>1.0</v>
      </c>
      <c r="I37" s="9">
        <v>0.0</v>
      </c>
      <c r="J37" s="17">
        <v>270.0</v>
      </c>
      <c r="K37" s="18">
        <v>-2573.07</v>
      </c>
      <c r="L37" s="17">
        <v>-970.0</v>
      </c>
      <c r="M37" s="18">
        <v>-2298.26</v>
      </c>
      <c r="N37" s="18">
        <v>136.934</v>
      </c>
      <c r="O37" s="18">
        <v>3600.0</v>
      </c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0.0</v>
      </c>
      <c r="H38" s="9">
        <v>1.0</v>
      </c>
      <c r="I38" s="9">
        <v>0.0</v>
      </c>
      <c r="J38" s="17">
        <v>-26.0</v>
      </c>
      <c r="K38" s="18">
        <v>-2835.4</v>
      </c>
      <c r="L38" s="17">
        <v>-938.0</v>
      </c>
      <c r="M38" s="18">
        <v>-2569.77</v>
      </c>
      <c r="N38" s="18">
        <v>173.963</v>
      </c>
      <c r="O38" s="18">
        <v>3600.0</v>
      </c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0.0</v>
      </c>
      <c r="H39" s="9">
        <v>1.0</v>
      </c>
      <c r="I39" s="9">
        <v>0.0</v>
      </c>
      <c r="J39" s="17">
        <v>55.0</v>
      </c>
      <c r="K39" s="18">
        <v>-2745.0</v>
      </c>
      <c r="L39" s="17">
        <v>-766.0</v>
      </c>
      <c r="M39" s="18">
        <v>-2508.76</v>
      </c>
      <c r="N39" s="18">
        <v>227.514</v>
      </c>
      <c r="O39" s="18">
        <v>3600.0</v>
      </c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0.0</v>
      </c>
      <c r="H40" s="9">
        <v>1.0</v>
      </c>
      <c r="I40" s="9">
        <v>0.0</v>
      </c>
      <c r="J40" s="17">
        <v>397.0</v>
      </c>
      <c r="K40" s="18">
        <v>-2553.0</v>
      </c>
      <c r="L40" s="17">
        <v>-657.0</v>
      </c>
      <c r="M40" s="18">
        <v>-2319.61</v>
      </c>
      <c r="N40" s="18">
        <v>253.061</v>
      </c>
      <c r="O40" s="18">
        <v>3600.0</v>
      </c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0.0</v>
      </c>
      <c r="H41" s="9">
        <v>1.0</v>
      </c>
      <c r="I41" s="9">
        <v>0.0</v>
      </c>
      <c r="J41" s="17">
        <v>324.0</v>
      </c>
      <c r="K41" s="18">
        <v>-2434.23</v>
      </c>
      <c r="L41" s="17">
        <v>-818.0</v>
      </c>
      <c r="M41" s="18">
        <v>-2112.24</v>
      </c>
      <c r="N41" s="18">
        <v>158.221</v>
      </c>
      <c r="O41" s="18">
        <v>3600.0</v>
      </c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0.0</v>
      </c>
      <c r="H42" s="9">
        <v>1.0</v>
      </c>
      <c r="I42" s="9">
        <v>0.0</v>
      </c>
      <c r="J42" s="17">
        <v>413.0</v>
      </c>
      <c r="K42" s="18">
        <v>-2303.46</v>
      </c>
      <c r="L42" s="17">
        <v>-629.0</v>
      </c>
      <c r="M42" s="18">
        <v>-1979.25</v>
      </c>
      <c r="N42" s="18">
        <v>214.667</v>
      </c>
      <c r="O42" s="18">
        <v>3600.0</v>
      </c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0.0</v>
      </c>
      <c r="H43" s="9">
        <v>1.0</v>
      </c>
      <c r="I43" s="9">
        <v>0.0</v>
      </c>
      <c r="J43" s="17">
        <v>871.0</v>
      </c>
      <c r="K43" s="18">
        <v>-988.895</v>
      </c>
      <c r="L43" s="17">
        <v>490.0</v>
      </c>
      <c r="M43" s="18">
        <v>-932.0</v>
      </c>
      <c r="N43" s="18">
        <v>290.204</v>
      </c>
      <c r="O43" s="18">
        <v>3600.0</v>
      </c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0.0</v>
      </c>
      <c r="H44" s="9">
        <v>1.0</v>
      </c>
      <c r="I44" s="9">
        <v>0.0</v>
      </c>
      <c r="J44" s="17">
        <v>25.0</v>
      </c>
      <c r="K44" s="18">
        <v>-1487.0</v>
      </c>
      <c r="L44" s="17">
        <v>-207.0</v>
      </c>
      <c r="M44" s="18">
        <v>-1425.01</v>
      </c>
      <c r="N44" s="18">
        <v>588.413</v>
      </c>
      <c r="O44" s="18">
        <v>3600.0</v>
      </c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0.0</v>
      </c>
      <c r="H45" s="9">
        <v>1.0</v>
      </c>
      <c r="I45" s="9">
        <v>0.0</v>
      </c>
      <c r="J45" s="17">
        <v>2990.0</v>
      </c>
      <c r="K45" s="18">
        <v>327.0</v>
      </c>
      <c r="L45" s="17">
        <v>2134.0</v>
      </c>
      <c r="M45" s="18">
        <v>425.542</v>
      </c>
      <c r="N45" s="18">
        <v>80.0589</v>
      </c>
      <c r="O45" s="18">
        <v>3600.0</v>
      </c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0.0</v>
      </c>
      <c r="H46" s="9">
        <v>1.0</v>
      </c>
      <c r="I46" s="9">
        <v>0.0</v>
      </c>
      <c r="J46" s="17">
        <v>3909.0</v>
      </c>
      <c r="K46" s="18">
        <v>2467.0</v>
      </c>
      <c r="L46" s="17">
        <v>3663.0</v>
      </c>
      <c r="M46" s="18">
        <v>2641.47</v>
      </c>
      <c r="N46" s="18">
        <v>27.8877</v>
      </c>
      <c r="O46" s="18">
        <v>3600.0</v>
      </c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0.0</v>
      </c>
      <c r="H47" s="9">
        <v>1.0</v>
      </c>
      <c r="I47" s="9">
        <v>0.0</v>
      </c>
      <c r="J47" s="17">
        <v>4433.0</v>
      </c>
      <c r="K47" s="18">
        <v>3126.0</v>
      </c>
      <c r="L47" s="17">
        <v>4325.0</v>
      </c>
      <c r="M47" s="18">
        <v>3210.0</v>
      </c>
      <c r="N47" s="18">
        <v>25.7803</v>
      </c>
      <c r="O47" s="18">
        <v>3600.0</v>
      </c>
    </row>
    <row r="48">
      <c r="A48" s="8" t="s">
        <v>233</v>
      </c>
      <c r="B48" s="9">
        <v>25.0</v>
      </c>
      <c r="C48" s="14" t="s">
        <v>234</v>
      </c>
      <c r="D48" s="9">
        <v>25.0</v>
      </c>
      <c r="E48" s="10">
        <v>0.6</v>
      </c>
      <c r="F48" s="9">
        <v>1.0</v>
      </c>
      <c r="G48" s="9">
        <v>0.0</v>
      </c>
      <c r="H48" s="9">
        <v>1.0</v>
      </c>
      <c r="I48" s="9">
        <v>0.0</v>
      </c>
      <c r="J48" s="17">
        <v>434.0</v>
      </c>
      <c r="K48" s="18">
        <v>194.68</v>
      </c>
      <c r="L48" s="17">
        <v>261.0</v>
      </c>
      <c r="M48" s="18">
        <v>194.68</v>
      </c>
      <c r="N48" s="18">
        <v>25.41</v>
      </c>
      <c r="O48" s="18">
        <v>3600.0</v>
      </c>
    </row>
    <row r="49">
      <c r="A49" s="8" t="s">
        <v>235</v>
      </c>
      <c r="B49" s="9">
        <v>25.0</v>
      </c>
      <c r="C49" s="14" t="s">
        <v>234</v>
      </c>
      <c r="D49" s="9">
        <v>25.0</v>
      </c>
      <c r="E49" s="10">
        <v>0.6</v>
      </c>
      <c r="F49" s="9">
        <v>2.0</v>
      </c>
      <c r="G49" s="9">
        <v>0.0</v>
      </c>
      <c r="H49" s="9">
        <v>1.0</v>
      </c>
      <c r="I49" s="9">
        <v>0.0</v>
      </c>
      <c r="J49" s="17">
        <v>302.0</v>
      </c>
      <c r="K49" s="18">
        <v>177.0</v>
      </c>
      <c r="L49" s="17">
        <v>236.0</v>
      </c>
      <c r="M49" s="18">
        <v>177.944</v>
      </c>
      <c r="N49" s="18">
        <v>24.6</v>
      </c>
      <c r="O49" s="18">
        <v>3600.0</v>
      </c>
    </row>
    <row r="50">
      <c r="A50" s="8" t="s">
        <v>236</v>
      </c>
      <c r="B50" s="9">
        <v>25.0</v>
      </c>
      <c r="C50" s="14" t="s">
        <v>234</v>
      </c>
      <c r="D50" s="9">
        <v>25.0</v>
      </c>
      <c r="E50" s="10">
        <v>0.6</v>
      </c>
      <c r="F50" s="9">
        <v>3.0</v>
      </c>
      <c r="G50" s="9">
        <v>0.0</v>
      </c>
      <c r="H50" s="9">
        <v>1.0</v>
      </c>
      <c r="I50" s="9">
        <v>0.0</v>
      </c>
      <c r="J50" s="17">
        <v>348.0</v>
      </c>
      <c r="K50" s="18">
        <v>206.285</v>
      </c>
      <c r="L50" s="17">
        <v>281.0</v>
      </c>
      <c r="M50" s="18">
        <v>206.285</v>
      </c>
      <c r="N50" s="18">
        <v>26.589</v>
      </c>
      <c r="O50" s="18">
        <v>3600.0</v>
      </c>
    </row>
    <row r="51">
      <c r="A51" s="8" t="s">
        <v>237</v>
      </c>
      <c r="B51" s="9">
        <v>25.0</v>
      </c>
      <c r="C51" s="14" t="s">
        <v>234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569.0</v>
      </c>
      <c r="K51" s="18">
        <v>176.724</v>
      </c>
      <c r="L51" s="17">
        <v>236.0</v>
      </c>
      <c r="M51" s="18">
        <v>236.0</v>
      </c>
      <c r="N51" s="18">
        <v>0.0</v>
      </c>
      <c r="O51" s="18">
        <v>3015.55</v>
      </c>
    </row>
    <row r="52">
      <c r="A52" s="8" t="s">
        <v>238</v>
      </c>
      <c r="B52" s="9">
        <v>25.0</v>
      </c>
      <c r="C52" s="14" t="s">
        <v>234</v>
      </c>
      <c r="D52" s="9">
        <v>25.0</v>
      </c>
      <c r="E52" s="10">
        <v>0.6</v>
      </c>
      <c r="F52" s="9">
        <v>5.0</v>
      </c>
      <c r="G52" s="9">
        <v>0.0</v>
      </c>
      <c r="H52" s="9">
        <v>1.0</v>
      </c>
      <c r="I52" s="9">
        <v>0.0</v>
      </c>
      <c r="J52" s="17">
        <v>335.0</v>
      </c>
      <c r="K52" s="18">
        <v>201.0</v>
      </c>
      <c r="L52" s="17">
        <v>268.0</v>
      </c>
      <c r="M52" s="18">
        <v>206.0</v>
      </c>
      <c r="N52" s="18">
        <v>23.1343</v>
      </c>
      <c r="O52" s="18">
        <v>3600.0</v>
      </c>
    </row>
    <row r="53">
      <c r="A53" s="8" t="s">
        <v>239</v>
      </c>
      <c r="B53" s="9">
        <v>25.0</v>
      </c>
      <c r="C53" s="14" t="s">
        <v>234</v>
      </c>
      <c r="D53" s="9">
        <v>25.0</v>
      </c>
      <c r="E53" s="10">
        <v>1.0</v>
      </c>
      <c r="F53" s="9">
        <v>1.0</v>
      </c>
      <c r="G53" s="9">
        <v>0.0</v>
      </c>
      <c r="H53" s="9">
        <v>1.0</v>
      </c>
      <c r="I53" s="9">
        <v>0.0</v>
      </c>
      <c r="J53" s="17">
        <v>1682.0</v>
      </c>
      <c r="K53" s="18">
        <v>1385.44</v>
      </c>
      <c r="L53" s="17">
        <v>1406.0</v>
      </c>
      <c r="M53" s="18">
        <v>1385.44</v>
      </c>
      <c r="N53" s="18">
        <v>1.46212</v>
      </c>
      <c r="O53" s="18">
        <v>3600.0</v>
      </c>
    </row>
    <row r="54">
      <c r="A54" s="8" t="s">
        <v>240</v>
      </c>
      <c r="B54" s="9">
        <v>25.0</v>
      </c>
      <c r="C54" s="14" t="s">
        <v>234</v>
      </c>
      <c r="D54" s="9">
        <v>25.0</v>
      </c>
      <c r="E54" s="10">
        <v>1.0</v>
      </c>
      <c r="F54" s="9">
        <v>2.0</v>
      </c>
      <c r="G54" s="9">
        <v>0.0</v>
      </c>
      <c r="H54" s="9">
        <v>1.0</v>
      </c>
      <c r="I54" s="9">
        <v>0.0</v>
      </c>
      <c r="J54" s="17">
        <v>1575.0</v>
      </c>
      <c r="K54" s="18">
        <v>1265.0</v>
      </c>
      <c r="L54" s="17">
        <v>1350.0</v>
      </c>
      <c r="M54" s="18">
        <v>1265.0</v>
      </c>
      <c r="N54" s="18">
        <v>6.2963</v>
      </c>
      <c r="O54" s="18">
        <v>3600.0</v>
      </c>
    </row>
    <row r="55">
      <c r="A55" s="8" t="s">
        <v>241</v>
      </c>
      <c r="B55" s="9">
        <v>25.0</v>
      </c>
      <c r="C55" s="14" t="s">
        <v>234</v>
      </c>
      <c r="D55" s="9">
        <v>25.0</v>
      </c>
      <c r="E55" s="10">
        <v>1.0</v>
      </c>
      <c r="F55" s="9">
        <v>3.0</v>
      </c>
      <c r="G55" s="9">
        <v>0.0</v>
      </c>
      <c r="H55" s="9">
        <v>1.0</v>
      </c>
      <c r="I55" s="9">
        <v>0.0</v>
      </c>
      <c r="J55" s="17">
        <v>2506.0</v>
      </c>
      <c r="K55" s="18">
        <v>1482.29</v>
      </c>
      <c r="L55" s="17">
        <v>1513.0</v>
      </c>
      <c r="M55" s="18">
        <v>1482.29</v>
      </c>
      <c r="N55" s="18">
        <v>2.02954</v>
      </c>
      <c r="O55" s="18">
        <v>3600.0</v>
      </c>
    </row>
    <row r="56">
      <c r="A56" s="8" t="s">
        <v>242</v>
      </c>
      <c r="B56" s="9">
        <v>25.0</v>
      </c>
      <c r="C56" s="14" t="s">
        <v>234</v>
      </c>
      <c r="D56" s="9">
        <v>25.0</v>
      </c>
      <c r="E56" s="10">
        <v>1.0</v>
      </c>
      <c r="F56" s="9">
        <v>4.0</v>
      </c>
      <c r="G56" s="9">
        <v>1.0</v>
      </c>
      <c r="H56" s="9">
        <v>0.0</v>
      </c>
      <c r="I56" s="9">
        <v>0.0</v>
      </c>
      <c r="J56" s="17">
        <v>1518.0</v>
      </c>
      <c r="K56" s="18">
        <v>1257.16</v>
      </c>
      <c r="L56" s="17">
        <v>1265.0</v>
      </c>
      <c r="M56" s="18">
        <v>1265.0</v>
      </c>
      <c r="N56" s="18">
        <v>0.0</v>
      </c>
      <c r="O56" s="18">
        <v>2655.35</v>
      </c>
    </row>
    <row r="57">
      <c r="A57" s="8" t="s">
        <v>243</v>
      </c>
      <c r="B57" s="9">
        <v>25.0</v>
      </c>
      <c r="C57" s="14" t="s">
        <v>234</v>
      </c>
      <c r="D57" s="9">
        <v>25.0</v>
      </c>
      <c r="E57" s="10">
        <v>1.0</v>
      </c>
      <c r="F57" s="9">
        <v>5.0</v>
      </c>
      <c r="G57" s="9">
        <v>0.0</v>
      </c>
      <c r="H57" s="9">
        <v>1.0</v>
      </c>
      <c r="I57" s="9">
        <v>0.0</v>
      </c>
      <c r="J57" s="17">
        <v>1879.0</v>
      </c>
      <c r="K57" s="18">
        <v>1421.06</v>
      </c>
      <c r="L57" s="17">
        <v>1430.0</v>
      </c>
      <c r="M57" s="18">
        <v>1421.06</v>
      </c>
      <c r="N57" s="18">
        <v>0.625</v>
      </c>
      <c r="O57" s="18">
        <v>3600.0</v>
      </c>
    </row>
    <row r="58">
      <c r="A58" s="8" t="s">
        <v>244</v>
      </c>
      <c r="B58" s="9">
        <v>25.0</v>
      </c>
      <c r="C58" s="14" t="s">
        <v>234</v>
      </c>
      <c r="D58" s="9">
        <v>25.0</v>
      </c>
      <c r="E58" s="10">
        <v>2.0</v>
      </c>
      <c r="F58" s="9">
        <v>1.0</v>
      </c>
      <c r="G58" s="9">
        <v>0.0</v>
      </c>
      <c r="H58" s="9">
        <v>0.0</v>
      </c>
      <c r="I58" s="9">
        <v>1.0</v>
      </c>
      <c r="J58" s="17">
        <v>20955.0</v>
      </c>
      <c r="K58" s="18">
        <v>18987.5</v>
      </c>
      <c r="L58" s="17">
        <v>20955.0</v>
      </c>
      <c r="M58" s="18">
        <v>18987.5</v>
      </c>
      <c r="N58" s="18">
        <v>9.38897</v>
      </c>
      <c r="O58" s="18">
        <v>1425.37</v>
      </c>
    </row>
    <row r="59">
      <c r="A59" s="8" t="s">
        <v>245</v>
      </c>
      <c r="B59" s="9">
        <v>25.0</v>
      </c>
      <c r="C59" s="14" t="s">
        <v>234</v>
      </c>
      <c r="D59" s="9">
        <v>25.0</v>
      </c>
      <c r="E59" s="10">
        <v>2.0</v>
      </c>
      <c r="F59" s="9">
        <v>2.0</v>
      </c>
      <c r="G59" s="9">
        <v>1.0</v>
      </c>
      <c r="H59" s="9">
        <v>0.0</v>
      </c>
      <c r="I59" s="9">
        <v>0.0</v>
      </c>
      <c r="J59" s="17">
        <v>22555.0</v>
      </c>
      <c r="K59" s="18">
        <v>22555.0</v>
      </c>
      <c r="L59" s="17">
        <v>22555.0</v>
      </c>
      <c r="M59" s="18">
        <v>22555.0</v>
      </c>
      <c r="N59" s="18">
        <v>0.0</v>
      </c>
      <c r="O59" s="18">
        <v>0.455</v>
      </c>
    </row>
    <row r="60">
      <c r="A60" s="8" t="s">
        <v>246</v>
      </c>
      <c r="B60" s="9">
        <v>25.0</v>
      </c>
      <c r="C60" s="14" t="s">
        <v>234</v>
      </c>
      <c r="D60" s="9">
        <v>25.0</v>
      </c>
      <c r="E60" s="10">
        <v>2.0</v>
      </c>
      <c r="F60" s="9">
        <v>3.0</v>
      </c>
      <c r="G60" s="9">
        <v>0.0</v>
      </c>
      <c r="H60" s="9">
        <v>1.0</v>
      </c>
      <c r="I60" s="9">
        <v>0.0</v>
      </c>
      <c r="J60" s="17">
        <v>22440.0</v>
      </c>
      <c r="K60" s="18">
        <v>20400.0</v>
      </c>
      <c r="L60" s="17">
        <v>22440.0</v>
      </c>
      <c r="M60" s="18">
        <v>20400.0</v>
      </c>
      <c r="N60" s="18">
        <v>9.09091</v>
      </c>
      <c r="O60" s="18">
        <v>3600.0</v>
      </c>
    </row>
    <row r="61">
      <c r="A61" s="8" t="s">
        <v>247</v>
      </c>
      <c r="B61" s="9">
        <v>25.0</v>
      </c>
      <c r="C61" s="14" t="s">
        <v>234</v>
      </c>
      <c r="D61" s="9">
        <v>25.0</v>
      </c>
      <c r="E61" s="10">
        <v>2.0</v>
      </c>
      <c r="F61" s="9">
        <v>4.0</v>
      </c>
      <c r="G61" s="9">
        <v>0.0</v>
      </c>
      <c r="H61" s="9">
        <v>1.0</v>
      </c>
      <c r="I61" s="9">
        <v>0.0</v>
      </c>
      <c r="J61" s="17">
        <v>19085.0</v>
      </c>
      <c r="K61" s="18">
        <v>17109.8</v>
      </c>
      <c r="L61" s="17">
        <v>17350.0</v>
      </c>
      <c r="M61" s="18">
        <v>17109.8</v>
      </c>
      <c r="N61" s="18">
        <v>1.38462</v>
      </c>
      <c r="O61" s="18">
        <v>3600.0</v>
      </c>
    </row>
    <row r="62">
      <c r="A62" s="8" t="s">
        <v>248</v>
      </c>
      <c r="B62" s="9">
        <v>25.0</v>
      </c>
      <c r="C62" s="14" t="s">
        <v>234</v>
      </c>
      <c r="D62" s="9">
        <v>25.0</v>
      </c>
      <c r="E62" s="10">
        <v>2.0</v>
      </c>
      <c r="F62" s="9">
        <v>5.0</v>
      </c>
      <c r="G62" s="9">
        <v>0.0</v>
      </c>
      <c r="H62" s="9">
        <v>1.0</v>
      </c>
      <c r="I62" s="9">
        <v>0.0</v>
      </c>
      <c r="J62" s="17">
        <v>21538.0</v>
      </c>
      <c r="K62" s="18">
        <v>19457.6</v>
      </c>
      <c r="L62" s="17">
        <v>19638.0</v>
      </c>
      <c r="M62" s="18">
        <v>19457.6</v>
      </c>
      <c r="N62" s="18">
        <v>0.9185</v>
      </c>
      <c r="O62" s="18">
        <v>3600.0</v>
      </c>
    </row>
    <row r="63">
      <c r="A63" s="8" t="s">
        <v>249</v>
      </c>
      <c r="B63" s="9">
        <v>25.0</v>
      </c>
      <c r="C63" s="14" t="s">
        <v>234</v>
      </c>
      <c r="D63" s="9">
        <v>50.0</v>
      </c>
      <c r="E63" s="10">
        <v>0.6</v>
      </c>
      <c r="F63" s="9">
        <v>1.0</v>
      </c>
      <c r="G63" s="9">
        <v>0.0</v>
      </c>
      <c r="H63" s="9">
        <v>1.0</v>
      </c>
      <c r="I63" s="9">
        <v>0.0</v>
      </c>
      <c r="J63" s="17">
        <v>1458.0</v>
      </c>
      <c r="K63" s="18">
        <v>332.488</v>
      </c>
      <c r="L63" s="17">
        <v>627.0</v>
      </c>
      <c r="M63" s="18">
        <v>338.971</v>
      </c>
      <c r="N63" s="18">
        <v>45.9376</v>
      </c>
      <c r="O63" s="18">
        <v>3600.0</v>
      </c>
    </row>
    <row r="64">
      <c r="A64" s="8" t="s">
        <v>250</v>
      </c>
      <c r="B64" s="9">
        <v>25.0</v>
      </c>
      <c r="C64" s="14" t="s">
        <v>234</v>
      </c>
      <c r="D64" s="9">
        <v>50.0</v>
      </c>
      <c r="E64" s="10">
        <v>0.6</v>
      </c>
      <c r="F64" s="9">
        <v>2.0</v>
      </c>
      <c r="G64" s="9">
        <v>0.0</v>
      </c>
      <c r="H64" s="9">
        <v>1.0</v>
      </c>
      <c r="I64" s="9">
        <v>0.0</v>
      </c>
      <c r="J64" s="17">
        <v>1113.0</v>
      </c>
      <c r="K64" s="18">
        <v>381.0</v>
      </c>
      <c r="L64" s="17">
        <v>769.0</v>
      </c>
      <c r="M64" s="18">
        <v>399.734</v>
      </c>
      <c r="N64" s="18">
        <v>48.019</v>
      </c>
      <c r="O64" s="18">
        <v>3600.0</v>
      </c>
    </row>
    <row r="65">
      <c r="A65" s="8" t="s">
        <v>251</v>
      </c>
      <c r="B65" s="9">
        <v>25.0</v>
      </c>
      <c r="C65" s="14" t="s">
        <v>234</v>
      </c>
      <c r="D65" s="9">
        <v>50.0</v>
      </c>
      <c r="E65" s="10">
        <v>0.6</v>
      </c>
      <c r="F65" s="9">
        <v>3.0</v>
      </c>
      <c r="G65" s="9">
        <v>0.0</v>
      </c>
      <c r="H65" s="9">
        <v>1.0</v>
      </c>
      <c r="I65" s="9">
        <v>0.0</v>
      </c>
      <c r="J65" s="17">
        <v>849.0</v>
      </c>
      <c r="K65" s="18">
        <v>319.946</v>
      </c>
      <c r="L65" s="17">
        <v>605.0</v>
      </c>
      <c r="M65" s="18">
        <v>324.946</v>
      </c>
      <c r="N65" s="18">
        <v>46.2899</v>
      </c>
      <c r="O65" s="18">
        <v>3600.0</v>
      </c>
    </row>
    <row r="66">
      <c r="A66" s="8" t="s">
        <v>252</v>
      </c>
      <c r="B66" s="9">
        <v>25.0</v>
      </c>
      <c r="C66" s="14" t="s">
        <v>234</v>
      </c>
      <c r="D66" s="9">
        <v>50.0</v>
      </c>
      <c r="E66" s="10">
        <v>0.6</v>
      </c>
      <c r="F66" s="9">
        <v>4.0</v>
      </c>
      <c r="G66" s="9">
        <v>0.0</v>
      </c>
      <c r="H66" s="9">
        <v>1.0</v>
      </c>
      <c r="I66" s="9">
        <v>0.0</v>
      </c>
      <c r="J66" s="17">
        <v>706.0</v>
      </c>
      <c r="K66" s="18">
        <v>323.107</v>
      </c>
      <c r="L66" s="17">
        <v>552.0</v>
      </c>
      <c r="M66" s="18">
        <v>323.107</v>
      </c>
      <c r="N66" s="18">
        <v>41.466</v>
      </c>
      <c r="O66" s="18">
        <v>3600.0</v>
      </c>
    </row>
    <row r="67">
      <c r="A67" s="8" t="s">
        <v>253</v>
      </c>
      <c r="B67" s="9">
        <v>25.0</v>
      </c>
      <c r="C67" s="14" t="s">
        <v>234</v>
      </c>
      <c r="D67" s="9">
        <v>50.0</v>
      </c>
      <c r="E67" s="10">
        <v>0.6</v>
      </c>
      <c r="F67" s="9">
        <v>5.0</v>
      </c>
      <c r="G67" s="9">
        <v>0.0</v>
      </c>
      <c r="H67" s="9">
        <v>1.0</v>
      </c>
      <c r="I67" s="9">
        <v>0.0</v>
      </c>
      <c r="J67" s="17">
        <v>886.0</v>
      </c>
      <c r="K67" s="18">
        <v>311.512</v>
      </c>
      <c r="L67" s="17">
        <v>553.0</v>
      </c>
      <c r="M67" s="18">
        <v>315.538</v>
      </c>
      <c r="N67" s="18">
        <v>42.9408</v>
      </c>
      <c r="O67" s="18">
        <v>3600.0</v>
      </c>
    </row>
    <row r="68">
      <c r="A68" s="8" t="s">
        <v>254</v>
      </c>
      <c r="B68" s="9">
        <v>25.0</v>
      </c>
      <c r="C68" s="14" t="s">
        <v>234</v>
      </c>
      <c r="D68" s="9">
        <v>50.0</v>
      </c>
      <c r="E68" s="10">
        <v>1.0</v>
      </c>
      <c r="F68" s="9">
        <v>1.0</v>
      </c>
      <c r="G68" s="9">
        <v>0.0</v>
      </c>
      <c r="H68" s="9">
        <v>1.0</v>
      </c>
      <c r="I68" s="9">
        <v>0.0</v>
      </c>
      <c r="J68" s="17">
        <v>3696.0</v>
      </c>
      <c r="K68" s="18">
        <v>2385.0</v>
      </c>
      <c r="L68" s="17">
        <v>2864.0</v>
      </c>
      <c r="M68" s="18">
        <v>2385.0</v>
      </c>
      <c r="N68" s="18">
        <v>16.7249</v>
      </c>
      <c r="O68" s="18">
        <v>3600.0</v>
      </c>
    </row>
    <row r="69">
      <c r="A69" s="8" t="s">
        <v>255</v>
      </c>
      <c r="B69" s="9">
        <v>25.0</v>
      </c>
      <c r="C69" s="14" t="s">
        <v>234</v>
      </c>
      <c r="D69" s="9">
        <v>50.0</v>
      </c>
      <c r="E69" s="10">
        <v>1.0</v>
      </c>
      <c r="F69" s="9">
        <v>2.0</v>
      </c>
      <c r="G69" s="9">
        <v>0.0</v>
      </c>
      <c r="H69" s="9">
        <v>1.0</v>
      </c>
      <c r="I69" s="9">
        <v>0.0</v>
      </c>
      <c r="J69" s="17">
        <v>4111.0</v>
      </c>
      <c r="K69" s="18">
        <v>2718.67</v>
      </c>
      <c r="L69" s="17">
        <v>3117.0</v>
      </c>
      <c r="M69" s="18">
        <v>2718.67</v>
      </c>
      <c r="N69" s="18">
        <v>12.7792</v>
      </c>
      <c r="O69" s="18">
        <v>3600.0</v>
      </c>
    </row>
    <row r="70">
      <c r="A70" s="8" t="s">
        <v>256</v>
      </c>
      <c r="B70" s="9">
        <v>25.0</v>
      </c>
      <c r="C70" s="14" t="s">
        <v>234</v>
      </c>
      <c r="D70" s="9">
        <v>50.0</v>
      </c>
      <c r="E70" s="10">
        <v>1.0</v>
      </c>
      <c r="F70" s="9">
        <v>3.0</v>
      </c>
      <c r="G70" s="9">
        <v>0.0</v>
      </c>
      <c r="H70" s="9">
        <v>1.0</v>
      </c>
      <c r="I70" s="9">
        <v>0.0</v>
      </c>
      <c r="J70" s="17">
        <v>2988.0</v>
      </c>
      <c r="K70" s="18">
        <v>2298.64</v>
      </c>
      <c r="L70" s="17">
        <v>2532.0</v>
      </c>
      <c r="M70" s="18">
        <v>2298.64</v>
      </c>
      <c r="N70" s="18">
        <v>9.21646</v>
      </c>
      <c r="O70" s="18">
        <v>3600.0</v>
      </c>
    </row>
    <row r="71">
      <c r="A71" s="8" t="s">
        <v>257</v>
      </c>
      <c r="B71" s="9">
        <v>25.0</v>
      </c>
      <c r="C71" s="14" t="s">
        <v>234</v>
      </c>
      <c r="D71" s="9">
        <v>50.0</v>
      </c>
      <c r="E71" s="10">
        <v>1.0</v>
      </c>
      <c r="F71" s="9">
        <v>4.0</v>
      </c>
      <c r="G71" s="9">
        <v>0.0</v>
      </c>
      <c r="H71" s="9">
        <v>1.0</v>
      </c>
      <c r="I71" s="9">
        <v>0.0</v>
      </c>
      <c r="J71" s="17">
        <v>3195.0</v>
      </c>
      <c r="K71" s="18">
        <v>2316.8</v>
      </c>
      <c r="L71" s="17">
        <v>2683.0</v>
      </c>
      <c r="M71" s="18">
        <v>2316.8</v>
      </c>
      <c r="N71" s="18">
        <v>13.6489</v>
      </c>
      <c r="O71" s="18">
        <v>3600.0</v>
      </c>
    </row>
    <row r="72">
      <c r="A72" s="8" t="s">
        <v>258</v>
      </c>
      <c r="B72" s="9">
        <v>25.0</v>
      </c>
      <c r="C72" s="14" t="s">
        <v>234</v>
      </c>
      <c r="D72" s="9">
        <v>50.0</v>
      </c>
      <c r="E72" s="10">
        <v>1.0</v>
      </c>
      <c r="F72" s="9">
        <v>5.0</v>
      </c>
      <c r="G72" s="9">
        <v>0.0</v>
      </c>
      <c r="H72" s="9">
        <v>1.0</v>
      </c>
      <c r="I72" s="9">
        <v>0.0</v>
      </c>
      <c r="J72" s="17">
        <v>3762.0</v>
      </c>
      <c r="K72" s="18">
        <v>2237.98</v>
      </c>
      <c r="L72" s="17">
        <v>2540.0</v>
      </c>
      <c r="M72" s="18">
        <v>2237.98</v>
      </c>
      <c r="N72" s="18">
        <v>11.8904</v>
      </c>
      <c r="O72" s="18">
        <v>3600.0</v>
      </c>
    </row>
    <row r="73">
      <c r="A73" s="8" t="s">
        <v>259</v>
      </c>
      <c r="B73" s="9">
        <v>25.0</v>
      </c>
      <c r="C73" s="14" t="s">
        <v>234</v>
      </c>
      <c r="D73" s="9">
        <v>50.0</v>
      </c>
      <c r="E73" s="10">
        <v>2.0</v>
      </c>
      <c r="F73" s="9">
        <v>1.0</v>
      </c>
      <c r="G73" s="9">
        <v>0.0</v>
      </c>
      <c r="H73" s="9">
        <v>0.0</v>
      </c>
      <c r="I73" s="9">
        <v>1.0</v>
      </c>
      <c r="J73" s="17">
        <v>35976.0</v>
      </c>
      <c r="K73" s="18">
        <v>32680.0</v>
      </c>
      <c r="L73" s="17">
        <v>35948.0</v>
      </c>
      <c r="M73" s="18">
        <v>32680.0</v>
      </c>
      <c r="N73" s="18">
        <v>9.09091</v>
      </c>
      <c r="O73" s="18">
        <v>1670.73</v>
      </c>
    </row>
    <row r="74">
      <c r="A74" s="8" t="s">
        <v>260</v>
      </c>
      <c r="B74" s="9">
        <v>25.0</v>
      </c>
      <c r="C74" s="14" t="s">
        <v>234</v>
      </c>
      <c r="D74" s="9">
        <v>50.0</v>
      </c>
      <c r="E74" s="10">
        <v>2.0</v>
      </c>
      <c r="F74" s="9">
        <v>2.0</v>
      </c>
      <c r="G74" s="9">
        <v>0.0</v>
      </c>
      <c r="H74" s="9">
        <v>1.0</v>
      </c>
      <c r="I74" s="9">
        <v>0.0</v>
      </c>
      <c r="J74" s="17">
        <v>41359.0</v>
      </c>
      <c r="K74" s="18">
        <v>37276.1</v>
      </c>
      <c r="L74" s="17">
        <v>37779.0</v>
      </c>
      <c r="M74" s="18">
        <v>37276.1</v>
      </c>
      <c r="N74" s="18">
        <v>1.33111</v>
      </c>
      <c r="O74" s="18">
        <v>3600.0</v>
      </c>
    </row>
    <row r="75">
      <c r="A75" s="8" t="s">
        <v>261</v>
      </c>
      <c r="B75" s="9">
        <v>25.0</v>
      </c>
      <c r="C75" s="14" t="s">
        <v>234</v>
      </c>
      <c r="D75" s="9">
        <v>50.0</v>
      </c>
      <c r="E75" s="10">
        <v>2.0</v>
      </c>
      <c r="F75" s="9">
        <v>3.0</v>
      </c>
      <c r="G75" s="9">
        <v>1.0</v>
      </c>
      <c r="H75" s="9">
        <v>0.0</v>
      </c>
      <c r="I75" s="9">
        <v>0.0</v>
      </c>
      <c r="J75" s="17">
        <v>34940.0</v>
      </c>
      <c r="K75" s="18">
        <v>34848.0</v>
      </c>
      <c r="L75" s="17">
        <v>34848.0</v>
      </c>
      <c r="M75" s="18">
        <v>34848.0</v>
      </c>
      <c r="N75" s="18">
        <v>0.0</v>
      </c>
      <c r="O75" s="18">
        <v>1.636</v>
      </c>
    </row>
    <row r="76">
      <c r="A76" s="8" t="s">
        <v>262</v>
      </c>
      <c r="B76" s="9">
        <v>25.0</v>
      </c>
      <c r="C76" s="14" t="s">
        <v>234</v>
      </c>
      <c r="D76" s="9">
        <v>50.0</v>
      </c>
      <c r="E76" s="10">
        <v>2.0</v>
      </c>
      <c r="F76" s="9">
        <v>4.0</v>
      </c>
      <c r="G76" s="9">
        <v>0.0</v>
      </c>
      <c r="H76" s="9">
        <v>1.0</v>
      </c>
      <c r="I76" s="9">
        <v>0.0</v>
      </c>
      <c r="J76" s="17">
        <v>35105.0</v>
      </c>
      <c r="K76" s="18">
        <v>31780.0</v>
      </c>
      <c r="L76" s="17">
        <v>31879.0</v>
      </c>
      <c r="M76" s="18">
        <v>31780.0</v>
      </c>
      <c r="N76" s="18">
        <v>0.310549</v>
      </c>
      <c r="O76" s="18">
        <v>3600.0</v>
      </c>
    </row>
    <row r="77">
      <c r="A77" s="8" t="s">
        <v>263</v>
      </c>
      <c r="B77" s="9">
        <v>25.0</v>
      </c>
      <c r="C77" s="14" t="s">
        <v>234</v>
      </c>
      <c r="D77" s="9">
        <v>50.0</v>
      </c>
      <c r="E77" s="10">
        <v>2.0</v>
      </c>
      <c r="F77" s="9">
        <v>5.0</v>
      </c>
      <c r="G77" s="9">
        <v>0.0</v>
      </c>
      <c r="H77" s="9">
        <v>1.0</v>
      </c>
      <c r="I77" s="9">
        <v>0.0</v>
      </c>
      <c r="J77" s="17">
        <v>34014.0</v>
      </c>
      <c r="K77" s="18">
        <v>33858.0</v>
      </c>
      <c r="L77" s="17">
        <v>33939.0</v>
      </c>
      <c r="M77" s="18">
        <v>33858.0</v>
      </c>
      <c r="N77" s="18">
        <v>0.238663</v>
      </c>
      <c r="O77" s="18">
        <v>3600.0</v>
      </c>
    </row>
    <row r="78">
      <c r="A78" s="8" t="s">
        <v>264</v>
      </c>
      <c r="B78" s="9">
        <v>25.0</v>
      </c>
      <c r="C78" s="14" t="s">
        <v>234</v>
      </c>
      <c r="D78" s="9">
        <v>75.0</v>
      </c>
      <c r="E78" s="10">
        <v>0.6</v>
      </c>
      <c r="F78" s="9">
        <v>1.0</v>
      </c>
      <c r="G78" s="9">
        <v>0.0</v>
      </c>
      <c r="H78" s="9">
        <v>1.0</v>
      </c>
      <c r="I78" s="9">
        <v>0.0</v>
      </c>
      <c r="J78" s="17">
        <v>1982.0</v>
      </c>
      <c r="K78" s="18">
        <v>536.032</v>
      </c>
      <c r="L78" s="17">
        <v>1426.0</v>
      </c>
      <c r="M78" s="18">
        <v>631.484</v>
      </c>
      <c r="N78" s="18">
        <v>55.7164</v>
      </c>
      <c r="O78" s="18">
        <v>3600.0</v>
      </c>
    </row>
    <row r="79">
      <c r="A79" s="8" t="s">
        <v>265</v>
      </c>
      <c r="B79" s="9">
        <v>25.0</v>
      </c>
      <c r="C79" s="14" t="s">
        <v>234</v>
      </c>
      <c r="D79" s="9">
        <v>75.0</v>
      </c>
      <c r="E79" s="10">
        <v>0.6</v>
      </c>
      <c r="F79" s="9">
        <v>2.0</v>
      </c>
      <c r="G79" s="9">
        <v>0.0</v>
      </c>
      <c r="H79" s="9">
        <v>1.0</v>
      </c>
      <c r="I79" s="9">
        <v>0.0</v>
      </c>
      <c r="J79" s="17">
        <v>1885.0</v>
      </c>
      <c r="K79" s="18">
        <v>516.0</v>
      </c>
      <c r="L79" s="17">
        <v>1230.0</v>
      </c>
      <c r="M79" s="18">
        <v>605.211</v>
      </c>
      <c r="N79" s="18">
        <v>50.7958</v>
      </c>
      <c r="O79" s="18">
        <v>3600.0</v>
      </c>
    </row>
    <row r="80">
      <c r="A80" s="8" t="s">
        <v>266</v>
      </c>
      <c r="B80" s="9">
        <v>25.0</v>
      </c>
      <c r="C80" s="14" t="s">
        <v>234</v>
      </c>
      <c r="D80" s="9">
        <v>75.0</v>
      </c>
      <c r="E80" s="10">
        <v>0.6</v>
      </c>
      <c r="F80" s="9">
        <v>3.0</v>
      </c>
      <c r="G80" s="9">
        <v>0.0</v>
      </c>
      <c r="H80" s="9">
        <v>1.0</v>
      </c>
      <c r="I80" s="9">
        <v>0.0</v>
      </c>
      <c r="J80" s="17">
        <v>2412.0</v>
      </c>
      <c r="K80" s="18">
        <v>513.0</v>
      </c>
      <c r="L80" s="17">
        <v>1339.0</v>
      </c>
      <c r="M80" s="18">
        <v>583.462</v>
      </c>
      <c r="N80" s="18">
        <v>56.4255</v>
      </c>
      <c r="O80" s="18">
        <v>3600.0</v>
      </c>
    </row>
    <row r="81">
      <c r="A81" s="8" t="s">
        <v>267</v>
      </c>
      <c r="B81" s="9">
        <v>25.0</v>
      </c>
      <c r="C81" s="14" t="s">
        <v>234</v>
      </c>
      <c r="D81" s="9">
        <v>75.0</v>
      </c>
      <c r="E81" s="10">
        <v>0.6</v>
      </c>
      <c r="F81" s="9">
        <v>4.0</v>
      </c>
      <c r="G81" s="9">
        <v>0.0</v>
      </c>
      <c r="H81" s="9">
        <v>1.0</v>
      </c>
      <c r="I81" s="9">
        <v>0.0</v>
      </c>
      <c r="J81" s="17">
        <v>1772.0</v>
      </c>
      <c r="K81" s="18">
        <v>525.0</v>
      </c>
      <c r="L81" s="17">
        <v>1307.0</v>
      </c>
      <c r="M81" s="18">
        <v>577.262</v>
      </c>
      <c r="N81" s="18">
        <v>55.833</v>
      </c>
      <c r="O81" s="18">
        <v>3600.0</v>
      </c>
    </row>
    <row r="82">
      <c r="A82" s="8" t="s">
        <v>268</v>
      </c>
      <c r="B82" s="9">
        <v>25.0</v>
      </c>
      <c r="C82" s="14" t="s">
        <v>234</v>
      </c>
      <c r="D82" s="9">
        <v>75.0</v>
      </c>
      <c r="E82" s="10">
        <v>0.6</v>
      </c>
      <c r="F82" s="9">
        <v>5.0</v>
      </c>
      <c r="G82" s="9">
        <v>0.0</v>
      </c>
      <c r="H82" s="9">
        <v>1.0</v>
      </c>
      <c r="I82" s="9">
        <v>0.0</v>
      </c>
      <c r="J82" s="17">
        <v>1597.0</v>
      </c>
      <c r="K82" s="18">
        <v>519.0</v>
      </c>
      <c r="L82" s="17">
        <v>1357.0</v>
      </c>
      <c r="M82" s="18">
        <v>579.349</v>
      </c>
      <c r="N82" s="18">
        <v>57.3066</v>
      </c>
      <c r="O82" s="18">
        <v>3600.0</v>
      </c>
    </row>
    <row r="83">
      <c r="A83" s="8" t="s">
        <v>269</v>
      </c>
      <c r="B83" s="9">
        <v>25.0</v>
      </c>
      <c r="C83" s="14" t="s">
        <v>234</v>
      </c>
      <c r="D83" s="9">
        <v>75.0</v>
      </c>
      <c r="E83" s="10">
        <v>1.0</v>
      </c>
      <c r="F83" s="9">
        <v>1.0</v>
      </c>
      <c r="G83" s="9">
        <v>0.0</v>
      </c>
      <c r="H83" s="9">
        <v>1.0</v>
      </c>
      <c r="I83" s="9">
        <v>0.0</v>
      </c>
      <c r="J83" s="17">
        <v>5390.0</v>
      </c>
      <c r="K83" s="18">
        <v>3853.05</v>
      </c>
      <c r="L83" s="17">
        <v>5090.0</v>
      </c>
      <c r="M83" s="18">
        <v>3859.51</v>
      </c>
      <c r="N83" s="18">
        <v>24.1747</v>
      </c>
      <c r="O83" s="18">
        <v>3600.0</v>
      </c>
    </row>
    <row r="84">
      <c r="A84" s="8" t="s">
        <v>270</v>
      </c>
      <c r="B84" s="9">
        <v>25.0</v>
      </c>
      <c r="C84" s="14" t="s">
        <v>234</v>
      </c>
      <c r="D84" s="9">
        <v>75.0</v>
      </c>
      <c r="E84" s="10">
        <v>1.0</v>
      </c>
      <c r="F84" s="9">
        <v>2.0</v>
      </c>
      <c r="G84" s="9">
        <v>0.0</v>
      </c>
      <c r="H84" s="9">
        <v>1.0</v>
      </c>
      <c r="I84" s="9">
        <v>0.0</v>
      </c>
      <c r="J84" s="17">
        <v>5202.0</v>
      </c>
      <c r="K84" s="18">
        <v>3705.0</v>
      </c>
      <c r="L84" s="17">
        <v>4684.0</v>
      </c>
      <c r="M84" s="18">
        <v>3705.0</v>
      </c>
      <c r="N84" s="18">
        <v>20.9009</v>
      </c>
      <c r="O84" s="18">
        <v>3600.0</v>
      </c>
    </row>
    <row r="85">
      <c r="A85" s="8" t="s">
        <v>271</v>
      </c>
      <c r="B85" s="9">
        <v>25.0</v>
      </c>
      <c r="C85" s="14" t="s">
        <v>234</v>
      </c>
      <c r="D85" s="9">
        <v>75.0</v>
      </c>
      <c r="E85" s="10">
        <v>1.0</v>
      </c>
      <c r="F85" s="9">
        <v>3.0</v>
      </c>
      <c r="G85" s="9">
        <v>0.0</v>
      </c>
      <c r="H85" s="9">
        <v>1.0</v>
      </c>
      <c r="I85" s="9">
        <v>0.0</v>
      </c>
      <c r="J85" s="17">
        <v>5476.0</v>
      </c>
      <c r="K85" s="18">
        <v>3671.55</v>
      </c>
      <c r="L85" s="17">
        <v>4677.0</v>
      </c>
      <c r="M85" s="18">
        <v>3675.11</v>
      </c>
      <c r="N85" s="18">
        <v>21.4216</v>
      </c>
      <c r="O85" s="18">
        <v>3600.0</v>
      </c>
    </row>
    <row r="86">
      <c r="A86" s="8" t="s">
        <v>272</v>
      </c>
      <c r="B86" s="9">
        <v>25.0</v>
      </c>
      <c r="C86" s="14" t="s">
        <v>234</v>
      </c>
      <c r="D86" s="9">
        <v>75.0</v>
      </c>
      <c r="E86" s="10">
        <v>1.0</v>
      </c>
      <c r="F86" s="9">
        <v>4.0</v>
      </c>
      <c r="G86" s="9">
        <v>0.0</v>
      </c>
      <c r="H86" s="9">
        <v>1.0</v>
      </c>
      <c r="I86" s="9">
        <v>0.0</v>
      </c>
      <c r="J86" s="17">
        <v>6044.0</v>
      </c>
      <c r="K86" s="18">
        <v>3763.65</v>
      </c>
      <c r="L86" s="17">
        <v>4801.0</v>
      </c>
      <c r="M86" s="18">
        <v>3767.8</v>
      </c>
      <c r="N86" s="18">
        <v>21.5206</v>
      </c>
      <c r="O86" s="18">
        <v>3600.0</v>
      </c>
    </row>
    <row r="87">
      <c r="A87" s="8" t="s">
        <v>273</v>
      </c>
      <c r="B87" s="9">
        <v>25.0</v>
      </c>
      <c r="C87" s="14" t="s">
        <v>234</v>
      </c>
      <c r="D87" s="9">
        <v>75.0</v>
      </c>
      <c r="E87" s="10">
        <v>1.0</v>
      </c>
      <c r="F87" s="9">
        <v>5.0</v>
      </c>
      <c r="G87" s="9">
        <v>0.0</v>
      </c>
      <c r="H87" s="9">
        <v>1.0</v>
      </c>
      <c r="I87" s="9">
        <v>0.0</v>
      </c>
      <c r="J87" s="17">
        <v>5432.0</v>
      </c>
      <c r="K87" s="18">
        <v>3725.0</v>
      </c>
      <c r="L87" s="17">
        <v>4836.0</v>
      </c>
      <c r="M87" s="18">
        <v>3725.0</v>
      </c>
      <c r="N87" s="18">
        <v>22.9735</v>
      </c>
      <c r="O87" s="18">
        <v>3600.0</v>
      </c>
    </row>
    <row r="88">
      <c r="A88" s="8" t="s">
        <v>274</v>
      </c>
      <c r="B88" s="9">
        <v>25.0</v>
      </c>
      <c r="C88" s="14" t="s">
        <v>234</v>
      </c>
      <c r="D88" s="9">
        <v>75.0</v>
      </c>
      <c r="E88" s="10">
        <v>2.0</v>
      </c>
      <c r="F88" s="9">
        <v>1.0</v>
      </c>
      <c r="G88" s="9">
        <v>0.0</v>
      </c>
      <c r="H88" s="9">
        <v>1.0</v>
      </c>
      <c r="I88" s="9">
        <v>0.0</v>
      </c>
      <c r="J88" s="17">
        <v>58390.0</v>
      </c>
      <c r="K88" s="18">
        <v>52343.1</v>
      </c>
      <c r="L88" s="17">
        <v>58230.0</v>
      </c>
      <c r="M88" s="18">
        <v>52938.0</v>
      </c>
      <c r="N88" s="18">
        <v>9.0881</v>
      </c>
      <c r="O88" s="18">
        <v>3600.0</v>
      </c>
    </row>
    <row r="89">
      <c r="A89" s="8" t="s">
        <v>275</v>
      </c>
      <c r="B89" s="9">
        <v>25.0</v>
      </c>
      <c r="C89" s="14" t="s">
        <v>234</v>
      </c>
      <c r="D89" s="9">
        <v>75.0</v>
      </c>
      <c r="E89" s="10">
        <v>2.0</v>
      </c>
      <c r="F89" s="9">
        <v>2.0</v>
      </c>
      <c r="G89" s="9">
        <v>0.0</v>
      </c>
      <c r="H89" s="9">
        <v>1.0</v>
      </c>
      <c r="I89" s="9">
        <v>0.0</v>
      </c>
      <c r="J89" s="17">
        <v>56014.0</v>
      </c>
      <c r="K89" s="18">
        <v>50760.0</v>
      </c>
      <c r="L89" s="17">
        <v>55912.0</v>
      </c>
      <c r="M89" s="18">
        <v>50760.0</v>
      </c>
      <c r="N89" s="18">
        <v>9.21448</v>
      </c>
      <c r="O89" s="18">
        <v>3600.0</v>
      </c>
    </row>
    <row r="90">
      <c r="A90" s="8" t="s">
        <v>276</v>
      </c>
      <c r="B90" s="9">
        <v>25.0</v>
      </c>
      <c r="C90" s="14" t="s">
        <v>234</v>
      </c>
      <c r="D90" s="9">
        <v>75.0</v>
      </c>
      <c r="E90" s="10">
        <v>2.0</v>
      </c>
      <c r="F90" s="9">
        <v>3.0</v>
      </c>
      <c r="G90" s="9">
        <v>0.0</v>
      </c>
      <c r="H90" s="9">
        <v>0.0</v>
      </c>
      <c r="I90" s="9">
        <v>1.0</v>
      </c>
      <c r="J90" s="17">
        <v>56130.0</v>
      </c>
      <c r="K90" s="18">
        <v>50307.2</v>
      </c>
      <c r="L90" s="17">
        <v>50997.0</v>
      </c>
      <c r="M90" s="18">
        <v>50337.3</v>
      </c>
      <c r="N90" s="18">
        <v>1.29357</v>
      </c>
      <c r="O90" s="18">
        <v>1530.74</v>
      </c>
    </row>
    <row r="91">
      <c r="A91" s="8" t="s">
        <v>277</v>
      </c>
      <c r="B91" s="9">
        <v>25.0</v>
      </c>
      <c r="C91" s="14" t="s">
        <v>234</v>
      </c>
      <c r="D91" s="9">
        <v>75.0</v>
      </c>
      <c r="E91" s="10">
        <v>2.0</v>
      </c>
      <c r="F91" s="9">
        <v>4.0</v>
      </c>
      <c r="G91" s="9">
        <v>0.0</v>
      </c>
      <c r="H91" s="9">
        <v>1.0</v>
      </c>
      <c r="I91" s="9">
        <v>0.0</v>
      </c>
      <c r="J91" s="17">
        <v>56969.0</v>
      </c>
      <c r="K91" s="18">
        <v>56892.0</v>
      </c>
      <c r="L91" s="17">
        <v>56934.0</v>
      </c>
      <c r="M91" s="18">
        <v>56892.0</v>
      </c>
      <c r="N91" s="18">
        <v>0.0737696</v>
      </c>
      <c r="O91" s="18">
        <v>3600.0</v>
      </c>
    </row>
    <row r="92">
      <c r="A92" s="8" t="s">
        <v>278</v>
      </c>
      <c r="B92" s="9">
        <v>25.0</v>
      </c>
      <c r="C92" s="14" t="s">
        <v>234</v>
      </c>
      <c r="D92" s="9">
        <v>75.0</v>
      </c>
      <c r="E92" s="10">
        <v>2.0</v>
      </c>
      <c r="F92" s="9">
        <v>5.0</v>
      </c>
      <c r="G92" s="9">
        <v>0.0</v>
      </c>
      <c r="H92" s="9">
        <v>1.0</v>
      </c>
      <c r="I92" s="9">
        <v>0.0</v>
      </c>
      <c r="J92" s="17">
        <v>56330.0</v>
      </c>
      <c r="K92" s="18">
        <v>51060.0</v>
      </c>
      <c r="L92" s="17">
        <v>51591.0</v>
      </c>
      <c r="M92" s="18">
        <v>51060.0</v>
      </c>
      <c r="N92" s="18">
        <v>1.02925</v>
      </c>
      <c r="O92" s="18">
        <v>3600.0</v>
      </c>
    </row>
    <row r="93">
      <c r="A93" s="8" t="s">
        <v>459</v>
      </c>
      <c r="B93" s="9">
        <v>25.0</v>
      </c>
      <c r="C93" s="9" t="s">
        <v>460</v>
      </c>
      <c r="D93" s="9">
        <v>25.0</v>
      </c>
      <c r="E93" s="10">
        <v>0.6</v>
      </c>
      <c r="F93" s="9">
        <v>1.0</v>
      </c>
      <c r="G93" s="9">
        <v>0.0</v>
      </c>
      <c r="H93" s="9">
        <v>1.0</v>
      </c>
      <c r="I93" s="9">
        <v>0.0</v>
      </c>
      <c r="J93" s="17">
        <v>-808.0</v>
      </c>
      <c r="K93" s="18">
        <v>-3743.25</v>
      </c>
      <c r="L93" s="17">
        <v>-2150.0</v>
      </c>
      <c r="M93" s="18">
        <v>-3287.72</v>
      </c>
      <c r="N93" s="18">
        <v>52.9173</v>
      </c>
      <c r="O93" s="18">
        <v>3600.0</v>
      </c>
    </row>
    <row r="94">
      <c r="A94" s="8" t="s">
        <v>461</v>
      </c>
      <c r="B94" s="9">
        <v>25.0</v>
      </c>
      <c r="C94" s="9" t="s">
        <v>460</v>
      </c>
      <c r="D94" s="9">
        <v>25.0</v>
      </c>
      <c r="E94" s="10">
        <v>0.6</v>
      </c>
      <c r="F94" s="9">
        <v>2.0</v>
      </c>
      <c r="G94" s="9">
        <v>0.0</v>
      </c>
      <c r="H94" s="9">
        <v>1.0</v>
      </c>
      <c r="I94" s="9">
        <v>0.0</v>
      </c>
      <c r="J94" s="17">
        <v>-473.0</v>
      </c>
      <c r="K94" s="18">
        <v>-3143.24</v>
      </c>
      <c r="L94" s="17">
        <v>-2062.0</v>
      </c>
      <c r="M94" s="18">
        <v>-2749.21</v>
      </c>
      <c r="N94" s="18">
        <v>33.3274</v>
      </c>
      <c r="O94" s="18">
        <v>3600.0</v>
      </c>
    </row>
    <row r="95">
      <c r="A95" s="8" t="s">
        <v>462</v>
      </c>
      <c r="B95" s="9">
        <v>25.0</v>
      </c>
      <c r="C95" s="9" t="s">
        <v>460</v>
      </c>
      <c r="D95" s="9">
        <v>25.0</v>
      </c>
      <c r="E95" s="10">
        <v>0.6</v>
      </c>
      <c r="F95" s="9">
        <v>3.0</v>
      </c>
      <c r="G95" s="9">
        <v>0.0</v>
      </c>
      <c r="H95" s="9">
        <v>1.0</v>
      </c>
      <c r="I95" s="9">
        <v>0.0</v>
      </c>
      <c r="J95" s="17">
        <v>-788.0</v>
      </c>
      <c r="K95" s="18">
        <v>-3233.0</v>
      </c>
      <c r="L95" s="17">
        <v>-2006.0</v>
      </c>
      <c r="M95" s="18">
        <v>-2756.18</v>
      </c>
      <c r="N95" s="18">
        <v>37.3969</v>
      </c>
      <c r="O95" s="18">
        <v>3600.0</v>
      </c>
    </row>
    <row r="96">
      <c r="A96" s="8" t="s">
        <v>463</v>
      </c>
      <c r="B96" s="9">
        <v>25.0</v>
      </c>
      <c r="C96" s="9" t="s">
        <v>460</v>
      </c>
      <c r="D96" s="9">
        <v>25.0</v>
      </c>
      <c r="E96" s="10">
        <v>0.6</v>
      </c>
      <c r="F96" s="9">
        <v>4.0</v>
      </c>
      <c r="G96" s="9">
        <v>0.0</v>
      </c>
      <c r="H96" s="9">
        <v>1.0</v>
      </c>
      <c r="I96" s="9">
        <v>0.0</v>
      </c>
      <c r="J96" s="17">
        <v>-988.0</v>
      </c>
      <c r="K96" s="18">
        <v>-3523.0</v>
      </c>
      <c r="L96" s="17">
        <v>-1981.0</v>
      </c>
      <c r="M96" s="18">
        <v>-3155.64</v>
      </c>
      <c r="N96" s="18">
        <v>59.2952</v>
      </c>
      <c r="O96" s="18">
        <v>3600.0</v>
      </c>
    </row>
    <row r="97">
      <c r="A97" s="8" t="s">
        <v>464</v>
      </c>
      <c r="B97" s="9">
        <v>25.0</v>
      </c>
      <c r="C97" s="9" t="s">
        <v>460</v>
      </c>
      <c r="D97" s="9">
        <v>25.0</v>
      </c>
      <c r="E97" s="10">
        <v>0.6</v>
      </c>
      <c r="F97" s="9">
        <v>5.0</v>
      </c>
      <c r="G97" s="9">
        <v>0.0</v>
      </c>
      <c r="H97" s="9">
        <v>1.0</v>
      </c>
      <c r="I97" s="9">
        <v>0.0</v>
      </c>
      <c r="J97" s="17">
        <v>-1687.0</v>
      </c>
      <c r="K97" s="18">
        <v>-4134.72</v>
      </c>
      <c r="L97" s="17">
        <v>-2409.0</v>
      </c>
      <c r="M97" s="18">
        <v>-3733.47</v>
      </c>
      <c r="N97" s="18">
        <v>54.9801</v>
      </c>
      <c r="O97" s="18">
        <v>3600.0</v>
      </c>
    </row>
    <row r="98">
      <c r="A98" s="8" t="s">
        <v>465</v>
      </c>
      <c r="B98" s="9">
        <v>25.0</v>
      </c>
      <c r="C98" s="9" t="s">
        <v>460</v>
      </c>
      <c r="D98" s="9">
        <v>25.0</v>
      </c>
      <c r="E98" s="10">
        <v>1.0</v>
      </c>
      <c r="F98" s="9">
        <v>1.0</v>
      </c>
      <c r="G98" s="9">
        <v>0.0</v>
      </c>
      <c r="H98" s="9">
        <v>1.0</v>
      </c>
      <c r="I98" s="9">
        <v>0.0</v>
      </c>
      <c r="J98" s="17">
        <v>903.0</v>
      </c>
      <c r="K98" s="18">
        <v>-2616.0</v>
      </c>
      <c r="L98" s="17">
        <v>-214.0</v>
      </c>
      <c r="M98" s="18">
        <v>-2223.45</v>
      </c>
      <c r="N98" s="18">
        <v>938.995</v>
      </c>
      <c r="O98" s="18">
        <v>3600.0</v>
      </c>
    </row>
    <row r="99">
      <c r="A99" s="8" t="s">
        <v>466</v>
      </c>
      <c r="B99" s="9">
        <v>25.0</v>
      </c>
      <c r="C99" s="9" t="s">
        <v>460</v>
      </c>
      <c r="D99" s="9">
        <v>25.0</v>
      </c>
      <c r="E99" s="10">
        <v>1.0</v>
      </c>
      <c r="F99" s="9">
        <v>2.0</v>
      </c>
      <c r="G99" s="9">
        <v>0.0</v>
      </c>
      <c r="H99" s="9">
        <v>1.0</v>
      </c>
      <c r="I99" s="9">
        <v>0.0</v>
      </c>
      <c r="J99" s="17">
        <v>536.0</v>
      </c>
      <c r="K99" s="18">
        <v>-2197.71</v>
      </c>
      <c r="L99" s="17">
        <v>-427.0</v>
      </c>
      <c r="M99" s="18">
        <v>-1924.3</v>
      </c>
      <c r="N99" s="18">
        <v>350.655</v>
      </c>
      <c r="O99" s="18">
        <v>3600.0</v>
      </c>
    </row>
    <row r="100">
      <c r="A100" s="8" t="s">
        <v>467</v>
      </c>
      <c r="B100" s="9">
        <v>25.0</v>
      </c>
      <c r="C100" s="9" t="s">
        <v>460</v>
      </c>
      <c r="D100" s="9">
        <v>25.0</v>
      </c>
      <c r="E100" s="10">
        <v>1.0</v>
      </c>
      <c r="F100" s="9">
        <v>3.0</v>
      </c>
      <c r="G100" s="9">
        <v>0.0</v>
      </c>
      <c r="H100" s="9">
        <v>1.0</v>
      </c>
      <c r="I100" s="9">
        <v>0.0</v>
      </c>
      <c r="J100" s="17">
        <v>503.0</v>
      </c>
      <c r="K100" s="18">
        <v>-2264.63</v>
      </c>
      <c r="L100" s="17">
        <v>-507.0</v>
      </c>
      <c r="M100" s="18">
        <v>-1830.03</v>
      </c>
      <c r="N100" s="18">
        <v>260.953</v>
      </c>
      <c r="O100" s="18">
        <v>3600.0</v>
      </c>
    </row>
    <row r="101">
      <c r="A101" s="8" t="s">
        <v>468</v>
      </c>
      <c r="B101" s="9">
        <v>25.0</v>
      </c>
      <c r="C101" s="9" t="s">
        <v>460</v>
      </c>
      <c r="D101" s="9">
        <v>25.0</v>
      </c>
      <c r="E101" s="10">
        <v>1.0</v>
      </c>
      <c r="F101" s="9">
        <v>4.0</v>
      </c>
      <c r="G101" s="9">
        <v>0.0</v>
      </c>
      <c r="H101" s="9">
        <v>1.0</v>
      </c>
      <c r="I101" s="9">
        <v>0.0</v>
      </c>
      <c r="J101" s="17">
        <v>513.0</v>
      </c>
      <c r="K101" s="18">
        <v>-2462.71</v>
      </c>
      <c r="L101" s="17">
        <v>-177.0</v>
      </c>
      <c r="M101" s="18">
        <v>-2115.5</v>
      </c>
      <c r="N101" s="18">
        <v>1095.2</v>
      </c>
      <c r="O101" s="18">
        <v>3600.0</v>
      </c>
    </row>
    <row r="102">
      <c r="A102" s="8" t="s">
        <v>469</v>
      </c>
      <c r="B102" s="9">
        <v>25.0</v>
      </c>
      <c r="C102" s="9" t="s">
        <v>460</v>
      </c>
      <c r="D102" s="9">
        <v>25.0</v>
      </c>
      <c r="E102" s="10">
        <v>1.0</v>
      </c>
      <c r="F102" s="9">
        <v>5.0</v>
      </c>
      <c r="G102" s="9">
        <v>0.0</v>
      </c>
      <c r="H102" s="9">
        <v>1.0</v>
      </c>
      <c r="I102" s="9">
        <v>0.0</v>
      </c>
      <c r="J102" s="17">
        <v>952.0</v>
      </c>
      <c r="K102" s="18">
        <v>-2895.21</v>
      </c>
      <c r="L102" s="17">
        <v>-312.0</v>
      </c>
      <c r="M102" s="18">
        <v>-2567.27</v>
      </c>
      <c r="N102" s="18">
        <v>722.844</v>
      </c>
      <c r="O102" s="18">
        <v>3600.0</v>
      </c>
    </row>
    <row r="103">
      <c r="A103" s="8" t="s">
        <v>470</v>
      </c>
      <c r="B103" s="9">
        <v>25.0</v>
      </c>
      <c r="C103" s="9" t="s">
        <v>460</v>
      </c>
      <c r="D103" s="9">
        <v>25.0</v>
      </c>
      <c r="E103" s="10">
        <v>2.0</v>
      </c>
      <c r="F103" s="9">
        <v>1.0</v>
      </c>
      <c r="G103" s="9">
        <v>0.0</v>
      </c>
      <c r="H103" s="9">
        <v>1.0</v>
      </c>
      <c r="I103" s="9">
        <v>0.0</v>
      </c>
      <c r="J103" s="17">
        <v>19397.0</v>
      </c>
      <c r="K103" s="18">
        <v>15188.0</v>
      </c>
      <c r="L103" s="17">
        <v>18775.0</v>
      </c>
      <c r="M103" s="18">
        <v>15665.7</v>
      </c>
      <c r="N103" s="18">
        <v>16.5611</v>
      </c>
      <c r="O103" s="18">
        <v>3600.0</v>
      </c>
    </row>
    <row r="104">
      <c r="A104" s="8" t="s">
        <v>471</v>
      </c>
      <c r="B104" s="9">
        <v>25.0</v>
      </c>
      <c r="C104" s="9" t="s">
        <v>460</v>
      </c>
      <c r="D104" s="9">
        <v>25.0</v>
      </c>
      <c r="E104" s="10">
        <v>2.0</v>
      </c>
      <c r="F104" s="9">
        <v>2.0</v>
      </c>
      <c r="G104" s="9">
        <v>0.0</v>
      </c>
      <c r="H104" s="9">
        <v>1.0</v>
      </c>
      <c r="I104" s="9">
        <v>0.0</v>
      </c>
      <c r="J104" s="17">
        <v>19280.0</v>
      </c>
      <c r="K104" s="18">
        <v>15727.0</v>
      </c>
      <c r="L104" s="17">
        <v>17134.0</v>
      </c>
      <c r="M104" s="18">
        <v>15941.0</v>
      </c>
      <c r="N104" s="18">
        <v>6.96276</v>
      </c>
      <c r="O104" s="18">
        <v>3600.0</v>
      </c>
    </row>
    <row r="105">
      <c r="A105" s="8" t="s">
        <v>472</v>
      </c>
      <c r="B105" s="9">
        <v>25.0</v>
      </c>
      <c r="C105" s="9" t="s">
        <v>460</v>
      </c>
      <c r="D105" s="9">
        <v>25.0</v>
      </c>
      <c r="E105" s="10">
        <v>2.0</v>
      </c>
      <c r="F105" s="9">
        <v>3.0</v>
      </c>
      <c r="G105" s="9">
        <v>0.0</v>
      </c>
      <c r="H105" s="9">
        <v>1.0</v>
      </c>
      <c r="I105" s="9">
        <v>0.0</v>
      </c>
      <c r="J105" s="17">
        <v>16808.0</v>
      </c>
      <c r="K105" s="18">
        <v>12788.3</v>
      </c>
      <c r="L105" s="17">
        <v>15104.0</v>
      </c>
      <c r="M105" s="18">
        <v>13123.9</v>
      </c>
      <c r="N105" s="18">
        <v>13.1099</v>
      </c>
      <c r="O105" s="18">
        <v>3600.0</v>
      </c>
    </row>
    <row r="106">
      <c r="A106" s="8" t="s">
        <v>473</v>
      </c>
      <c r="B106" s="9">
        <v>25.0</v>
      </c>
      <c r="C106" s="9" t="s">
        <v>460</v>
      </c>
      <c r="D106" s="9">
        <v>25.0</v>
      </c>
      <c r="E106" s="10">
        <v>2.0</v>
      </c>
      <c r="F106" s="9">
        <v>4.0</v>
      </c>
      <c r="G106" s="9">
        <v>0.0</v>
      </c>
      <c r="H106" s="9">
        <v>1.0</v>
      </c>
      <c r="I106" s="9">
        <v>0.0</v>
      </c>
      <c r="J106" s="17">
        <v>23271.0</v>
      </c>
      <c r="K106" s="18">
        <v>14057.0</v>
      </c>
      <c r="L106" s="17">
        <v>16247.0</v>
      </c>
      <c r="M106" s="18">
        <v>14408.5</v>
      </c>
      <c r="N106" s="18">
        <v>11.3159</v>
      </c>
      <c r="O106" s="18">
        <v>3600.0</v>
      </c>
    </row>
    <row r="107">
      <c r="A107" s="8" t="s">
        <v>474</v>
      </c>
      <c r="B107" s="9">
        <v>25.0</v>
      </c>
      <c r="C107" s="9" t="s">
        <v>460</v>
      </c>
      <c r="D107" s="9">
        <v>25.0</v>
      </c>
      <c r="E107" s="10">
        <v>2.0</v>
      </c>
      <c r="F107" s="9">
        <v>5.0</v>
      </c>
      <c r="G107" s="9">
        <v>0.0</v>
      </c>
      <c r="H107" s="9">
        <v>1.0</v>
      </c>
      <c r="I107" s="9">
        <v>0.0</v>
      </c>
      <c r="J107" s="17">
        <v>23366.0</v>
      </c>
      <c r="K107" s="18">
        <v>16347.2</v>
      </c>
      <c r="L107" s="17">
        <v>19157.0</v>
      </c>
      <c r="M107" s="18">
        <v>16603.5</v>
      </c>
      <c r="N107" s="18">
        <v>13.3295</v>
      </c>
      <c r="O107" s="18">
        <v>3600.0</v>
      </c>
    </row>
    <row r="108">
      <c r="A108" s="8" t="s">
        <v>475</v>
      </c>
      <c r="B108" s="9">
        <v>25.0</v>
      </c>
      <c r="C108" s="9" t="s">
        <v>460</v>
      </c>
      <c r="D108" s="9">
        <v>50.0</v>
      </c>
      <c r="E108" s="10">
        <v>0.6</v>
      </c>
      <c r="F108" s="9">
        <v>1.0</v>
      </c>
      <c r="G108" s="9">
        <v>0.0</v>
      </c>
      <c r="H108" s="9">
        <v>1.0</v>
      </c>
      <c r="I108" s="9">
        <v>0.0</v>
      </c>
      <c r="J108" s="17">
        <v>-2239.0</v>
      </c>
      <c r="K108" s="18">
        <v>-7804.77</v>
      </c>
      <c r="L108" s="17">
        <v>-3035.0</v>
      </c>
      <c r="M108" s="18">
        <v>-7341.51</v>
      </c>
      <c r="N108" s="18">
        <v>141.895</v>
      </c>
      <c r="O108" s="18">
        <v>3600.0</v>
      </c>
    </row>
    <row r="109">
      <c r="A109" s="8" t="s">
        <v>476</v>
      </c>
      <c r="B109" s="9">
        <v>25.0</v>
      </c>
      <c r="C109" s="9" t="s">
        <v>460</v>
      </c>
      <c r="D109" s="9">
        <v>50.0</v>
      </c>
      <c r="E109" s="10">
        <v>0.6</v>
      </c>
      <c r="F109" s="9">
        <v>2.0</v>
      </c>
      <c r="G109" s="9">
        <v>0.0</v>
      </c>
      <c r="H109" s="9">
        <v>1.0</v>
      </c>
      <c r="I109" s="9">
        <v>0.0</v>
      </c>
      <c r="J109" s="17">
        <v>-2135.0</v>
      </c>
      <c r="K109" s="18">
        <v>-7449.0</v>
      </c>
      <c r="L109" s="17">
        <v>-2932.0</v>
      </c>
      <c r="M109" s="18">
        <v>-6777.96</v>
      </c>
      <c r="N109" s="18">
        <v>131.172</v>
      </c>
      <c r="O109" s="18">
        <v>3600.0</v>
      </c>
    </row>
    <row r="110">
      <c r="A110" s="8" t="s">
        <v>477</v>
      </c>
      <c r="B110" s="9">
        <v>25.0</v>
      </c>
      <c r="C110" s="9" t="s">
        <v>460</v>
      </c>
      <c r="D110" s="9">
        <v>50.0</v>
      </c>
      <c r="E110" s="10">
        <v>0.6</v>
      </c>
      <c r="F110" s="9">
        <v>3.0</v>
      </c>
      <c r="G110" s="9">
        <v>0.0</v>
      </c>
      <c r="H110" s="9">
        <v>1.0</v>
      </c>
      <c r="I110" s="9">
        <v>0.0</v>
      </c>
      <c r="J110" s="17">
        <v>-2101.0</v>
      </c>
      <c r="K110" s="18">
        <v>-6963.93</v>
      </c>
      <c r="L110" s="17">
        <v>-2630.0</v>
      </c>
      <c r="M110" s="18">
        <v>-6443.9</v>
      </c>
      <c r="N110" s="18">
        <v>145.015</v>
      </c>
      <c r="O110" s="18">
        <v>3600.0</v>
      </c>
    </row>
    <row r="111">
      <c r="A111" s="8" t="s">
        <v>478</v>
      </c>
      <c r="B111" s="9">
        <v>25.0</v>
      </c>
      <c r="C111" s="9" t="s">
        <v>460</v>
      </c>
      <c r="D111" s="9">
        <v>50.0</v>
      </c>
      <c r="E111" s="10">
        <v>0.6</v>
      </c>
      <c r="F111" s="9">
        <v>4.0</v>
      </c>
      <c r="G111" s="9">
        <v>0.0</v>
      </c>
      <c r="H111" s="9">
        <v>1.0</v>
      </c>
      <c r="I111" s="9">
        <v>0.0</v>
      </c>
      <c r="J111" s="17">
        <v>-2099.0</v>
      </c>
      <c r="K111" s="18">
        <v>-7555.0</v>
      </c>
      <c r="L111" s="17">
        <v>-2828.0</v>
      </c>
      <c r="M111" s="18">
        <v>-6997.62</v>
      </c>
      <c r="N111" s="18">
        <v>147.44</v>
      </c>
      <c r="O111" s="18">
        <v>3600.0</v>
      </c>
    </row>
    <row r="112">
      <c r="A112" s="8" t="s">
        <v>479</v>
      </c>
      <c r="B112" s="9">
        <v>25.0</v>
      </c>
      <c r="C112" s="9" t="s">
        <v>460</v>
      </c>
      <c r="D112" s="9">
        <v>50.0</v>
      </c>
      <c r="E112" s="10">
        <v>0.6</v>
      </c>
      <c r="F112" s="9">
        <v>5.0</v>
      </c>
      <c r="G112" s="9">
        <v>0.0</v>
      </c>
      <c r="H112" s="9">
        <v>1.0</v>
      </c>
      <c r="I112" s="9">
        <v>0.0</v>
      </c>
      <c r="J112" s="17">
        <v>-1679.0</v>
      </c>
      <c r="K112" s="18">
        <v>-7662.0</v>
      </c>
      <c r="L112" s="17">
        <v>-3154.0</v>
      </c>
      <c r="M112" s="18">
        <v>-6850.64</v>
      </c>
      <c r="N112" s="18">
        <v>117.205</v>
      </c>
      <c r="O112" s="18">
        <v>3600.0</v>
      </c>
    </row>
    <row r="113">
      <c r="A113" s="8" t="s">
        <v>480</v>
      </c>
      <c r="B113" s="9">
        <v>25.0</v>
      </c>
      <c r="C113" s="9" t="s">
        <v>460</v>
      </c>
      <c r="D113" s="9">
        <v>50.0</v>
      </c>
      <c r="E113" s="10">
        <v>1.0</v>
      </c>
      <c r="F113" s="9">
        <v>1.0</v>
      </c>
      <c r="G113" s="9">
        <v>0.0</v>
      </c>
      <c r="H113" s="9">
        <v>1.0</v>
      </c>
      <c r="I113" s="9">
        <v>0.0</v>
      </c>
      <c r="J113" s="17">
        <v>1624.0</v>
      </c>
      <c r="K113" s="18">
        <v>-5460.52</v>
      </c>
      <c r="L113" s="17">
        <v>741.0</v>
      </c>
      <c r="M113" s="18">
        <v>-4911.95</v>
      </c>
      <c r="N113" s="18">
        <v>762.882</v>
      </c>
      <c r="O113" s="18">
        <v>3600.0</v>
      </c>
    </row>
    <row r="114">
      <c r="A114" s="8" t="s">
        <v>481</v>
      </c>
      <c r="B114" s="9">
        <v>25.0</v>
      </c>
      <c r="C114" s="9" t="s">
        <v>460</v>
      </c>
      <c r="D114" s="9">
        <v>50.0</v>
      </c>
      <c r="E114" s="10">
        <v>1.0</v>
      </c>
      <c r="F114" s="9">
        <v>2.0</v>
      </c>
      <c r="G114" s="9">
        <v>0.0</v>
      </c>
      <c r="H114" s="9">
        <v>1.0</v>
      </c>
      <c r="I114" s="9">
        <v>0.0</v>
      </c>
      <c r="J114" s="17">
        <v>1560.0</v>
      </c>
      <c r="K114" s="18">
        <v>-5207.0</v>
      </c>
      <c r="L114" s="17">
        <v>755.0</v>
      </c>
      <c r="M114" s="18">
        <v>-4445.3</v>
      </c>
      <c r="N114" s="18">
        <v>688.782</v>
      </c>
      <c r="O114" s="18">
        <v>3600.0</v>
      </c>
    </row>
    <row r="115">
      <c r="A115" s="8" t="s">
        <v>482</v>
      </c>
      <c r="B115" s="9">
        <v>25.0</v>
      </c>
      <c r="C115" s="9" t="s">
        <v>460</v>
      </c>
      <c r="D115" s="9">
        <v>50.0</v>
      </c>
      <c r="E115" s="10">
        <v>1.0</v>
      </c>
      <c r="F115" s="9">
        <v>3.0</v>
      </c>
      <c r="G115" s="9">
        <v>0.0</v>
      </c>
      <c r="H115" s="9">
        <v>1.0</v>
      </c>
      <c r="I115" s="9">
        <v>0.0</v>
      </c>
      <c r="J115" s="17">
        <v>1446.0</v>
      </c>
      <c r="K115" s="18">
        <v>-4870.36</v>
      </c>
      <c r="L115" s="17">
        <v>495.0</v>
      </c>
      <c r="M115" s="18">
        <v>-4251.16</v>
      </c>
      <c r="N115" s="18">
        <v>958.821</v>
      </c>
      <c r="O115" s="18">
        <v>3600.0</v>
      </c>
    </row>
    <row r="116">
      <c r="A116" s="8" t="s">
        <v>483</v>
      </c>
      <c r="B116" s="9">
        <v>25.0</v>
      </c>
      <c r="C116" s="9" t="s">
        <v>460</v>
      </c>
      <c r="D116" s="9">
        <v>50.0</v>
      </c>
      <c r="E116" s="10">
        <v>1.0</v>
      </c>
      <c r="F116" s="9">
        <v>4.0</v>
      </c>
      <c r="G116" s="9">
        <v>0.0</v>
      </c>
      <c r="H116" s="9">
        <v>1.0</v>
      </c>
      <c r="I116" s="9">
        <v>0.0</v>
      </c>
      <c r="J116" s="17">
        <v>1842.0</v>
      </c>
      <c r="K116" s="18">
        <v>-5283.13</v>
      </c>
      <c r="L116" s="17">
        <v>422.0</v>
      </c>
      <c r="M116" s="18">
        <v>-4626.87</v>
      </c>
      <c r="N116" s="18">
        <v>1196.42</v>
      </c>
      <c r="O116" s="18">
        <v>3600.0</v>
      </c>
    </row>
    <row r="117">
      <c r="A117" s="8" t="s">
        <v>484</v>
      </c>
      <c r="B117" s="9">
        <v>25.0</v>
      </c>
      <c r="C117" s="9" t="s">
        <v>460</v>
      </c>
      <c r="D117" s="9">
        <v>50.0</v>
      </c>
      <c r="E117" s="10">
        <v>1.0</v>
      </c>
      <c r="F117" s="9">
        <v>5.0</v>
      </c>
      <c r="G117" s="9">
        <v>0.0</v>
      </c>
      <c r="H117" s="9">
        <v>1.0</v>
      </c>
      <c r="I117" s="9">
        <v>0.0</v>
      </c>
      <c r="J117" s="17">
        <v>1174.0</v>
      </c>
      <c r="K117" s="18">
        <v>-5371.15</v>
      </c>
      <c r="L117" s="17">
        <v>499.0</v>
      </c>
      <c r="M117" s="18">
        <v>-4503.8</v>
      </c>
      <c r="N117" s="18">
        <v>1002.57</v>
      </c>
      <c r="O117" s="18">
        <v>3600.0</v>
      </c>
    </row>
    <row r="118">
      <c r="A118" s="8" t="s">
        <v>485</v>
      </c>
      <c r="B118" s="9">
        <v>25.0</v>
      </c>
      <c r="C118" s="9" t="s">
        <v>460</v>
      </c>
      <c r="D118" s="9">
        <v>50.0</v>
      </c>
      <c r="E118" s="10">
        <v>2.0</v>
      </c>
      <c r="F118" s="9">
        <v>1.0</v>
      </c>
      <c r="G118" s="9">
        <v>0.0</v>
      </c>
      <c r="H118" s="9">
        <v>1.0</v>
      </c>
      <c r="I118" s="9">
        <v>0.0</v>
      </c>
      <c r="J118" s="17">
        <v>70691.0</v>
      </c>
      <c r="K118" s="18">
        <v>31640.0</v>
      </c>
      <c r="L118" s="17">
        <v>36269.0</v>
      </c>
      <c r="M118" s="18">
        <v>31718.7</v>
      </c>
      <c r="N118" s="18">
        <v>12.5458</v>
      </c>
      <c r="O118" s="18">
        <v>3600.0</v>
      </c>
    </row>
    <row r="119">
      <c r="A119" s="8" t="s">
        <v>486</v>
      </c>
      <c r="B119" s="9">
        <v>25.0</v>
      </c>
      <c r="C119" s="9" t="s">
        <v>460</v>
      </c>
      <c r="D119" s="9">
        <v>50.0</v>
      </c>
      <c r="E119" s="10">
        <v>2.0</v>
      </c>
      <c r="F119" s="9">
        <v>2.0</v>
      </c>
      <c r="G119" s="9">
        <v>0.0</v>
      </c>
      <c r="H119" s="9">
        <v>1.0</v>
      </c>
      <c r="I119" s="9">
        <v>0.0</v>
      </c>
      <c r="J119" s="17">
        <v>45684.0</v>
      </c>
      <c r="K119" s="18">
        <v>34006.0</v>
      </c>
      <c r="L119" s="17">
        <v>37996.0</v>
      </c>
      <c r="M119" s="18">
        <v>34302.0</v>
      </c>
      <c r="N119" s="18">
        <v>9.72208</v>
      </c>
      <c r="O119" s="18">
        <v>3600.0</v>
      </c>
    </row>
    <row r="120">
      <c r="A120" s="8" t="s">
        <v>487</v>
      </c>
      <c r="B120" s="9">
        <v>25.0</v>
      </c>
      <c r="C120" s="9" t="s">
        <v>460</v>
      </c>
      <c r="D120" s="9">
        <v>50.0</v>
      </c>
      <c r="E120" s="10">
        <v>2.0</v>
      </c>
      <c r="F120" s="9">
        <v>3.0</v>
      </c>
      <c r="G120" s="9">
        <v>0.0</v>
      </c>
      <c r="H120" s="9">
        <v>1.0</v>
      </c>
      <c r="I120" s="9">
        <v>0.0</v>
      </c>
      <c r="J120" s="17">
        <v>39563.0</v>
      </c>
      <c r="K120" s="18">
        <v>27974.0</v>
      </c>
      <c r="L120" s="17">
        <v>35467.0</v>
      </c>
      <c r="M120" s="18">
        <v>28534.8</v>
      </c>
      <c r="N120" s="18">
        <v>19.5455</v>
      </c>
      <c r="O120" s="18">
        <v>3600.0</v>
      </c>
    </row>
    <row r="121">
      <c r="A121" s="8" t="s">
        <v>488</v>
      </c>
      <c r="B121" s="9">
        <v>25.0</v>
      </c>
      <c r="C121" s="9" t="s">
        <v>460</v>
      </c>
      <c r="D121" s="9">
        <v>50.0</v>
      </c>
      <c r="E121" s="10">
        <v>2.0</v>
      </c>
      <c r="F121" s="9">
        <v>4.0</v>
      </c>
      <c r="G121" s="9">
        <v>0.0</v>
      </c>
      <c r="H121" s="9">
        <v>1.0</v>
      </c>
      <c r="I121" s="9">
        <v>0.0</v>
      </c>
      <c r="J121" s="17">
        <v>39153.0</v>
      </c>
      <c r="K121" s="18">
        <v>30549.4</v>
      </c>
      <c r="L121" s="17">
        <v>38621.0</v>
      </c>
      <c r="M121" s="18">
        <v>31468.4</v>
      </c>
      <c r="N121" s="18">
        <v>18.52</v>
      </c>
      <c r="O121" s="18">
        <v>3600.0</v>
      </c>
    </row>
    <row r="122">
      <c r="A122" s="8" t="s">
        <v>489</v>
      </c>
      <c r="B122" s="9">
        <v>25.0</v>
      </c>
      <c r="C122" s="9" t="s">
        <v>460</v>
      </c>
      <c r="D122" s="9">
        <v>50.0</v>
      </c>
      <c r="E122" s="10">
        <v>2.0</v>
      </c>
      <c r="F122" s="9">
        <v>5.0</v>
      </c>
      <c r="G122" s="9">
        <v>0.0</v>
      </c>
      <c r="H122" s="9">
        <v>1.0</v>
      </c>
      <c r="I122" s="9">
        <v>0.0</v>
      </c>
      <c r="J122" s="17">
        <v>43415.0</v>
      </c>
      <c r="K122" s="18">
        <v>30384.3</v>
      </c>
      <c r="L122" s="17">
        <v>35714.0</v>
      </c>
      <c r="M122" s="18">
        <v>31063.8</v>
      </c>
      <c r="N122" s="18">
        <v>13.0207</v>
      </c>
      <c r="O122" s="18">
        <v>3600.0</v>
      </c>
    </row>
    <row r="123">
      <c r="A123" s="8" t="s">
        <v>490</v>
      </c>
      <c r="B123" s="9">
        <v>25.0</v>
      </c>
      <c r="C123" s="9" t="s">
        <v>460</v>
      </c>
      <c r="D123" s="9">
        <v>75.0</v>
      </c>
      <c r="E123" s="10">
        <v>0.6</v>
      </c>
      <c r="F123" s="9">
        <v>1.0</v>
      </c>
      <c r="G123" s="9">
        <v>0.0</v>
      </c>
      <c r="H123" s="9">
        <v>1.0</v>
      </c>
      <c r="I123" s="9">
        <v>0.0</v>
      </c>
      <c r="J123" s="17">
        <v>-2569.0</v>
      </c>
      <c r="K123" s="18">
        <v>-10675.0</v>
      </c>
      <c r="L123" s="17">
        <v>-3779.0</v>
      </c>
      <c r="M123" s="18">
        <v>-10082.3</v>
      </c>
      <c r="N123" s="18">
        <v>166.798</v>
      </c>
      <c r="O123" s="18">
        <v>3600.0</v>
      </c>
    </row>
    <row r="124">
      <c r="A124" s="8" t="s">
        <v>491</v>
      </c>
      <c r="B124" s="9">
        <v>25.0</v>
      </c>
      <c r="C124" s="9" t="s">
        <v>460</v>
      </c>
      <c r="D124" s="9">
        <v>75.0</v>
      </c>
      <c r="E124" s="10">
        <v>0.6</v>
      </c>
      <c r="F124" s="9">
        <v>2.0</v>
      </c>
      <c r="G124" s="9">
        <v>0.0</v>
      </c>
      <c r="H124" s="9">
        <v>1.0</v>
      </c>
      <c r="I124" s="9">
        <v>0.0</v>
      </c>
      <c r="J124" s="17">
        <v>-3398.0</v>
      </c>
      <c r="K124" s="18">
        <v>-10707.8</v>
      </c>
      <c r="L124" s="17">
        <v>-3761.0</v>
      </c>
      <c r="M124" s="18">
        <v>-9891.28</v>
      </c>
      <c r="N124" s="18">
        <v>162.996</v>
      </c>
      <c r="O124" s="18">
        <v>3600.0</v>
      </c>
    </row>
    <row r="125">
      <c r="A125" s="8" t="s">
        <v>492</v>
      </c>
      <c r="B125" s="9">
        <v>25.0</v>
      </c>
      <c r="C125" s="9" t="s">
        <v>460</v>
      </c>
      <c r="D125" s="9">
        <v>75.0</v>
      </c>
      <c r="E125" s="10">
        <v>0.6</v>
      </c>
      <c r="F125" s="9">
        <v>3.0</v>
      </c>
      <c r="G125" s="9">
        <v>0.0</v>
      </c>
      <c r="H125" s="9">
        <v>1.0</v>
      </c>
      <c r="I125" s="9">
        <v>0.0</v>
      </c>
      <c r="J125" s="17">
        <v>-2244.0</v>
      </c>
      <c r="K125" s="18">
        <v>-10803.0</v>
      </c>
      <c r="L125" s="17">
        <v>-3333.0</v>
      </c>
      <c r="M125" s="18">
        <v>-10089.5</v>
      </c>
      <c r="N125" s="18">
        <v>202.717</v>
      </c>
      <c r="O125" s="18">
        <v>3600.0</v>
      </c>
    </row>
    <row r="126">
      <c r="A126" s="8" t="s">
        <v>493</v>
      </c>
      <c r="B126" s="9">
        <v>25.0</v>
      </c>
      <c r="C126" s="9" t="s">
        <v>460</v>
      </c>
      <c r="D126" s="9">
        <v>75.0</v>
      </c>
      <c r="E126" s="10">
        <v>0.6</v>
      </c>
      <c r="F126" s="9">
        <v>4.0</v>
      </c>
      <c r="G126" s="9">
        <v>0.0</v>
      </c>
      <c r="H126" s="9">
        <v>1.0</v>
      </c>
      <c r="I126" s="9">
        <v>0.0</v>
      </c>
      <c r="J126" s="17">
        <v>-3669.0</v>
      </c>
      <c r="K126" s="18">
        <v>-11918.7</v>
      </c>
      <c r="L126" s="17">
        <v>-3952.0</v>
      </c>
      <c r="M126" s="18">
        <v>-11307.8</v>
      </c>
      <c r="N126" s="18">
        <v>186.127</v>
      </c>
      <c r="O126" s="18">
        <v>3600.0</v>
      </c>
    </row>
    <row r="127">
      <c r="A127" s="8" t="s">
        <v>494</v>
      </c>
      <c r="B127" s="9">
        <v>25.0</v>
      </c>
      <c r="C127" s="9" t="s">
        <v>460</v>
      </c>
      <c r="D127" s="9">
        <v>75.0</v>
      </c>
      <c r="E127" s="10">
        <v>0.6</v>
      </c>
      <c r="F127" s="9">
        <v>5.0</v>
      </c>
      <c r="G127" s="9">
        <v>0.0</v>
      </c>
      <c r="H127" s="9">
        <v>1.0</v>
      </c>
      <c r="I127" s="9">
        <v>0.0</v>
      </c>
      <c r="J127" s="17">
        <v>-2914.0</v>
      </c>
      <c r="K127" s="18">
        <v>-11037.8</v>
      </c>
      <c r="L127" s="17">
        <v>-3762.0</v>
      </c>
      <c r="M127" s="18">
        <v>-10265.7</v>
      </c>
      <c r="N127" s="18">
        <v>172.879</v>
      </c>
      <c r="O127" s="18">
        <v>3600.0</v>
      </c>
    </row>
    <row r="128">
      <c r="A128" s="8" t="s">
        <v>495</v>
      </c>
      <c r="B128" s="9">
        <v>25.0</v>
      </c>
      <c r="C128" s="9" t="s">
        <v>460</v>
      </c>
      <c r="D128" s="9">
        <v>75.0</v>
      </c>
      <c r="E128" s="10">
        <v>1.0</v>
      </c>
      <c r="F128" s="9">
        <v>1.0</v>
      </c>
      <c r="G128" s="9">
        <v>0.0</v>
      </c>
      <c r="H128" s="9">
        <v>1.0</v>
      </c>
      <c r="I128" s="9">
        <v>0.0</v>
      </c>
      <c r="J128" s="17">
        <v>2439.0</v>
      </c>
      <c r="K128" s="18">
        <v>-7474.89</v>
      </c>
      <c r="L128" s="17">
        <v>1686.0</v>
      </c>
      <c r="M128" s="18">
        <v>-6678.86</v>
      </c>
      <c r="N128" s="18">
        <v>496.136</v>
      </c>
      <c r="O128" s="18">
        <v>3600.0</v>
      </c>
    </row>
    <row r="129">
      <c r="A129" s="8" t="s">
        <v>496</v>
      </c>
      <c r="B129" s="9">
        <v>25.0</v>
      </c>
      <c r="C129" s="9" t="s">
        <v>460</v>
      </c>
      <c r="D129" s="9">
        <v>75.0</v>
      </c>
      <c r="E129" s="10">
        <v>1.0</v>
      </c>
      <c r="F129" s="9">
        <v>2.0</v>
      </c>
      <c r="G129" s="9">
        <v>0.0</v>
      </c>
      <c r="H129" s="9">
        <v>1.0</v>
      </c>
      <c r="I129" s="9">
        <v>0.0</v>
      </c>
      <c r="J129" s="17">
        <v>2390.0</v>
      </c>
      <c r="K129" s="18">
        <v>-7495.98</v>
      </c>
      <c r="L129" s="17">
        <v>1523.0</v>
      </c>
      <c r="M129" s="18">
        <v>-6873.92</v>
      </c>
      <c r="N129" s="18">
        <v>551.341</v>
      </c>
      <c r="O129" s="18">
        <v>3600.0</v>
      </c>
    </row>
    <row r="130">
      <c r="A130" s="8" t="s">
        <v>497</v>
      </c>
      <c r="B130" s="9">
        <v>25.0</v>
      </c>
      <c r="C130" s="9" t="s">
        <v>460</v>
      </c>
      <c r="D130" s="9">
        <v>75.0</v>
      </c>
      <c r="E130" s="10">
        <v>1.0</v>
      </c>
      <c r="F130" s="9">
        <v>3.0</v>
      </c>
      <c r="G130" s="9">
        <v>0.0</v>
      </c>
      <c r="H130" s="9">
        <v>1.0</v>
      </c>
      <c r="I130" s="9">
        <v>0.0</v>
      </c>
      <c r="J130" s="17">
        <v>2767.0</v>
      </c>
      <c r="K130" s="18">
        <v>-7563.43</v>
      </c>
      <c r="L130" s="17">
        <v>1947.0</v>
      </c>
      <c r="M130" s="18">
        <v>-6708.17</v>
      </c>
      <c r="N130" s="18">
        <v>444.539</v>
      </c>
      <c r="O130" s="18">
        <v>3600.0</v>
      </c>
    </row>
    <row r="131">
      <c r="A131" s="8" t="s">
        <v>498</v>
      </c>
      <c r="B131" s="9">
        <v>25.0</v>
      </c>
      <c r="C131" s="9" t="s">
        <v>460</v>
      </c>
      <c r="D131" s="9">
        <v>75.0</v>
      </c>
      <c r="E131" s="10">
        <v>1.0</v>
      </c>
      <c r="F131" s="9">
        <v>4.0</v>
      </c>
      <c r="G131" s="9">
        <v>0.0</v>
      </c>
      <c r="H131" s="9">
        <v>1.0</v>
      </c>
      <c r="I131" s="9">
        <v>0.0</v>
      </c>
      <c r="J131" s="17">
        <v>2939.0</v>
      </c>
      <c r="K131" s="18">
        <v>-8344.67</v>
      </c>
      <c r="L131" s="17">
        <v>1910.0</v>
      </c>
      <c r="M131" s="18">
        <v>-7492.56</v>
      </c>
      <c r="N131" s="18">
        <v>492.281</v>
      </c>
      <c r="O131" s="18">
        <v>3600.0</v>
      </c>
    </row>
    <row r="132">
      <c r="A132" s="8" t="s">
        <v>499</v>
      </c>
      <c r="B132" s="9">
        <v>25.0</v>
      </c>
      <c r="C132" s="9" t="s">
        <v>460</v>
      </c>
      <c r="D132" s="9">
        <v>75.0</v>
      </c>
      <c r="E132" s="10">
        <v>1.0</v>
      </c>
      <c r="F132" s="9">
        <v>5.0</v>
      </c>
      <c r="G132" s="9">
        <v>0.0</v>
      </c>
      <c r="H132" s="9">
        <v>1.0</v>
      </c>
      <c r="I132" s="9">
        <v>0.0</v>
      </c>
      <c r="J132" s="17">
        <v>3083.0</v>
      </c>
      <c r="K132" s="18">
        <v>-7737.39</v>
      </c>
      <c r="L132" s="17">
        <v>1427.0</v>
      </c>
      <c r="M132" s="18">
        <v>-6818.67</v>
      </c>
      <c r="N132" s="18">
        <v>577.833</v>
      </c>
      <c r="O132" s="18">
        <v>3600.0</v>
      </c>
    </row>
    <row r="133">
      <c r="A133" s="8" t="s">
        <v>500</v>
      </c>
      <c r="B133" s="9">
        <v>25.0</v>
      </c>
      <c r="C133" s="9" t="s">
        <v>460</v>
      </c>
      <c r="D133" s="9">
        <v>75.0</v>
      </c>
      <c r="E133" s="10">
        <v>2.0</v>
      </c>
      <c r="F133" s="9">
        <v>1.0</v>
      </c>
      <c r="G133" s="9">
        <v>0.0</v>
      </c>
      <c r="H133" s="9">
        <v>1.0</v>
      </c>
      <c r="I133" s="9">
        <v>0.0</v>
      </c>
      <c r="J133" s="17">
        <v>102018.0</v>
      </c>
      <c r="K133" s="18">
        <v>47549.0</v>
      </c>
      <c r="L133" s="17">
        <v>54904.0</v>
      </c>
      <c r="M133" s="18">
        <v>48114.0</v>
      </c>
      <c r="N133" s="18">
        <v>12.367</v>
      </c>
      <c r="O133" s="18">
        <v>3600.0</v>
      </c>
    </row>
    <row r="134">
      <c r="A134" s="8" t="s">
        <v>501</v>
      </c>
      <c r="B134" s="9">
        <v>25.0</v>
      </c>
      <c r="C134" s="9" t="s">
        <v>460</v>
      </c>
      <c r="D134" s="9">
        <v>75.0</v>
      </c>
      <c r="E134" s="10">
        <v>2.0</v>
      </c>
      <c r="F134" s="9">
        <v>2.0</v>
      </c>
      <c r="G134" s="9">
        <v>0.0</v>
      </c>
      <c r="H134" s="9">
        <v>1.0</v>
      </c>
      <c r="I134" s="9">
        <v>0.0</v>
      </c>
      <c r="J134" s="17">
        <v>65879.0</v>
      </c>
      <c r="K134" s="18">
        <v>48126.0</v>
      </c>
      <c r="L134" s="17">
        <v>55010.0</v>
      </c>
      <c r="M134" s="18">
        <v>48606.0</v>
      </c>
      <c r="N134" s="18">
        <v>11.6415</v>
      </c>
      <c r="O134" s="18">
        <v>3600.0</v>
      </c>
    </row>
    <row r="135">
      <c r="A135" s="8" t="s">
        <v>502</v>
      </c>
      <c r="B135" s="9">
        <v>25.0</v>
      </c>
      <c r="C135" s="9" t="s">
        <v>460</v>
      </c>
      <c r="D135" s="9">
        <v>75.0</v>
      </c>
      <c r="E135" s="10">
        <v>2.0</v>
      </c>
      <c r="F135" s="9">
        <v>3.0</v>
      </c>
      <c r="G135" s="9">
        <v>0.0</v>
      </c>
      <c r="H135" s="9">
        <v>1.0</v>
      </c>
      <c r="I135" s="9">
        <v>0.0</v>
      </c>
      <c r="J135" s="17">
        <v>82302.0</v>
      </c>
      <c r="K135" s="18">
        <v>43063.0</v>
      </c>
      <c r="L135" s="17">
        <v>55621.0</v>
      </c>
      <c r="M135" s="18">
        <v>44063.7</v>
      </c>
      <c r="N135" s="18">
        <v>20.7787</v>
      </c>
      <c r="O135" s="18">
        <v>3600.0</v>
      </c>
    </row>
    <row r="136">
      <c r="A136" s="8" t="s">
        <v>503</v>
      </c>
      <c r="B136" s="9">
        <v>25.0</v>
      </c>
      <c r="C136" s="9" t="s">
        <v>460</v>
      </c>
      <c r="D136" s="9">
        <v>75.0</v>
      </c>
      <c r="E136" s="10">
        <v>2.0</v>
      </c>
      <c r="F136" s="9">
        <v>4.0</v>
      </c>
      <c r="G136" s="9">
        <v>0.0</v>
      </c>
      <c r="H136" s="9">
        <v>1.0</v>
      </c>
      <c r="I136" s="9">
        <v>0.0</v>
      </c>
      <c r="J136" s="17">
        <v>61507.0</v>
      </c>
      <c r="K136" s="18">
        <v>46564.2</v>
      </c>
      <c r="L136" s="17">
        <v>61387.0</v>
      </c>
      <c r="M136" s="18">
        <v>47545.1</v>
      </c>
      <c r="N136" s="18">
        <v>22.5485</v>
      </c>
      <c r="O136" s="18">
        <v>3600.0</v>
      </c>
    </row>
    <row r="137">
      <c r="A137" s="8" t="s">
        <v>504</v>
      </c>
      <c r="B137" s="9">
        <v>25.0</v>
      </c>
      <c r="C137" s="9" t="s">
        <v>460</v>
      </c>
      <c r="D137" s="9">
        <v>75.0</v>
      </c>
      <c r="E137" s="10">
        <v>2.0</v>
      </c>
      <c r="F137" s="9">
        <v>5.0</v>
      </c>
      <c r="G137" s="9">
        <v>0.0</v>
      </c>
      <c r="H137" s="9">
        <v>1.0</v>
      </c>
      <c r="I137" s="9">
        <v>0.0</v>
      </c>
      <c r="J137" s="17">
        <v>62401.0</v>
      </c>
      <c r="K137" s="18">
        <v>44244.0</v>
      </c>
      <c r="L137" s="17">
        <v>56694.0</v>
      </c>
      <c r="M137" s="18">
        <v>47851.6</v>
      </c>
      <c r="N137" s="18">
        <v>15.5967</v>
      </c>
      <c r="O137" s="18">
        <v>3600.0</v>
      </c>
    </row>
    <row r="138">
      <c r="A138" s="4"/>
      <c r="B138" s="19"/>
      <c r="C138" s="19"/>
      <c r="D138" s="19"/>
      <c r="E138" s="15"/>
      <c r="F138" s="19"/>
      <c r="G138" s="19"/>
      <c r="H138" s="19"/>
      <c r="I138" s="19"/>
      <c r="J138" s="20"/>
      <c r="K138" s="13"/>
      <c r="L138" s="12"/>
      <c r="M138" s="13"/>
      <c r="N138" s="13"/>
      <c r="O138" s="13"/>
    </row>
    <row r="139">
      <c r="B139" s="19"/>
      <c r="C139" s="19"/>
      <c r="D139" s="19"/>
      <c r="E139" s="15"/>
      <c r="F139" s="11"/>
      <c r="G139" s="11"/>
      <c r="H139" s="11"/>
      <c r="I139" s="19"/>
      <c r="J139" s="20"/>
      <c r="K139" s="13"/>
      <c r="L139" s="12"/>
      <c r="M139" s="13"/>
      <c r="N139" s="13"/>
      <c r="O139" s="13"/>
    </row>
    <row r="140">
      <c r="B140" s="11"/>
      <c r="C140" s="11"/>
      <c r="D140" s="11"/>
      <c r="E140" s="15"/>
      <c r="F140" s="11"/>
      <c r="G140" s="11"/>
      <c r="H140" s="11"/>
      <c r="I140" s="11"/>
      <c r="J140" s="12"/>
      <c r="K140" s="13"/>
      <c r="L140" s="12"/>
      <c r="M140" s="13"/>
      <c r="N140" s="13"/>
      <c r="O140" s="13"/>
    </row>
    <row r="141">
      <c r="B141" s="11"/>
      <c r="C141" s="11"/>
      <c r="D141" s="11"/>
      <c r="E141" s="15"/>
      <c r="F141" s="11"/>
      <c r="G141" s="11"/>
      <c r="H141" s="11"/>
      <c r="I141" s="11"/>
      <c r="J141" s="12"/>
      <c r="K141" s="13"/>
      <c r="L141" s="12"/>
      <c r="M141" s="13"/>
      <c r="N141" s="13"/>
      <c r="O141" s="13"/>
    </row>
    <row r="142">
      <c r="B142" s="11"/>
      <c r="C142" s="11"/>
      <c r="D142" s="11"/>
      <c r="E142" s="15"/>
      <c r="F142" s="11"/>
      <c r="G142" s="11"/>
      <c r="H142" s="11"/>
      <c r="I142" s="11"/>
      <c r="J142" s="12"/>
      <c r="K142" s="13"/>
      <c r="L142" s="12"/>
      <c r="M142" s="13"/>
      <c r="N142" s="13"/>
      <c r="O142" s="13"/>
    </row>
    <row r="143">
      <c r="B143" s="11"/>
      <c r="C143" s="11"/>
      <c r="D143" s="11"/>
      <c r="E143" s="15"/>
      <c r="F143" s="11"/>
      <c r="G143" s="11"/>
      <c r="H143" s="11"/>
      <c r="I143" s="11"/>
      <c r="J143" s="12"/>
      <c r="K143" s="13"/>
      <c r="L143" s="12"/>
      <c r="M143" s="13"/>
      <c r="N143" s="13"/>
      <c r="O143" s="13"/>
    </row>
    <row r="144">
      <c r="B144" s="11"/>
      <c r="C144" s="11"/>
      <c r="D144" s="11"/>
      <c r="E144" s="15"/>
      <c r="F144" s="11"/>
      <c r="G144" s="11"/>
      <c r="H144" s="11"/>
      <c r="I144" s="11"/>
      <c r="J144" s="12"/>
      <c r="K144" s="13"/>
      <c r="L144" s="12"/>
      <c r="M144" s="13"/>
      <c r="N144" s="13"/>
      <c r="O144" s="13"/>
    </row>
    <row r="145">
      <c r="B145" s="11"/>
      <c r="C145" s="11"/>
      <c r="D145" s="11"/>
      <c r="E145" s="15"/>
      <c r="F145" s="11"/>
      <c r="G145" s="11"/>
      <c r="H145" s="11"/>
      <c r="I145" s="11"/>
      <c r="J145" s="12"/>
      <c r="K145" s="13"/>
      <c r="L145" s="12"/>
      <c r="M145" s="13"/>
      <c r="N145" s="13"/>
      <c r="O145" s="13"/>
    </row>
    <row r="146">
      <c r="B146" s="11"/>
      <c r="C146" s="11"/>
      <c r="D146" s="11"/>
      <c r="E146" s="15"/>
      <c r="F146" s="11"/>
      <c r="G146" s="11"/>
      <c r="H146" s="11"/>
      <c r="I146" s="11"/>
      <c r="J146" s="12"/>
      <c r="K146" s="13"/>
      <c r="L146" s="12"/>
      <c r="M146" s="13"/>
      <c r="N146" s="13"/>
      <c r="O146" s="13"/>
    </row>
    <row r="147">
      <c r="B147" s="11"/>
      <c r="C147" s="11"/>
      <c r="D147" s="11"/>
      <c r="E147" s="15"/>
      <c r="F147" s="11"/>
      <c r="G147" s="11"/>
      <c r="H147" s="11"/>
      <c r="I147" s="11"/>
      <c r="J147" s="12"/>
      <c r="K147" s="13"/>
      <c r="L147" s="12"/>
      <c r="M147" s="13"/>
      <c r="N147" s="13"/>
      <c r="O147" s="13"/>
    </row>
    <row r="148">
      <c r="B148" s="11"/>
      <c r="C148" s="11"/>
      <c r="D148" s="11"/>
      <c r="E148" s="15"/>
      <c r="F148" s="11"/>
      <c r="G148" s="11"/>
      <c r="H148" s="11"/>
      <c r="I148" s="11"/>
      <c r="J148" s="12"/>
      <c r="K148" s="13"/>
      <c r="L148" s="12"/>
      <c r="M148" s="13"/>
      <c r="N148" s="13"/>
      <c r="O148" s="13"/>
    </row>
    <row r="149">
      <c r="B149" s="11"/>
      <c r="C149" s="11"/>
      <c r="D149" s="11"/>
      <c r="E149" s="15"/>
      <c r="F149" s="11"/>
      <c r="G149" s="11"/>
      <c r="H149" s="11"/>
      <c r="I149" s="11"/>
      <c r="J149" s="12"/>
      <c r="K149" s="13"/>
      <c r="L149" s="12"/>
      <c r="M149" s="13"/>
      <c r="N149" s="13"/>
      <c r="O149" s="13"/>
    </row>
    <row r="150">
      <c r="B150" s="11"/>
      <c r="C150" s="11"/>
      <c r="D150" s="11"/>
      <c r="E150" s="15"/>
      <c r="F150" s="11"/>
      <c r="G150" s="11"/>
      <c r="H150" s="11"/>
      <c r="I150" s="11"/>
      <c r="J150" s="12"/>
      <c r="K150" s="13"/>
      <c r="L150" s="12"/>
      <c r="M150" s="13"/>
      <c r="N150" s="13"/>
      <c r="O150" s="13"/>
    </row>
    <row r="151">
      <c r="B151" s="11"/>
      <c r="C151" s="11"/>
      <c r="D151" s="11"/>
      <c r="E151" s="15"/>
      <c r="F151" s="11"/>
      <c r="G151" s="11"/>
      <c r="H151" s="11"/>
      <c r="I151" s="11"/>
      <c r="J151" s="12"/>
      <c r="K151" s="13"/>
      <c r="L151" s="12"/>
      <c r="M151" s="13"/>
      <c r="N151" s="13"/>
      <c r="O151" s="13"/>
    </row>
    <row r="152">
      <c r="B152" s="11"/>
      <c r="C152" s="11"/>
      <c r="D152" s="11"/>
      <c r="E152" s="15"/>
      <c r="F152" s="11"/>
      <c r="G152" s="11"/>
      <c r="H152" s="11"/>
      <c r="I152" s="11"/>
      <c r="J152" s="12"/>
      <c r="K152" s="13"/>
      <c r="L152" s="12"/>
      <c r="M152" s="13"/>
      <c r="N152" s="13"/>
      <c r="O152" s="13"/>
    </row>
    <row r="153">
      <c r="B153" s="11"/>
      <c r="C153" s="11"/>
      <c r="D153" s="11"/>
      <c r="E153" s="15"/>
      <c r="F153" s="11"/>
      <c r="G153" s="11"/>
      <c r="H153" s="11"/>
      <c r="I153" s="11"/>
      <c r="J153" s="12"/>
      <c r="K153" s="13"/>
      <c r="L153" s="12"/>
      <c r="M153" s="13"/>
      <c r="N153" s="13"/>
      <c r="O153" s="13"/>
    </row>
    <row r="154">
      <c r="B154" s="11"/>
      <c r="C154" s="11"/>
      <c r="D154" s="11"/>
      <c r="E154" s="15"/>
      <c r="F154" s="11"/>
      <c r="G154" s="11"/>
      <c r="H154" s="11"/>
      <c r="I154" s="11"/>
      <c r="J154" s="12"/>
      <c r="K154" s="13"/>
      <c r="L154" s="12"/>
      <c r="M154" s="13"/>
      <c r="N154" s="13"/>
      <c r="O154" s="13"/>
    </row>
    <row r="155">
      <c r="B155" s="11"/>
      <c r="C155" s="11"/>
      <c r="D155" s="11"/>
      <c r="E155" s="15"/>
      <c r="F155" s="11"/>
      <c r="G155" s="11"/>
      <c r="H155" s="11"/>
      <c r="I155" s="11"/>
      <c r="J155" s="12"/>
      <c r="K155" s="13"/>
      <c r="L155" s="12"/>
      <c r="M155" s="13"/>
      <c r="N155" s="13"/>
      <c r="O155" s="13"/>
    </row>
    <row r="156">
      <c r="B156" s="11"/>
      <c r="C156" s="11"/>
      <c r="D156" s="11"/>
      <c r="E156" s="15"/>
      <c r="F156" s="11"/>
      <c r="G156" s="11"/>
      <c r="H156" s="11"/>
      <c r="I156" s="11"/>
      <c r="J156" s="12"/>
      <c r="K156" s="13"/>
      <c r="L156" s="12"/>
      <c r="M156" s="13"/>
      <c r="N156" s="13"/>
      <c r="O156" s="13"/>
    </row>
    <row r="157">
      <c r="B157" s="11"/>
      <c r="C157" s="11"/>
      <c r="D157" s="11"/>
      <c r="E157" s="15"/>
      <c r="F157" s="11"/>
      <c r="G157" s="11"/>
      <c r="H157" s="11"/>
      <c r="I157" s="11"/>
      <c r="J157" s="12"/>
      <c r="K157" s="13"/>
      <c r="L157" s="12"/>
      <c r="M157" s="13"/>
      <c r="N157" s="13"/>
      <c r="O157" s="13"/>
    </row>
    <row r="158">
      <c r="B158" s="11"/>
      <c r="C158" s="11"/>
      <c r="D158" s="11"/>
      <c r="E158" s="15"/>
      <c r="F158" s="11"/>
      <c r="G158" s="11"/>
      <c r="H158" s="11"/>
      <c r="I158" s="11"/>
      <c r="J158" s="12"/>
      <c r="K158" s="13"/>
      <c r="L158" s="12"/>
      <c r="M158" s="13"/>
      <c r="N158" s="13"/>
      <c r="O158" s="13"/>
    </row>
    <row r="159">
      <c r="B159" s="11"/>
      <c r="C159" s="11"/>
      <c r="D159" s="11"/>
      <c r="E159" s="15"/>
      <c r="F159" s="11"/>
      <c r="G159" s="11"/>
      <c r="H159" s="11"/>
      <c r="I159" s="11"/>
      <c r="J159" s="12"/>
      <c r="K159" s="13"/>
      <c r="L159" s="12"/>
      <c r="M159" s="13"/>
      <c r="N159" s="13"/>
      <c r="O159" s="13"/>
    </row>
    <row r="160">
      <c r="B160" s="11"/>
      <c r="C160" s="11"/>
      <c r="D160" s="11"/>
      <c r="E160" s="15"/>
      <c r="F160" s="11"/>
      <c r="G160" s="11"/>
      <c r="H160" s="11"/>
      <c r="I160" s="11"/>
      <c r="J160" s="12"/>
      <c r="K160" s="13"/>
      <c r="L160" s="12"/>
      <c r="M160" s="13"/>
      <c r="N160" s="13"/>
      <c r="O160" s="13"/>
    </row>
    <row r="161">
      <c r="B161" s="11"/>
      <c r="C161" s="11"/>
      <c r="D161" s="11"/>
      <c r="E161" s="15"/>
      <c r="F161" s="11"/>
      <c r="G161" s="11"/>
      <c r="H161" s="11"/>
      <c r="I161" s="11"/>
      <c r="J161" s="12"/>
      <c r="K161" s="13"/>
      <c r="L161" s="12"/>
      <c r="M161" s="13"/>
      <c r="N161" s="13"/>
      <c r="O161" s="13"/>
    </row>
    <row r="162">
      <c r="B162" s="11"/>
      <c r="C162" s="11"/>
      <c r="D162" s="11"/>
      <c r="E162" s="15"/>
      <c r="F162" s="11"/>
      <c r="G162" s="11"/>
      <c r="H162" s="11"/>
      <c r="I162" s="11"/>
      <c r="J162" s="12"/>
      <c r="K162" s="13"/>
      <c r="L162" s="12"/>
      <c r="M162" s="13"/>
      <c r="N162" s="13"/>
      <c r="O162" s="13"/>
    </row>
    <row r="163">
      <c r="B163" s="11"/>
      <c r="C163" s="11"/>
      <c r="D163" s="11"/>
      <c r="E163" s="15"/>
      <c r="F163" s="11"/>
      <c r="G163" s="11"/>
      <c r="H163" s="11"/>
      <c r="I163" s="11"/>
      <c r="J163" s="12"/>
      <c r="K163" s="13"/>
      <c r="L163" s="12"/>
      <c r="M163" s="13"/>
      <c r="N163" s="13"/>
      <c r="O163" s="13"/>
    </row>
    <row r="164">
      <c r="B164" s="11"/>
      <c r="C164" s="11"/>
      <c r="D164" s="11"/>
      <c r="E164" s="15"/>
      <c r="F164" s="11"/>
      <c r="G164" s="11"/>
      <c r="H164" s="11"/>
      <c r="I164" s="11"/>
      <c r="J164" s="12"/>
      <c r="K164" s="13"/>
      <c r="L164" s="12"/>
      <c r="M164" s="13"/>
      <c r="N164" s="13"/>
      <c r="O164" s="13"/>
    </row>
    <row r="165">
      <c r="B165" s="11"/>
      <c r="C165" s="11"/>
      <c r="D165" s="11"/>
      <c r="E165" s="15"/>
      <c r="F165" s="11"/>
      <c r="G165" s="11"/>
      <c r="H165" s="11"/>
      <c r="I165" s="11"/>
      <c r="J165" s="12"/>
      <c r="K165" s="13"/>
      <c r="L165" s="12"/>
      <c r="M165" s="13"/>
      <c r="N165" s="13"/>
      <c r="O165" s="13"/>
    </row>
    <row r="166">
      <c r="B166" s="11"/>
      <c r="C166" s="11"/>
      <c r="D166" s="11"/>
      <c r="E166" s="15"/>
      <c r="F166" s="11"/>
      <c r="G166" s="11"/>
      <c r="H166" s="11"/>
      <c r="I166" s="11"/>
      <c r="J166" s="12"/>
      <c r="K166" s="13"/>
      <c r="L166" s="12"/>
      <c r="M166" s="13"/>
      <c r="N166" s="13"/>
      <c r="O166" s="13"/>
    </row>
    <row r="167">
      <c r="B167" s="11"/>
      <c r="C167" s="11"/>
      <c r="D167" s="11"/>
      <c r="E167" s="15"/>
      <c r="F167" s="11"/>
      <c r="G167" s="11"/>
      <c r="H167" s="11"/>
      <c r="I167" s="11"/>
      <c r="J167" s="12"/>
      <c r="K167" s="13"/>
      <c r="L167" s="12"/>
      <c r="M167" s="13"/>
      <c r="N167" s="13"/>
      <c r="O167" s="13"/>
    </row>
    <row r="168">
      <c r="B168" s="11"/>
      <c r="C168" s="11"/>
      <c r="D168" s="11"/>
      <c r="E168" s="15"/>
      <c r="F168" s="11"/>
      <c r="G168" s="11"/>
      <c r="H168" s="11"/>
      <c r="I168" s="11"/>
      <c r="J168" s="12"/>
      <c r="K168" s="13"/>
      <c r="L168" s="12"/>
      <c r="M168" s="13"/>
      <c r="N168" s="13"/>
      <c r="O168" s="13"/>
    </row>
    <row r="169">
      <c r="B169" s="11"/>
      <c r="C169" s="11"/>
      <c r="D169" s="11"/>
      <c r="E169" s="15"/>
      <c r="F169" s="11"/>
      <c r="G169" s="11"/>
      <c r="H169" s="11"/>
      <c r="I169" s="11"/>
      <c r="J169" s="12"/>
      <c r="K169" s="13"/>
      <c r="L169" s="12"/>
      <c r="M169" s="13"/>
      <c r="N169" s="13"/>
      <c r="O169" s="13"/>
    </row>
    <row r="170">
      <c r="B170" s="11"/>
      <c r="C170" s="11"/>
      <c r="D170" s="11"/>
      <c r="E170" s="15"/>
      <c r="F170" s="11"/>
      <c r="G170" s="11"/>
      <c r="H170" s="11"/>
      <c r="I170" s="11"/>
      <c r="J170" s="12"/>
      <c r="K170" s="13"/>
      <c r="L170" s="12"/>
      <c r="M170" s="13"/>
      <c r="N170" s="13"/>
      <c r="O170" s="13"/>
    </row>
    <row r="171">
      <c r="B171" s="11"/>
      <c r="C171" s="11"/>
      <c r="D171" s="11"/>
      <c r="E171" s="15"/>
      <c r="F171" s="11"/>
      <c r="G171" s="11"/>
      <c r="H171" s="11"/>
      <c r="I171" s="11"/>
      <c r="J171" s="12"/>
      <c r="K171" s="13"/>
      <c r="L171" s="12"/>
      <c r="M171" s="13"/>
      <c r="N171" s="13"/>
      <c r="O171" s="13"/>
    </row>
    <row r="172">
      <c r="B172" s="11"/>
      <c r="C172" s="11"/>
      <c r="D172" s="11"/>
      <c r="E172" s="15"/>
      <c r="F172" s="11"/>
      <c r="G172" s="11"/>
      <c r="H172" s="11"/>
      <c r="I172" s="11"/>
      <c r="J172" s="12"/>
      <c r="K172" s="13"/>
      <c r="L172" s="12"/>
      <c r="M172" s="13"/>
      <c r="N172" s="13"/>
      <c r="O172" s="13"/>
    </row>
    <row r="173">
      <c r="B173" s="11"/>
      <c r="C173" s="11"/>
      <c r="D173" s="11"/>
      <c r="E173" s="15"/>
      <c r="F173" s="11"/>
      <c r="G173" s="11"/>
      <c r="H173" s="11"/>
      <c r="I173" s="11"/>
      <c r="J173" s="12"/>
      <c r="K173" s="13"/>
      <c r="L173" s="12"/>
      <c r="M173" s="13"/>
      <c r="N173" s="13"/>
      <c r="O173" s="13"/>
    </row>
    <row r="174">
      <c r="B174" s="11"/>
      <c r="C174" s="11"/>
      <c r="D174" s="11"/>
      <c r="E174" s="15"/>
      <c r="F174" s="11"/>
      <c r="G174" s="11"/>
      <c r="H174" s="11"/>
      <c r="I174" s="11"/>
      <c r="J174" s="12"/>
      <c r="K174" s="13"/>
      <c r="L174" s="12"/>
      <c r="M174" s="13"/>
      <c r="N174" s="13"/>
      <c r="O174" s="13"/>
    </row>
    <row r="175">
      <c r="B175" s="11"/>
      <c r="C175" s="11"/>
      <c r="D175" s="11"/>
      <c r="E175" s="15"/>
      <c r="F175" s="11"/>
      <c r="G175" s="11"/>
      <c r="H175" s="11"/>
      <c r="I175" s="11"/>
      <c r="J175" s="12"/>
      <c r="K175" s="13"/>
      <c r="L175" s="12"/>
      <c r="M175" s="13"/>
      <c r="N175" s="13"/>
      <c r="O175" s="13"/>
    </row>
    <row r="176">
      <c r="B176" s="11"/>
      <c r="C176" s="11"/>
      <c r="D176" s="11"/>
      <c r="E176" s="15"/>
      <c r="F176" s="11"/>
      <c r="G176" s="11"/>
      <c r="H176" s="11"/>
      <c r="I176" s="11"/>
      <c r="J176" s="12"/>
      <c r="K176" s="13"/>
      <c r="L176" s="12"/>
      <c r="M176" s="13"/>
      <c r="N176" s="13"/>
      <c r="O176" s="13"/>
    </row>
    <row r="177">
      <c r="B177" s="11"/>
      <c r="C177" s="11"/>
      <c r="D177" s="11"/>
      <c r="E177" s="15"/>
      <c r="F177" s="11"/>
      <c r="G177" s="11"/>
      <c r="H177" s="11"/>
      <c r="I177" s="11"/>
      <c r="J177" s="12"/>
      <c r="K177" s="13"/>
      <c r="L177" s="12"/>
      <c r="M177" s="13"/>
      <c r="N177" s="13"/>
      <c r="O177" s="13"/>
    </row>
    <row r="178">
      <c r="B178" s="11"/>
      <c r="C178" s="11"/>
      <c r="D178" s="11"/>
      <c r="E178" s="15"/>
      <c r="F178" s="11"/>
      <c r="G178" s="11"/>
      <c r="H178" s="11"/>
      <c r="I178" s="11"/>
      <c r="J178" s="12"/>
      <c r="K178" s="13"/>
      <c r="L178" s="12"/>
      <c r="M178" s="13"/>
      <c r="N178" s="13"/>
      <c r="O178" s="13"/>
    </row>
    <row r="179">
      <c r="B179" s="11"/>
      <c r="C179" s="11"/>
      <c r="D179" s="11"/>
      <c r="E179" s="15"/>
      <c r="F179" s="11"/>
      <c r="G179" s="11"/>
      <c r="H179" s="11"/>
      <c r="I179" s="11"/>
      <c r="J179" s="12"/>
      <c r="K179" s="13"/>
      <c r="L179" s="12"/>
      <c r="M179" s="13"/>
      <c r="N179" s="13"/>
      <c r="O179" s="13"/>
    </row>
    <row r="180">
      <c r="B180" s="11"/>
      <c r="C180" s="11"/>
      <c r="D180" s="11"/>
      <c r="E180" s="15"/>
      <c r="F180" s="11"/>
      <c r="G180" s="11"/>
      <c r="H180" s="11"/>
      <c r="I180" s="11"/>
      <c r="J180" s="12"/>
      <c r="K180" s="13"/>
      <c r="L180" s="12"/>
      <c r="M180" s="13"/>
      <c r="N180" s="13"/>
      <c r="O180" s="13"/>
    </row>
    <row r="181">
      <c r="B181" s="11"/>
      <c r="C181" s="11"/>
      <c r="D181" s="11"/>
      <c r="E181" s="15"/>
      <c r="F181" s="11"/>
      <c r="G181" s="11"/>
      <c r="H181" s="11"/>
      <c r="I181" s="11"/>
      <c r="J181" s="12"/>
      <c r="K181" s="13"/>
      <c r="L181" s="12"/>
      <c r="M181" s="13"/>
      <c r="N181" s="13"/>
      <c r="O181" s="13"/>
    </row>
    <row r="182">
      <c r="B182" s="11"/>
      <c r="C182" s="11"/>
      <c r="D182" s="11"/>
      <c r="E182" s="15"/>
      <c r="F182" s="11"/>
      <c r="G182" s="11"/>
      <c r="H182" s="11"/>
      <c r="I182" s="11"/>
      <c r="J182" s="12"/>
      <c r="K182" s="13"/>
      <c r="L182" s="12"/>
      <c r="M182" s="13"/>
      <c r="N182" s="13"/>
      <c r="O182" s="13"/>
    </row>
    <row r="183">
      <c r="B183" s="11"/>
      <c r="C183" s="11"/>
      <c r="D183" s="11"/>
      <c r="E183" s="15"/>
      <c r="F183" s="11"/>
      <c r="G183" s="11"/>
      <c r="H183" s="11"/>
      <c r="I183" s="11"/>
      <c r="J183" s="12"/>
      <c r="K183" s="13"/>
      <c r="L183" s="12"/>
      <c r="M183" s="13"/>
      <c r="N183" s="13"/>
      <c r="O183" s="13"/>
    </row>
    <row r="184">
      <c r="B184" s="11"/>
      <c r="C184" s="11"/>
      <c r="D184" s="11"/>
      <c r="E184" s="15"/>
      <c r="F184" s="11"/>
      <c r="G184" s="11"/>
      <c r="H184" s="11"/>
      <c r="I184" s="11"/>
      <c r="J184" s="12"/>
      <c r="K184" s="13"/>
      <c r="L184" s="12"/>
      <c r="M184" s="13"/>
      <c r="N184" s="13"/>
      <c r="O184" s="13"/>
    </row>
    <row r="185">
      <c r="B185" s="11"/>
      <c r="C185" s="11"/>
      <c r="D185" s="11"/>
      <c r="E185" s="15"/>
      <c r="F185" s="11"/>
      <c r="G185" s="11"/>
      <c r="H185" s="11"/>
      <c r="I185" s="11"/>
      <c r="J185" s="12"/>
      <c r="K185" s="13"/>
      <c r="L185" s="12"/>
      <c r="M185" s="13"/>
      <c r="N185" s="13"/>
      <c r="O185" s="13"/>
    </row>
    <row r="186">
      <c r="B186" s="11"/>
      <c r="C186" s="11"/>
      <c r="D186" s="11"/>
      <c r="E186" s="15"/>
      <c r="F186" s="11"/>
      <c r="G186" s="11"/>
      <c r="H186" s="11"/>
      <c r="I186" s="11"/>
      <c r="J186" s="12"/>
      <c r="K186" s="13"/>
      <c r="L186" s="12"/>
      <c r="M186" s="13"/>
      <c r="N186" s="13"/>
      <c r="O186" s="13"/>
    </row>
    <row r="187">
      <c r="B187" s="11"/>
      <c r="C187" s="11"/>
      <c r="D187" s="11"/>
      <c r="E187" s="15"/>
      <c r="F187" s="11"/>
      <c r="G187" s="11"/>
      <c r="H187" s="11"/>
      <c r="I187" s="11"/>
      <c r="J187" s="12"/>
      <c r="K187" s="13"/>
      <c r="L187" s="12"/>
      <c r="M187" s="13"/>
      <c r="N187" s="13"/>
      <c r="O187" s="13"/>
    </row>
    <row r="188">
      <c r="B188" s="11"/>
      <c r="C188" s="11"/>
      <c r="D188" s="11"/>
      <c r="E188" s="15"/>
      <c r="F188" s="11"/>
      <c r="G188" s="11"/>
      <c r="H188" s="11"/>
      <c r="I188" s="11"/>
      <c r="J188" s="12"/>
      <c r="K188" s="13"/>
      <c r="L188" s="12"/>
      <c r="M188" s="13"/>
      <c r="N188" s="13"/>
      <c r="O188" s="13"/>
    </row>
    <row r="189">
      <c r="B189" s="11"/>
      <c r="C189" s="11"/>
      <c r="D189" s="11"/>
      <c r="E189" s="15"/>
      <c r="F189" s="11"/>
      <c r="G189" s="11"/>
      <c r="H189" s="11"/>
      <c r="I189" s="11"/>
      <c r="J189" s="12"/>
      <c r="K189" s="13"/>
      <c r="L189" s="12"/>
      <c r="M189" s="13"/>
      <c r="N189" s="13"/>
      <c r="O189" s="13"/>
    </row>
    <row r="190">
      <c r="B190" s="11"/>
      <c r="C190" s="11"/>
      <c r="D190" s="11"/>
      <c r="E190" s="15"/>
      <c r="F190" s="11"/>
      <c r="G190" s="11"/>
      <c r="H190" s="11"/>
      <c r="I190" s="11"/>
      <c r="J190" s="12"/>
      <c r="K190" s="13"/>
      <c r="L190" s="12"/>
      <c r="M190" s="13"/>
      <c r="N190" s="13"/>
      <c r="O190" s="13"/>
    </row>
    <row r="191">
      <c r="B191" s="11"/>
      <c r="C191" s="11"/>
      <c r="D191" s="11"/>
      <c r="E191" s="15"/>
      <c r="F191" s="11"/>
      <c r="G191" s="11"/>
      <c r="H191" s="11"/>
      <c r="I191" s="11"/>
      <c r="J191" s="12"/>
      <c r="K191" s="13"/>
      <c r="L191" s="12"/>
      <c r="M191" s="13"/>
      <c r="N191" s="13"/>
      <c r="O191" s="13"/>
    </row>
    <row r="192">
      <c r="B192" s="11"/>
      <c r="C192" s="11"/>
      <c r="D192" s="11"/>
      <c r="E192" s="15"/>
      <c r="F192" s="11"/>
      <c r="G192" s="11"/>
      <c r="H192" s="11"/>
      <c r="I192" s="11"/>
      <c r="J192" s="12"/>
      <c r="K192" s="13"/>
      <c r="L192" s="12"/>
      <c r="M192" s="13"/>
      <c r="N192" s="13"/>
      <c r="O192" s="13"/>
    </row>
    <row r="193">
      <c r="B193" s="11"/>
      <c r="C193" s="11"/>
      <c r="D193" s="11"/>
      <c r="E193" s="15"/>
      <c r="F193" s="11"/>
      <c r="G193" s="11"/>
      <c r="H193" s="11"/>
      <c r="I193" s="11"/>
      <c r="J193" s="12"/>
      <c r="K193" s="13"/>
      <c r="L193" s="12"/>
      <c r="M193" s="13"/>
      <c r="N193" s="13"/>
      <c r="O193" s="13"/>
    </row>
    <row r="194">
      <c r="B194" s="11"/>
      <c r="C194" s="11"/>
      <c r="D194" s="11"/>
      <c r="E194" s="15"/>
      <c r="F194" s="11"/>
      <c r="G194" s="11"/>
      <c r="H194" s="11"/>
      <c r="I194" s="11"/>
      <c r="J194" s="12"/>
      <c r="K194" s="13"/>
      <c r="L194" s="12"/>
      <c r="M194" s="13"/>
      <c r="N194" s="13"/>
      <c r="O194" s="13"/>
    </row>
    <row r="195">
      <c r="B195" s="11"/>
      <c r="C195" s="11"/>
      <c r="D195" s="11"/>
      <c r="E195" s="15"/>
      <c r="F195" s="11"/>
      <c r="G195" s="11"/>
      <c r="H195" s="11"/>
      <c r="I195" s="11"/>
      <c r="J195" s="12"/>
      <c r="K195" s="13"/>
      <c r="L195" s="12"/>
      <c r="M195" s="13"/>
      <c r="N195" s="13"/>
      <c r="O195" s="13"/>
    </row>
    <row r="196">
      <c r="B196" s="11"/>
      <c r="C196" s="11"/>
      <c r="D196" s="11"/>
      <c r="E196" s="15"/>
      <c r="F196" s="11"/>
      <c r="G196" s="11"/>
      <c r="H196" s="11"/>
      <c r="I196" s="11"/>
      <c r="J196" s="12"/>
      <c r="K196" s="13"/>
      <c r="L196" s="12"/>
      <c r="M196" s="13"/>
      <c r="N196" s="13"/>
      <c r="O196" s="13"/>
    </row>
    <row r="197">
      <c r="B197" s="11"/>
      <c r="C197" s="11"/>
      <c r="D197" s="11"/>
      <c r="E197" s="15"/>
      <c r="F197" s="11"/>
      <c r="G197" s="11"/>
      <c r="H197" s="11"/>
      <c r="I197" s="11"/>
      <c r="J197" s="12"/>
      <c r="K197" s="13"/>
      <c r="L197" s="12"/>
      <c r="M197" s="13"/>
      <c r="N197" s="13"/>
      <c r="O197" s="13"/>
    </row>
    <row r="198">
      <c r="B198" s="11"/>
      <c r="C198" s="11"/>
      <c r="D198" s="11"/>
      <c r="E198" s="15"/>
      <c r="F198" s="11"/>
      <c r="G198" s="11"/>
      <c r="H198" s="11"/>
      <c r="I198" s="11"/>
      <c r="J198" s="12"/>
      <c r="K198" s="13"/>
      <c r="L198" s="12"/>
      <c r="M198" s="13"/>
      <c r="N198" s="13"/>
      <c r="O198" s="13"/>
    </row>
    <row r="199">
      <c r="B199" s="11"/>
      <c r="C199" s="11"/>
      <c r="D199" s="11"/>
      <c r="E199" s="15"/>
      <c r="F199" s="11"/>
      <c r="G199" s="11"/>
      <c r="H199" s="11"/>
      <c r="I199" s="11"/>
      <c r="J199" s="12"/>
      <c r="K199" s="13"/>
      <c r="L199" s="12"/>
      <c r="M199" s="13"/>
      <c r="N199" s="13"/>
      <c r="O199" s="13"/>
    </row>
    <row r="200">
      <c r="B200" s="11"/>
      <c r="C200" s="11"/>
      <c r="D200" s="11"/>
      <c r="E200" s="15"/>
      <c r="F200" s="11"/>
      <c r="G200" s="11"/>
      <c r="H200" s="11"/>
      <c r="I200" s="11"/>
      <c r="J200" s="12"/>
      <c r="K200" s="13"/>
      <c r="L200" s="12"/>
      <c r="M200" s="13"/>
      <c r="N200" s="13"/>
      <c r="O200" s="13"/>
    </row>
    <row r="201">
      <c r="B201" s="11"/>
      <c r="C201" s="11"/>
      <c r="D201" s="11"/>
      <c r="E201" s="15"/>
      <c r="F201" s="11"/>
      <c r="G201" s="11"/>
      <c r="H201" s="11"/>
      <c r="I201" s="11"/>
      <c r="J201" s="12"/>
      <c r="K201" s="13"/>
      <c r="L201" s="12"/>
      <c r="M201" s="13"/>
      <c r="N201" s="13"/>
      <c r="O201" s="13"/>
    </row>
    <row r="202">
      <c r="B202" s="11"/>
      <c r="C202" s="11"/>
      <c r="D202" s="11"/>
      <c r="E202" s="15"/>
      <c r="F202" s="11"/>
      <c r="G202" s="11"/>
      <c r="H202" s="11"/>
      <c r="I202" s="11"/>
      <c r="J202" s="12"/>
      <c r="K202" s="13"/>
      <c r="L202" s="12"/>
      <c r="M202" s="13"/>
      <c r="N202" s="13"/>
      <c r="O202" s="13"/>
    </row>
    <row r="203">
      <c r="B203" s="11"/>
      <c r="C203" s="11"/>
      <c r="D203" s="11"/>
      <c r="E203" s="15"/>
      <c r="F203" s="11"/>
      <c r="G203" s="11"/>
      <c r="H203" s="11"/>
      <c r="I203" s="11"/>
      <c r="J203" s="12"/>
      <c r="K203" s="13"/>
      <c r="L203" s="12"/>
      <c r="M203" s="13"/>
      <c r="N203" s="13"/>
      <c r="O203" s="13"/>
    </row>
    <row r="204">
      <c r="B204" s="11"/>
      <c r="C204" s="11"/>
      <c r="D204" s="11"/>
      <c r="E204" s="15"/>
      <c r="F204" s="11"/>
      <c r="G204" s="11"/>
      <c r="H204" s="11"/>
      <c r="I204" s="11"/>
      <c r="J204" s="12"/>
      <c r="K204" s="13"/>
      <c r="L204" s="12"/>
      <c r="M204" s="13"/>
      <c r="N204" s="13"/>
      <c r="O204" s="13"/>
    </row>
    <row r="205">
      <c r="B205" s="11"/>
      <c r="C205" s="11"/>
      <c r="D205" s="11"/>
      <c r="E205" s="15"/>
      <c r="F205" s="11"/>
      <c r="G205" s="11"/>
      <c r="H205" s="11"/>
      <c r="I205" s="11"/>
      <c r="J205" s="12"/>
      <c r="K205" s="13"/>
      <c r="L205" s="12"/>
      <c r="M205" s="13"/>
      <c r="N205" s="13"/>
      <c r="O205" s="13"/>
    </row>
    <row r="206">
      <c r="B206" s="11"/>
      <c r="C206" s="11"/>
      <c r="D206" s="11"/>
      <c r="E206" s="15"/>
      <c r="F206" s="11"/>
      <c r="G206" s="11"/>
      <c r="H206" s="11"/>
      <c r="I206" s="11"/>
      <c r="J206" s="12"/>
      <c r="K206" s="13"/>
      <c r="L206" s="12"/>
      <c r="M206" s="13"/>
      <c r="N206" s="13"/>
      <c r="O206" s="13"/>
    </row>
    <row r="207">
      <c r="B207" s="11"/>
      <c r="C207" s="11"/>
      <c r="D207" s="11"/>
      <c r="E207" s="15"/>
      <c r="F207" s="11"/>
      <c r="G207" s="11"/>
      <c r="H207" s="11"/>
      <c r="I207" s="11"/>
      <c r="J207" s="12"/>
      <c r="K207" s="13"/>
      <c r="L207" s="12"/>
      <c r="M207" s="13"/>
      <c r="N207" s="13"/>
      <c r="O207" s="13"/>
    </row>
    <row r="208">
      <c r="B208" s="11"/>
      <c r="C208" s="11"/>
      <c r="D208" s="11"/>
      <c r="E208" s="15"/>
      <c r="F208" s="11"/>
      <c r="G208" s="11"/>
      <c r="H208" s="11"/>
      <c r="I208" s="11"/>
      <c r="J208" s="12"/>
      <c r="K208" s="13"/>
      <c r="L208" s="12"/>
      <c r="M208" s="13"/>
      <c r="N208" s="13"/>
      <c r="O208" s="13"/>
    </row>
    <row r="209">
      <c r="B209" s="11"/>
      <c r="C209" s="11"/>
      <c r="D209" s="11"/>
      <c r="E209" s="15"/>
      <c r="F209" s="11"/>
      <c r="G209" s="11"/>
      <c r="H209" s="11"/>
      <c r="I209" s="11"/>
      <c r="J209" s="12"/>
      <c r="K209" s="13"/>
      <c r="L209" s="12"/>
      <c r="M209" s="13"/>
      <c r="N209" s="13"/>
      <c r="O209" s="13"/>
    </row>
    <row r="210">
      <c r="B210" s="11"/>
      <c r="C210" s="11"/>
      <c r="D210" s="11"/>
      <c r="E210" s="15"/>
      <c r="F210" s="11"/>
      <c r="G210" s="11"/>
      <c r="H210" s="11"/>
      <c r="I210" s="11"/>
      <c r="J210" s="12"/>
      <c r="K210" s="13"/>
      <c r="L210" s="12"/>
      <c r="M210" s="13"/>
      <c r="N210" s="13"/>
      <c r="O210" s="13"/>
    </row>
    <row r="211">
      <c r="B211" s="11"/>
      <c r="C211" s="11"/>
      <c r="D211" s="11"/>
      <c r="E211" s="15"/>
      <c r="F211" s="11"/>
      <c r="G211" s="11"/>
      <c r="H211" s="11"/>
      <c r="I211" s="11"/>
      <c r="J211" s="12"/>
      <c r="K211" s="13"/>
      <c r="L211" s="12"/>
      <c r="M211" s="13"/>
      <c r="N211" s="13"/>
      <c r="O211" s="13"/>
    </row>
    <row r="212">
      <c r="B212" s="11"/>
      <c r="C212" s="11"/>
      <c r="D212" s="11"/>
      <c r="E212" s="15"/>
      <c r="F212" s="11"/>
      <c r="G212" s="11"/>
      <c r="H212" s="11"/>
      <c r="I212" s="11"/>
      <c r="J212" s="12"/>
      <c r="K212" s="13"/>
      <c r="L212" s="12"/>
      <c r="M212" s="13"/>
      <c r="N212" s="13"/>
      <c r="O212" s="13"/>
    </row>
    <row r="213">
      <c r="B213" s="11"/>
      <c r="C213" s="11"/>
      <c r="D213" s="11"/>
      <c r="E213" s="15"/>
      <c r="F213" s="11"/>
      <c r="G213" s="11"/>
      <c r="H213" s="11"/>
      <c r="I213" s="11"/>
      <c r="J213" s="12"/>
      <c r="K213" s="13"/>
      <c r="L213" s="12"/>
      <c r="M213" s="13"/>
      <c r="N213" s="13"/>
      <c r="O213" s="13"/>
    </row>
    <row r="214">
      <c r="B214" s="11"/>
      <c r="C214" s="11"/>
      <c r="D214" s="11"/>
      <c r="E214" s="15"/>
      <c r="F214" s="11"/>
      <c r="G214" s="11"/>
      <c r="H214" s="11"/>
      <c r="I214" s="11"/>
      <c r="J214" s="12"/>
      <c r="K214" s="13"/>
      <c r="L214" s="12"/>
      <c r="M214" s="13"/>
      <c r="N214" s="13"/>
      <c r="O214" s="13"/>
    </row>
    <row r="215">
      <c r="B215" s="11"/>
      <c r="C215" s="11"/>
      <c r="D215" s="11"/>
      <c r="E215" s="15"/>
      <c r="F215" s="11"/>
      <c r="G215" s="11"/>
      <c r="H215" s="11"/>
      <c r="I215" s="11"/>
      <c r="J215" s="12"/>
      <c r="K215" s="13"/>
      <c r="L215" s="12"/>
      <c r="M215" s="13"/>
      <c r="N215" s="13"/>
      <c r="O215" s="13"/>
    </row>
    <row r="216">
      <c r="B216" s="11"/>
      <c r="C216" s="11"/>
      <c r="D216" s="11"/>
      <c r="E216" s="15"/>
      <c r="F216" s="11"/>
      <c r="G216" s="11"/>
      <c r="H216" s="11"/>
      <c r="I216" s="11"/>
      <c r="J216" s="12"/>
      <c r="K216" s="13"/>
      <c r="L216" s="12"/>
      <c r="M216" s="13"/>
      <c r="N216" s="13"/>
      <c r="O216" s="13"/>
    </row>
    <row r="217">
      <c r="B217" s="11"/>
      <c r="C217" s="11"/>
      <c r="D217" s="11"/>
      <c r="E217" s="15"/>
      <c r="F217" s="11"/>
      <c r="G217" s="11"/>
      <c r="H217" s="11"/>
      <c r="I217" s="11"/>
      <c r="J217" s="12"/>
      <c r="K217" s="13"/>
      <c r="L217" s="12"/>
      <c r="M217" s="13"/>
      <c r="N217" s="13"/>
      <c r="O217" s="13"/>
    </row>
    <row r="218">
      <c r="B218" s="11"/>
      <c r="C218" s="11"/>
      <c r="D218" s="11"/>
      <c r="E218" s="15"/>
      <c r="F218" s="11"/>
      <c r="G218" s="11"/>
      <c r="H218" s="11"/>
      <c r="I218" s="11"/>
      <c r="J218" s="12"/>
      <c r="K218" s="13"/>
      <c r="L218" s="12"/>
      <c r="M218" s="13"/>
      <c r="N218" s="13"/>
      <c r="O218" s="13"/>
    </row>
    <row r="219">
      <c r="B219" s="11"/>
      <c r="C219" s="11"/>
      <c r="D219" s="11"/>
      <c r="E219" s="15"/>
      <c r="F219" s="11"/>
      <c r="G219" s="11"/>
      <c r="H219" s="11"/>
      <c r="I219" s="11"/>
      <c r="J219" s="12"/>
      <c r="K219" s="13"/>
      <c r="L219" s="12"/>
      <c r="M219" s="13"/>
      <c r="N219" s="13"/>
      <c r="O219" s="13"/>
    </row>
    <row r="220">
      <c r="B220" s="11"/>
      <c r="C220" s="11"/>
      <c r="D220" s="11"/>
      <c r="E220" s="15"/>
      <c r="F220" s="11"/>
      <c r="G220" s="11"/>
      <c r="H220" s="11"/>
      <c r="I220" s="11"/>
      <c r="J220" s="12"/>
      <c r="K220" s="13"/>
      <c r="L220" s="12"/>
      <c r="M220" s="13"/>
      <c r="N220" s="13"/>
      <c r="O220" s="13"/>
    </row>
    <row r="221">
      <c r="B221" s="11"/>
      <c r="C221" s="11"/>
      <c r="D221" s="11"/>
      <c r="E221" s="15"/>
      <c r="F221" s="11"/>
      <c r="G221" s="11"/>
      <c r="H221" s="11"/>
      <c r="I221" s="11"/>
      <c r="J221" s="12"/>
      <c r="K221" s="13"/>
      <c r="L221" s="12"/>
      <c r="M221" s="13"/>
      <c r="N221" s="13"/>
      <c r="O221" s="13"/>
    </row>
    <row r="222">
      <c r="B222" s="11"/>
      <c r="C222" s="11"/>
      <c r="D222" s="11"/>
      <c r="E222" s="15"/>
      <c r="F222" s="11"/>
      <c r="G222" s="11"/>
      <c r="H222" s="11"/>
      <c r="I222" s="11"/>
      <c r="J222" s="12"/>
      <c r="K222" s="13"/>
      <c r="L222" s="12"/>
      <c r="M222" s="13"/>
      <c r="N222" s="13"/>
      <c r="O222" s="13"/>
    </row>
    <row r="223">
      <c r="B223" s="11"/>
      <c r="C223" s="11"/>
      <c r="D223" s="11"/>
      <c r="E223" s="15"/>
      <c r="F223" s="11"/>
      <c r="G223" s="11"/>
      <c r="H223" s="11"/>
      <c r="I223" s="11"/>
      <c r="J223" s="12"/>
      <c r="K223" s="13"/>
      <c r="L223" s="12"/>
      <c r="M223" s="13"/>
      <c r="N223" s="13"/>
      <c r="O223" s="13"/>
    </row>
    <row r="224">
      <c r="B224" s="11"/>
      <c r="C224" s="11"/>
      <c r="D224" s="11"/>
      <c r="E224" s="15"/>
      <c r="F224" s="11"/>
      <c r="G224" s="11"/>
      <c r="H224" s="11"/>
      <c r="I224" s="11"/>
      <c r="J224" s="12"/>
      <c r="K224" s="13"/>
      <c r="L224" s="12"/>
      <c r="M224" s="13"/>
      <c r="N224" s="13"/>
      <c r="O224" s="13"/>
    </row>
    <row r="225">
      <c r="B225" s="11"/>
      <c r="C225" s="11"/>
      <c r="D225" s="11"/>
      <c r="E225" s="15"/>
      <c r="F225" s="11"/>
      <c r="G225" s="11"/>
      <c r="H225" s="11"/>
      <c r="I225" s="11"/>
      <c r="J225" s="12"/>
      <c r="K225" s="13"/>
      <c r="L225" s="12"/>
      <c r="M225" s="13"/>
      <c r="N225" s="13"/>
      <c r="O225" s="13"/>
    </row>
    <row r="226">
      <c r="B226" s="11"/>
      <c r="C226" s="11"/>
      <c r="D226" s="11"/>
      <c r="E226" s="15"/>
      <c r="F226" s="11"/>
      <c r="G226" s="11"/>
      <c r="H226" s="11"/>
      <c r="I226" s="11"/>
      <c r="J226" s="12"/>
      <c r="K226" s="13"/>
      <c r="L226" s="12"/>
      <c r="M226" s="13"/>
      <c r="N226" s="13"/>
      <c r="O226" s="13"/>
    </row>
    <row r="227">
      <c r="B227" s="11"/>
      <c r="C227" s="11"/>
      <c r="D227" s="11"/>
      <c r="E227" s="15"/>
      <c r="F227" s="11"/>
      <c r="G227" s="11"/>
      <c r="H227" s="11"/>
      <c r="I227" s="11"/>
      <c r="J227" s="12"/>
      <c r="K227" s="13"/>
      <c r="L227" s="12"/>
      <c r="M227" s="13"/>
      <c r="N227" s="13"/>
      <c r="O227" s="13"/>
    </row>
    <row r="228">
      <c r="B228" s="11"/>
      <c r="C228" s="11"/>
      <c r="D228" s="11"/>
      <c r="E228" s="15"/>
      <c r="F228" s="11"/>
      <c r="G228" s="11"/>
      <c r="H228" s="11"/>
      <c r="I228" s="11"/>
      <c r="J228" s="12"/>
      <c r="K228" s="13"/>
      <c r="L228" s="12"/>
      <c r="M228" s="13"/>
      <c r="N228" s="13"/>
      <c r="O228" s="13"/>
    </row>
    <row r="229">
      <c r="B229" s="11"/>
      <c r="C229" s="11"/>
      <c r="D229" s="11"/>
      <c r="E229" s="15"/>
      <c r="F229" s="11"/>
      <c r="G229" s="11"/>
      <c r="H229" s="11"/>
      <c r="I229" s="11"/>
      <c r="J229" s="12"/>
      <c r="K229" s="13"/>
      <c r="L229" s="12"/>
      <c r="M229" s="13"/>
      <c r="N229" s="13"/>
      <c r="O229" s="13"/>
    </row>
    <row r="230">
      <c r="B230" s="11"/>
      <c r="C230" s="11"/>
      <c r="D230" s="11"/>
      <c r="E230" s="15"/>
      <c r="F230" s="11"/>
      <c r="G230" s="11"/>
      <c r="H230" s="11"/>
      <c r="I230" s="11"/>
      <c r="J230" s="12"/>
      <c r="K230" s="13"/>
      <c r="L230" s="12"/>
      <c r="M230" s="13"/>
      <c r="N230" s="13"/>
      <c r="O230" s="13"/>
    </row>
    <row r="231">
      <c r="B231" s="11"/>
      <c r="C231" s="11"/>
      <c r="D231" s="11"/>
      <c r="E231" s="15"/>
      <c r="F231" s="11"/>
      <c r="G231" s="11"/>
      <c r="H231" s="11"/>
      <c r="I231" s="11"/>
      <c r="J231" s="12"/>
      <c r="K231" s="13"/>
      <c r="L231" s="12"/>
      <c r="M231" s="13"/>
      <c r="N231" s="13"/>
      <c r="O231" s="13"/>
    </row>
    <row r="232">
      <c r="B232" s="11"/>
      <c r="C232" s="11"/>
      <c r="D232" s="11"/>
      <c r="E232" s="15"/>
      <c r="F232" s="11"/>
      <c r="G232" s="11"/>
      <c r="H232" s="11"/>
      <c r="I232" s="11"/>
      <c r="J232" s="12"/>
      <c r="K232" s="13"/>
      <c r="L232" s="12"/>
      <c r="M232" s="13"/>
      <c r="N232" s="13"/>
      <c r="O232" s="13"/>
    </row>
    <row r="233">
      <c r="B233" s="11"/>
      <c r="C233" s="11"/>
      <c r="D233" s="11"/>
      <c r="E233" s="15"/>
      <c r="F233" s="11"/>
      <c r="G233" s="11"/>
      <c r="H233" s="11"/>
      <c r="I233" s="11"/>
      <c r="J233" s="12"/>
      <c r="K233" s="13"/>
      <c r="L233" s="12"/>
      <c r="M233" s="13"/>
      <c r="N233" s="13"/>
      <c r="O233" s="13"/>
    </row>
    <row r="234">
      <c r="B234" s="11"/>
      <c r="C234" s="11"/>
      <c r="D234" s="11"/>
      <c r="E234" s="15"/>
      <c r="F234" s="11"/>
      <c r="G234" s="11"/>
      <c r="H234" s="11"/>
      <c r="I234" s="11"/>
      <c r="J234" s="12"/>
      <c r="K234" s="13"/>
      <c r="L234" s="12"/>
      <c r="M234" s="13"/>
      <c r="N234" s="13"/>
      <c r="O234" s="13"/>
    </row>
    <row r="235">
      <c r="B235" s="11"/>
      <c r="C235" s="11"/>
      <c r="D235" s="11"/>
      <c r="E235" s="15"/>
      <c r="F235" s="11"/>
      <c r="G235" s="11"/>
      <c r="H235" s="11"/>
      <c r="I235" s="11"/>
      <c r="J235" s="12"/>
      <c r="K235" s="13"/>
      <c r="L235" s="12"/>
      <c r="M235" s="13"/>
      <c r="N235" s="13"/>
      <c r="O235" s="13"/>
    </row>
    <row r="236">
      <c r="B236" s="11"/>
      <c r="C236" s="11"/>
      <c r="D236" s="11"/>
      <c r="E236" s="15"/>
      <c r="F236" s="11"/>
      <c r="G236" s="11"/>
      <c r="H236" s="11"/>
      <c r="I236" s="11"/>
      <c r="J236" s="12"/>
      <c r="K236" s="13"/>
      <c r="L236" s="12"/>
      <c r="M236" s="13"/>
      <c r="N236" s="13"/>
      <c r="O236" s="13"/>
    </row>
    <row r="237">
      <c r="B237" s="11"/>
      <c r="C237" s="11"/>
      <c r="D237" s="11"/>
      <c r="E237" s="15"/>
      <c r="F237" s="11"/>
      <c r="G237" s="11"/>
      <c r="H237" s="11"/>
      <c r="I237" s="11"/>
      <c r="J237" s="12"/>
      <c r="K237" s="13"/>
      <c r="L237" s="12"/>
      <c r="M237" s="13"/>
      <c r="N237" s="13"/>
      <c r="O237" s="13"/>
    </row>
    <row r="238">
      <c r="B238" s="11"/>
      <c r="C238" s="11"/>
      <c r="D238" s="11"/>
      <c r="E238" s="15"/>
      <c r="F238" s="11"/>
      <c r="G238" s="11"/>
      <c r="H238" s="11"/>
      <c r="I238" s="11"/>
      <c r="J238" s="12"/>
      <c r="K238" s="13"/>
      <c r="L238" s="12"/>
      <c r="M238" s="13"/>
      <c r="N238" s="13"/>
      <c r="O238" s="13"/>
    </row>
    <row r="239">
      <c r="B239" s="11"/>
      <c r="C239" s="11"/>
      <c r="D239" s="11"/>
      <c r="E239" s="15"/>
      <c r="F239" s="11"/>
      <c r="G239" s="11"/>
      <c r="H239" s="11"/>
      <c r="I239" s="11"/>
      <c r="J239" s="12"/>
      <c r="K239" s="13"/>
      <c r="L239" s="12"/>
      <c r="M239" s="13"/>
      <c r="N239" s="13"/>
      <c r="O239" s="13"/>
    </row>
    <row r="240">
      <c r="B240" s="11"/>
      <c r="C240" s="11"/>
      <c r="D240" s="11"/>
      <c r="E240" s="15"/>
      <c r="F240" s="11"/>
      <c r="G240" s="11"/>
      <c r="H240" s="11"/>
      <c r="I240" s="11"/>
      <c r="J240" s="12"/>
      <c r="K240" s="13"/>
      <c r="L240" s="12"/>
      <c r="M240" s="13"/>
      <c r="N240" s="13"/>
      <c r="O240" s="13"/>
    </row>
    <row r="241">
      <c r="B241" s="11"/>
      <c r="C241" s="11"/>
      <c r="D241" s="11"/>
      <c r="E241" s="15"/>
      <c r="F241" s="11"/>
      <c r="G241" s="11"/>
      <c r="H241" s="11"/>
      <c r="I241" s="11"/>
      <c r="J241" s="12"/>
      <c r="K241" s="13"/>
      <c r="L241" s="12"/>
      <c r="M241" s="13"/>
      <c r="N241" s="13"/>
      <c r="O241" s="13"/>
    </row>
    <row r="242">
      <c r="B242" s="11"/>
      <c r="C242" s="11"/>
      <c r="D242" s="11"/>
      <c r="E242" s="15"/>
      <c r="F242" s="11"/>
      <c r="G242" s="11"/>
      <c r="H242" s="11"/>
      <c r="I242" s="11"/>
      <c r="J242" s="12"/>
      <c r="K242" s="13"/>
      <c r="L242" s="12"/>
      <c r="M242" s="13"/>
      <c r="N242" s="13"/>
      <c r="O242" s="13"/>
    </row>
    <row r="243">
      <c r="B243" s="11"/>
      <c r="C243" s="11"/>
      <c r="D243" s="11"/>
      <c r="E243" s="15"/>
      <c r="F243" s="11"/>
      <c r="G243" s="11"/>
      <c r="H243" s="11"/>
      <c r="I243" s="11"/>
      <c r="J243" s="12"/>
      <c r="K243" s="13"/>
      <c r="L243" s="12"/>
      <c r="M243" s="13"/>
      <c r="N243" s="13"/>
      <c r="O243" s="13"/>
    </row>
    <row r="244">
      <c r="B244" s="11"/>
      <c r="C244" s="11"/>
      <c r="D244" s="11"/>
      <c r="E244" s="15"/>
      <c r="F244" s="11"/>
      <c r="G244" s="11"/>
      <c r="H244" s="11"/>
      <c r="I244" s="11"/>
      <c r="J244" s="12"/>
      <c r="K244" s="13"/>
      <c r="L244" s="12"/>
      <c r="M244" s="13"/>
      <c r="N244" s="13"/>
      <c r="O244" s="13"/>
    </row>
    <row r="245">
      <c r="B245" s="11"/>
      <c r="C245" s="11"/>
      <c r="D245" s="11"/>
      <c r="E245" s="15"/>
      <c r="F245" s="11"/>
      <c r="G245" s="11"/>
      <c r="H245" s="11"/>
      <c r="I245" s="11"/>
      <c r="J245" s="12"/>
      <c r="K245" s="13"/>
      <c r="L245" s="12"/>
      <c r="M245" s="13"/>
      <c r="N245" s="13"/>
      <c r="O245" s="13"/>
    </row>
    <row r="246">
      <c r="B246" s="11"/>
      <c r="C246" s="11"/>
      <c r="D246" s="11"/>
      <c r="E246" s="15"/>
      <c r="F246" s="11"/>
      <c r="G246" s="11"/>
      <c r="H246" s="11"/>
      <c r="I246" s="11"/>
      <c r="J246" s="12"/>
      <c r="K246" s="13"/>
      <c r="L246" s="12"/>
      <c r="M246" s="13"/>
      <c r="N246" s="13"/>
      <c r="O246" s="13"/>
    </row>
    <row r="247">
      <c r="B247" s="11"/>
      <c r="C247" s="11"/>
      <c r="D247" s="11"/>
      <c r="E247" s="15"/>
      <c r="F247" s="11"/>
      <c r="G247" s="11"/>
      <c r="H247" s="11"/>
      <c r="I247" s="11"/>
      <c r="J247" s="12"/>
      <c r="K247" s="13"/>
      <c r="L247" s="12"/>
      <c r="M247" s="13"/>
      <c r="N247" s="13"/>
      <c r="O247" s="13"/>
    </row>
    <row r="248">
      <c r="B248" s="11"/>
      <c r="C248" s="11"/>
      <c r="D248" s="11"/>
      <c r="E248" s="15"/>
      <c r="F248" s="11"/>
      <c r="G248" s="11"/>
      <c r="H248" s="11"/>
      <c r="I248" s="11"/>
      <c r="J248" s="12"/>
      <c r="K248" s="13"/>
      <c r="L248" s="12"/>
      <c r="M248" s="13"/>
      <c r="N248" s="13"/>
      <c r="O248" s="13"/>
    </row>
    <row r="249">
      <c r="B249" s="11"/>
      <c r="C249" s="11"/>
      <c r="D249" s="11"/>
      <c r="E249" s="15"/>
      <c r="F249" s="11"/>
      <c r="G249" s="11"/>
      <c r="H249" s="11"/>
      <c r="I249" s="11"/>
      <c r="J249" s="12"/>
      <c r="K249" s="13"/>
      <c r="L249" s="12"/>
      <c r="M249" s="13"/>
      <c r="N249" s="13"/>
      <c r="O249" s="13"/>
    </row>
    <row r="250">
      <c r="B250" s="11"/>
      <c r="C250" s="11"/>
      <c r="D250" s="11"/>
      <c r="E250" s="15"/>
      <c r="F250" s="11"/>
      <c r="G250" s="11"/>
      <c r="H250" s="11"/>
      <c r="I250" s="11"/>
      <c r="J250" s="12"/>
      <c r="K250" s="13"/>
      <c r="L250" s="12"/>
      <c r="M250" s="13"/>
      <c r="N250" s="13"/>
      <c r="O250" s="13"/>
    </row>
    <row r="251">
      <c r="B251" s="11"/>
      <c r="C251" s="11"/>
      <c r="D251" s="11"/>
      <c r="E251" s="15"/>
      <c r="F251" s="11"/>
      <c r="G251" s="11"/>
      <c r="H251" s="11"/>
      <c r="I251" s="11"/>
      <c r="J251" s="12"/>
      <c r="K251" s="13"/>
      <c r="L251" s="12"/>
      <c r="M251" s="13"/>
      <c r="N251" s="13"/>
      <c r="O251" s="13"/>
    </row>
    <row r="252">
      <c r="B252" s="11"/>
      <c r="C252" s="11"/>
      <c r="D252" s="11"/>
      <c r="E252" s="15"/>
      <c r="F252" s="11"/>
      <c r="G252" s="11"/>
      <c r="H252" s="11"/>
      <c r="I252" s="11"/>
      <c r="J252" s="12"/>
      <c r="K252" s="13"/>
      <c r="L252" s="12"/>
      <c r="M252" s="13"/>
      <c r="N252" s="13"/>
      <c r="O252" s="13"/>
    </row>
    <row r="253">
      <c r="B253" s="11"/>
      <c r="C253" s="11"/>
      <c r="D253" s="11"/>
      <c r="E253" s="15"/>
      <c r="F253" s="11"/>
      <c r="G253" s="11"/>
      <c r="H253" s="11"/>
      <c r="I253" s="11"/>
      <c r="J253" s="12"/>
      <c r="K253" s="13"/>
      <c r="L253" s="12"/>
      <c r="M253" s="13"/>
      <c r="N253" s="13"/>
      <c r="O253" s="13"/>
    </row>
    <row r="254">
      <c r="B254" s="11"/>
      <c r="C254" s="11"/>
      <c r="D254" s="11"/>
      <c r="E254" s="15"/>
      <c r="F254" s="11"/>
      <c r="G254" s="11"/>
      <c r="H254" s="11"/>
      <c r="I254" s="11"/>
      <c r="J254" s="12"/>
      <c r="K254" s="13"/>
      <c r="L254" s="12"/>
      <c r="M254" s="13"/>
      <c r="N254" s="13"/>
      <c r="O254" s="13"/>
    </row>
    <row r="255">
      <c r="B255" s="11"/>
      <c r="C255" s="11"/>
      <c r="D255" s="11"/>
      <c r="E255" s="15"/>
      <c r="F255" s="11"/>
      <c r="G255" s="11"/>
      <c r="H255" s="11"/>
      <c r="I255" s="11"/>
      <c r="J255" s="12"/>
      <c r="K255" s="13"/>
      <c r="L255" s="12"/>
      <c r="M255" s="13"/>
      <c r="N255" s="13"/>
      <c r="O255" s="13"/>
    </row>
    <row r="256">
      <c r="B256" s="11"/>
      <c r="C256" s="11"/>
      <c r="D256" s="11"/>
      <c r="E256" s="15"/>
      <c r="F256" s="11"/>
      <c r="G256" s="11"/>
      <c r="H256" s="11"/>
      <c r="I256" s="11"/>
      <c r="J256" s="12"/>
      <c r="K256" s="13"/>
      <c r="L256" s="12"/>
      <c r="M256" s="13"/>
      <c r="N256" s="13"/>
      <c r="O256" s="13"/>
    </row>
    <row r="257">
      <c r="B257" s="11"/>
      <c r="C257" s="11"/>
      <c r="D257" s="11"/>
      <c r="E257" s="15"/>
      <c r="F257" s="11"/>
      <c r="G257" s="11"/>
      <c r="H257" s="11"/>
      <c r="I257" s="11"/>
      <c r="J257" s="12"/>
      <c r="K257" s="13"/>
      <c r="L257" s="12"/>
      <c r="M257" s="13"/>
      <c r="N257" s="13"/>
      <c r="O257" s="13"/>
    </row>
    <row r="258">
      <c r="B258" s="11"/>
      <c r="C258" s="11"/>
      <c r="D258" s="11"/>
      <c r="E258" s="15"/>
      <c r="F258" s="11"/>
      <c r="G258" s="11"/>
      <c r="H258" s="11"/>
      <c r="I258" s="11"/>
      <c r="J258" s="12"/>
      <c r="K258" s="13"/>
      <c r="L258" s="12"/>
      <c r="M258" s="13"/>
      <c r="N258" s="13"/>
      <c r="O258" s="13"/>
    </row>
    <row r="259">
      <c r="B259" s="11"/>
      <c r="C259" s="11"/>
      <c r="D259" s="11"/>
      <c r="E259" s="15"/>
      <c r="F259" s="11"/>
      <c r="G259" s="11"/>
      <c r="H259" s="11"/>
      <c r="I259" s="11"/>
      <c r="J259" s="12"/>
      <c r="K259" s="13"/>
      <c r="L259" s="12"/>
      <c r="M259" s="13"/>
      <c r="N259" s="13"/>
      <c r="O259" s="13"/>
    </row>
    <row r="260">
      <c r="B260" s="11"/>
      <c r="C260" s="11"/>
      <c r="D260" s="11"/>
      <c r="E260" s="15"/>
      <c r="F260" s="11"/>
      <c r="G260" s="11"/>
      <c r="H260" s="11"/>
      <c r="I260" s="11"/>
      <c r="J260" s="12"/>
      <c r="K260" s="13"/>
      <c r="L260" s="12"/>
      <c r="M260" s="13"/>
      <c r="N260" s="13"/>
      <c r="O260" s="13"/>
    </row>
    <row r="261">
      <c r="B261" s="11"/>
      <c r="C261" s="11"/>
      <c r="D261" s="11"/>
      <c r="E261" s="15"/>
      <c r="F261" s="11"/>
      <c r="G261" s="11"/>
      <c r="H261" s="11"/>
      <c r="I261" s="11"/>
      <c r="J261" s="12"/>
      <c r="K261" s="13"/>
      <c r="L261" s="12"/>
      <c r="M261" s="13"/>
      <c r="N261" s="13"/>
      <c r="O261" s="13"/>
    </row>
    <row r="262">
      <c r="B262" s="11"/>
      <c r="C262" s="11"/>
      <c r="D262" s="11"/>
      <c r="E262" s="15"/>
      <c r="F262" s="11"/>
      <c r="G262" s="11"/>
      <c r="H262" s="11"/>
      <c r="I262" s="11"/>
      <c r="J262" s="12"/>
      <c r="K262" s="13"/>
      <c r="L262" s="12"/>
      <c r="M262" s="13"/>
      <c r="N262" s="13"/>
      <c r="O262" s="13"/>
    </row>
    <row r="263">
      <c r="B263" s="11"/>
      <c r="C263" s="11"/>
      <c r="D263" s="11"/>
      <c r="E263" s="15"/>
      <c r="F263" s="11"/>
      <c r="G263" s="11"/>
      <c r="H263" s="11"/>
      <c r="I263" s="11"/>
      <c r="J263" s="12"/>
      <c r="K263" s="13"/>
      <c r="L263" s="12"/>
      <c r="M263" s="13"/>
      <c r="N263" s="13"/>
      <c r="O263" s="13"/>
    </row>
    <row r="264">
      <c r="B264" s="11"/>
      <c r="C264" s="11"/>
      <c r="D264" s="11"/>
      <c r="E264" s="15"/>
      <c r="F264" s="11"/>
      <c r="G264" s="11"/>
      <c r="H264" s="11"/>
      <c r="I264" s="11"/>
      <c r="J264" s="12"/>
      <c r="K264" s="13"/>
      <c r="L264" s="12"/>
      <c r="M264" s="13"/>
      <c r="N264" s="13"/>
      <c r="O264" s="13"/>
    </row>
    <row r="265">
      <c r="B265" s="11"/>
      <c r="C265" s="11"/>
      <c r="D265" s="11"/>
      <c r="E265" s="15"/>
      <c r="F265" s="11"/>
      <c r="G265" s="11"/>
      <c r="H265" s="11"/>
      <c r="I265" s="11"/>
      <c r="J265" s="12"/>
      <c r="K265" s="13"/>
      <c r="L265" s="12"/>
      <c r="M265" s="13"/>
      <c r="N265" s="13"/>
      <c r="O265" s="13"/>
    </row>
    <row r="266">
      <c r="B266" s="11"/>
      <c r="C266" s="11"/>
      <c r="D266" s="11"/>
      <c r="E266" s="15"/>
      <c r="F266" s="11"/>
      <c r="G266" s="11"/>
      <c r="H266" s="11"/>
      <c r="I266" s="11"/>
      <c r="J266" s="12"/>
      <c r="K266" s="13"/>
      <c r="L266" s="12"/>
      <c r="M266" s="13"/>
      <c r="N266" s="13"/>
      <c r="O266" s="13"/>
    </row>
    <row r="267">
      <c r="B267" s="11"/>
      <c r="C267" s="11"/>
      <c r="D267" s="11"/>
      <c r="E267" s="15"/>
      <c r="F267" s="11"/>
      <c r="G267" s="11"/>
      <c r="H267" s="11"/>
      <c r="I267" s="11"/>
      <c r="J267" s="12"/>
      <c r="K267" s="13"/>
      <c r="L267" s="12"/>
      <c r="M267" s="13"/>
      <c r="N267" s="13"/>
      <c r="O267" s="13"/>
    </row>
    <row r="268">
      <c r="B268" s="11"/>
      <c r="C268" s="11"/>
      <c r="D268" s="11"/>
      <c r="E268" s="15"/>
      <c r="F268" s="11"/>
      <c r="G268" s="11"/>
      <c r="H268" s="11"/>
      <c r="I268" s="11"/>
      <c r="J268" s="12"/>
      <c r="K268" s="13"/>
      <c r="L268" s="12"/>
      <c r="M268" s="13"/>
      <c r="N268" s="13"/>
      <c r="O268" s="13"/>
    </row>
    <row r="269">
      <c r="B269" s="11"/>
      <c r="C269" s="11"/>
      <c r="D269" s="11"/>
      <c r="E269" s="15"/>
      <c r="F269" s="11"/>
      <c r="G269" s="11"/>
      <c r="H269" s="11"/>
      <c r="I269" s="11"/>
      <c r="J269" s="12"/>
      <c r="K269" s="13"/>
      <c r="L269" s="12"/>
      <c r="M269" s="13"/>
      <c r="N269" s="13"/>
      <c r="O269" s="13"/>
    </row>
    <row r="270">
      <c r="B270" s="11"/>
      <c r="C270" s="11"/>
      <c r="D270" s="11"/>
      <c r="E270" s="15"/>
      <c r="F270" s="11"/>
      <c r="G270" s="11"/>
      <c r="H270" s="11"/>
      <c r="I270" s="11"/>
      <c r="J270" s="12"/>
      <c r="K270" s="13"/>
      <c r="L270" s="12"/>
      <c r="M270" s="13"/>
      <c r="N270" s="13"/>
      <c r="O270" s="13"/>
    </row>
    <row r="271">
      <c r="B271" s="11"/>
      <c r="C271" s="11"/>
      <c r="D271" s="11"/>
      <c r="E271" s="15"/>
      <c r="F271" s="11"/>
      <c r="G271" s="11"/>
      <c r="H271" s="11"/>
      <c r="I271" s="11"/>
      <c r="J271" s="12"/>
      <c r="K271" s="13"/>
      <c r="L271" s="12"/>
      <c r="M271" s="13"/>
      <c r="N271" s="13"/>
      <c r="O271" s="13"/>
    </row>
    <row r="272">
      <c r="B272" s="11"/>
      <c r="C272" s="11"/>
      <c r="D272" s="11"/>
      <c r="E272" s="15"/>
      <c r="F272" s="11"/>
      <c r="G272" s="11"/>
      <c r="H272" s="11"/>
      <c r="I272" s="11"/>
      <c r="J272" s="12"/>
      <c r="K272" s="13"/>
      <c r="L272" s="12"/>
      <c r="M272" s="13"/>
      <c r="N272" s="13"/>
      <c r="O272" s="13"/>
    </row>
    <row r="273">
      <c r="B273" s="11"/>
      <c r="C273" s="11"/>
      <c r="D273" s="11"/>
      <c r="E273" s="15"/>
      <c r="F273" s="11"/>
      <c r="G273" s="11"/>
      <c r="H273" s="11"/>
      <c r="I273" s="11"/>
      <c r="J273" s="12"/>
      <c r="K273" s="13"/>
      <c r="L273" s="12"/>
      <c r="M273" s="13"/>
      <c r="N273" s="13"/>
      <c r="O273" s="13"/>
    </row>
    <row r="274">
      <c r="B274" s="11"/>
      <c r="C274" s="11"/>
      <c r="D274" s="11"/>
      <c r="E274" s="15"/>
      <c r="F274" s="11"/>
      <c r="G274" s="11"/>
      <c r="H274" s="11"/>
      <c r="I274" s="11"/>
      <c r="J274" s="12"/>
      <c r="K274" s="13"/>
      <c r="L274" s="12"/>
      <c r="M274" s="13"/>
      <c r="N274" s="13"/>
      <c r="O274" s="13"/>
    </row>
    <row r="275">
      <c r="B275" s="11"/>
      <c r="C275" s="11"/>
      <c r="D275" s="11"/>
      <c r="E275" s="15"/>
      <c r="F275" s="11"/>
      <c r="G275" s="11"/>
      <c r="H275" s="11"/>
      <c r="I275" s="11"/>
      <c r="J275" s="12"/>
      <c r="K275" s="13"/>
      <c r="L275" s="12"/>
      <c r="M275" s="13"/>
      <c r="N275" s="13"/>
      <c r="O275" s="13"/>
    </row>
    <row r="276">
      <c r="B276" s="11"/>
      <c r="C276" s="11"/>
      <c r="D276" s="11"/>
      <c r="E276" s="15"/>
      <c r="F276" s="11"/>
      <c r="G276" s="11"/>
      <c r="H276" s="11"/>
      <c r="I276" s="11"/>
      <c r="J276" s="12"/>
      <c r="K276" s="13"/>
      <c r="L276" s="12"/>
      <c r="M276" s="13"/>
      <c r="N276" s="13"/>
      <c r="O276" s="13"/>
    </row>
    <row r="277">
      <c r="B277" s="11"/>
      <c r="C277" s="11"/>
      <c r="D277" s="11"/>
      <c r="E277" s="15"/>
      <c r="F277" s="11"/>
      <c r="G277" s="11"/>
      <c r="H277" s="11"/>
      <c r="I277" s="11"/>
      <c r="J277" s="12"/>
      <c r="K277" s="13"/>
      <c r="L277" s="12"/>
      <c r="M277" s="13"/>
      <c r="N277" s="13"/>
      <c r="O277" s="13"/>
    </row>
    <row r="278">
      <c r="B278" s="11"/>
      <c r="C278" s="11"/>
      <c r="D278" s="11"/>
      <c r="E278" s="15"/>
      <c r="F278" s="11"/>
      <c r="G278" s="11"/>
      <c r="H278" s="11"/>
      <c r="I278" s="11"/>
      <c r="J278" s="12"/>
      <c r="K278" s="13"/>
      <c r="L278" s="12"/>
      <c r="M278" s="13"/>
      <c r="N278" s="13"/>
      <c r="O278" s="13"/>
    </row>
    <row r="279">
      <c r="B279" s="11"/>
      <c r="C279" s="11"/>
      <c r="D279" s="11"/>
      <c r="E279" s="15"/>
      <c r="F279" s="11"/>
      <c r="G279" s="11"/>
      <c r="H279" s="11"/>
      <c r="I279" s="11"/>
      <c r="J279" s="12"/>
      <c r="K279" s="13"/>
      <c r="L279" s="12"/>
      <c r="M279" s="13"/>
      <c r="N279" s="13"/>
      <c r="O279" s="13"/>
    </row>
    <row r="280">
      <c r="B280" s="11"/>
      <c r="C280" s="11"/>
      <c r="D280" s="11"/>
      <c r="E280" s="15"/>
      <c r="F280" s="11"/>
      <c r="G280" s="11"/>
      <c r="H280" s="11"/>
      <c r="I280" s="11"/>
      <c r="J280" s="12"/>
      <c r="K280" s="13"/>
      <c r="L280" s="12"/>
      <c r="M280" s="13"/>
      <c r="N280" s="13"/>
      <c r="O280" s="13"/>
    </row>
    <row r="281">
      <c r="B281" s="11"/>
      <c r="C281" s="11"/>
      <c r="D281" s="11"/>
      <c r="E281" s="15"/>
      <c r="F281" s="11"/>
      <c r="G281" s="11"/>
      <c r="H281" s="11"/>
      <c r="I281" s="11"/>
      <c r="J281" s="12"/>
      <c r="K281" s="13"/>
      <c r="L281" s="12"/>
      <c r="M281" s="13"/>
      <c r="N281" s="13"/>
      <c r="O281" s="13"/>
    </row>
    <row r="282">
      <c r="B282" s="11"/>
      <c r="C282" s="11"/>
      <c r="D282" s="11"/>
      <c r="E282" s="15"/>
      <c r="F282" s="11"/>
      <c r="G282" s="11"/>
      <c r="H282" s="11"/>
      <c r="I282" s="11"/>
      <c r="J282" s="12"/>
      <c r="K282" s="13"/>
      <c r="L282" s="12"/>
      <c r="M282" s="13"/>
      <c r="N282" s="13"/>
      <c r="O282" s="13"/>
    </row>
    <row r="283">
      <c r="B283" s="11"/>
      <c r="C283" s="11"/>
      <c r="D283" s="11"/>
      <c r="E283" s="15"/>
      <c r="F283" s="11"/>
      <c r="G283" s="11"/>
      <c r="H283" s="11"/>
      <c r="I283" s="11"/>
      <c r="J283" s="12"/>
      <c r="K283" s="13"/>
      <c r="L283" s="12"/>
      <c r="M283" s="13"/>
      <c r="N283" s="13"/>
      <c r="O283" s="13"/>
    </row>
    <row r="284">
      <c r="B284" s="11"/>
      <c r="C284" s="11"/>
      <c r="D284" s="11"/>
      <c r="E284" s="15"/>
      <c r="F284" s="11"/>
      <c r="G284" s="11"/>
      <c r="H284" s="11"/>
      <c r="I284" s="11"/>
      <c r="J284" s="12"/>
      <c r="K284" s="13"/>
      <c r="L284" s="12"/>
      <c r="M284" s="13"/>
      <c r="N284" s="13"/>
      <c r="O284" s="13"/>
    </row>
    <row r="285">
      <c r="B285" s="11"/>
      <c r="C285" s="11"/>
      <c r="D285" s="11"/>
      <c r="E285" s="15"/>
      <c r="F285" s="11"/>
      <c r="G285" s="11"/>
      <c r="H285" s="11"/>
      <c r="I285" s="11"/>
      <c r="J285" s="12"/>
      <c r="K285" s="13"/>
      <c r="L285" s="12"/>
      <c r="M285" s="13"/>
      <c r="N285" s="13"/>
      <c r="O285" s="13"/>
    </row>
    <row r="286">
      <c r="B286" s="11"/>
      <c r="C286" s="11"/>
      <c r="D286" s="11"/>
      <c r="E286" s="15"/>
      <c r="F286" s="11"/>
      <c r="G286" s="11"/>
      <c r="H286" s="11"/>
      <c r="I286" s="11"/>
      <c r="J286" s="12"/>
      <c r="K286" s="13"/>
      <c r="L286" s="12"/>
      <c r="M286" s="13"/>
      <c r="N286" s="13"/>
      <c r="O286" s="13"/>
    </row>
    <row r="287">
      <c r="B287" s="11"/>
      <c r="C287" s="11"/>
      <c r="D287" s="11"/>
      <c r="E287" s="15"/>
      <c r="F287" s="11"/>
      <c r="G287" s="11"/>
      <c r="H287" s="11"/>
      <c r="I287" s="11"/>
      <c r="J287" s="12"/>
      <c r="K287" s="13"/>
      <c r="L287" s="12"/>
      <c r="M287" s="13"/>
      <c r="N287" s="13"/>
      <c r="O287" s="13"/>
    </row>
    <row r="288">
      <c r="B288" s="11"/>
      <c r="C288" s="11"/>
      <c r="D288" s="11"/>
      <c r="E288" s="15"/>
      <c r="F288" s="11"/>
      <c r="G288" s="11"/>
      <c r="H288" s="11"/>
      <c r="I288" s="11"/>
      <c r="J288" s="12"/>
      <c r="K288" s="13"/>
      <c r="L288" s="12"/>
      <c r="M288" s="13"/>
      <c r="N288" s="13"/>
      <c r="O288" s="13"/>
    </row>
    <row r="289">
      <c r="B289" s="11"/>
      <c r="C289" s="11"/>
      <c r="D289" s="11"/>
      <c r="E289" s="15"/>
      <c r="F289" s="11"/>
      <c r="G289" s="11"/>
      <c r="H289" s="11"/>
      <c r="I289" s="11"/>
      <c r="J289" s="12"/>
      <c r="K289" s="13"/>
      <c r="L289" s="12"/>
      <c r="M289" s="13"/>
      <c r="N289" s="13"/>
      <c r="O289" s="13"/>
    </row>
    <row r="290">
      <c r="B290" s="11"/>
      <c r="C290" s="11"/>
      <c r="D290" s="11"/>
      <c r="E290" s="15"/>
      <c r="F290" s="11"/>
      <c r="G290" s="11"/>
      <c r="H290" s="11"/>
      <c r="I290" s="11"/>
      <c r="J290" s="12"/>
      <c r="K290" s="13"/>
      <c r="L290" s="12"/>
      <c r="M290" s="13"/>
      <c r="N290" s="13"/>
      <c r="O290" s="13"/>
    </row>
    <row r="291">
      <c r="B291" s="11"/>
      <c r="C291" s="11"/>
      <c r="D291" s="11"/>
      <c r="E291" s="15"/>
      <c r="F291" s="11"/>
      <c r="G291" s="11"/>
      <c r="H291" s="11"/>
      <c r="I291" s="11"/>
      <c r="J291" s="12"/>
      <c r="K291" s="13"/>
      <c r="L291" s="12"/>
      <c r="M291" s="13"/>
      <c r="N291" s="13"/>
      <c r="O291" s="13"/>
    </row>
    <row r="292">
      <c r="B292" s="11"/>
      <c r="C292" s="11"/>
      <c r="D292" s="11"/>
      <c r="E292" s="15"/>
      <c r="F292" s="11"/>
      <c r="G292" s="11"/>
      <c r="H292" s="11"/>
      <c r="I292" s="11"/>
      <c r="J292" s="12"/>
      <c r="K292" s="13"/>
      <c r="L292" s="12"/>
      <c r="M292" s="13"/>
      <c r="N292" s="13"/>
      <c r="O292" s="13"/>
    </row>
    <row r="293">
      <c r="B293" s="11"/>
      <c r="C293" s="11"/>
      <c r="D293" s="11"/>
      <c r="E293" s="15"/>
      <c r="F293" s="11"/>
      <c r="G293" s="11"/>
      <c r="H293" s="11"/>
      <c r="I293" s="11"/>
      <c r="J293" s="12"/>
      <c r="K293" s="13"/>
      <c r="L293" s="12"/>
      <c r="M293" s="13"/>
      <c r="N293" s="13"/>
      <c r="O293" s="13"/>
    </row>
    <row r="294">
      <c r="B294" s="11"/>
      <c r="C294" s="11"/>
      <c r="D294" s="11"/>
      <c r="E294" s="15"/>
      <c r="F294" s="11"/>
      <c r="G294" s="11"/>
      <c r="H294" s="11"/>
      <c r="I294" s="11"/>
      <c r="J294" s="12"/>
      <c r="K294" s="13"/>
      <c r="L294" s="12"/>
      <c r="M294" s="13"/>
      <c r="N294" s="13"/>
      <c r="O294" s="13"/>
    </row>
    <row r="295">
      <c r="B295" s="11"/>
      <c r="C295" s="11"/>
      <c r="D295" s="11"/>
      <c r="E295" s="15"/>
      <c r="F295" s="11"/>
      <c r="G295" s="11"/>
      <c r="H295" s="11"/>
      <c r="I295" s="11"/>
      <c r="J295" s="12"/>
      <c r="K295" s="13"/>
      <c r="L295" s="12"/>
      <c r="M295" s="13"/>
      <c r="N295" s="13"/>
      <c r="O295" s="13"/>
    </row>
    <row r="296">
      <c r="B296" s="11"/>
      <c r="C296" s="11"/>
      <c r="D296" s="11"/>
      <c r="E296" s="15"/>
      <c r="F296" s="11"/>
      <c r="G296" s="11"/>
      <c r="H296" s="11"/>
      <c r="I296" s="11"/>
      <c r="J296" s="12"/>
      <c r="K296" s="13"/>
      <c r="L296" s="12"/>
      <c r="M296" s="13"/>
      <c r="N296" s="13"/>
      <c r="O296" s="13"/>
    </row>
    <row r="297">
      <c r="B297" s="11"/>
      <c r="C297" s="11"/>
      <c r="D297" s="11"/>
      <c r="E297" s="15"/>
      <c r="F297" s="11"/>
      <c r="G297" s="11"/>
      <c r="H297" s="11"/>
      <c r="I297" s="11"/>
      <c r="J297" s="12"/>
      <c r="K297" s="13"/>
      <c r="L297" s="12"/>
      <c r="M297" s="13"/>
      <c r="N297" s="13"/>
      <c r="O297" s="13"/>
    </row>
    <row r="298">
      <c r="B298" s="11"/>
      <c r="C298" s="11"/>
      <c r="D298" s="11"/>
      <c r="E298" s="15"/>
      <c r="F298" s="11"/>
      <c r="G298" s="11"/>
      <c r="H298" s="11"/>
      <c r="I298" s="11"/>
      <c r="J298" s="12"/>
      <c r="K298" s="13"/>
      <c r="L298" s="12"/>
      <c r="M298" s="13"/>
      <c r="N298" s="13"/>
      <c r="O298" s="13"/>
    </row>
    <row r="299">
      <c r="B299" s="11"/>
      <c r="C299" s="11"/>
      <c r="D299" s="11"/>
      <c r="E299" s="15"/>
      <c r="F299" s="11"/>
      <c r="G299" s="11"/>
      <c r="H299" s="11"/>
      <c r="I299" s="11"/>
      <c r="J299" s="12"/>
      <c r="K299" s="13"/>
      <c r="L299" s="12"/>
      <c r="M299" s="13"/>
      <c r="N299" s="13"/>
      <c r="O299" s="13"/>
    </row>
    <row r="300">
      <c r="B300" s="11"/>
      <c r="C300" s="11"/>
      <c r="D300" s="11"/>
      <c r="E300" s="15"/>
      <c r="F300" s="11"/>
      <c r="G300" s="11"/>
      <c r="H300" s="11"/>
      <c r="I300" s="11"/>
      <c r="J300" s="12"/>
      <c r="K300" s="13"/>
      <c r="L300" s="12"/>
      <c r="M300" s="13"/>
      <c r="N300" s="13"/>
      <c r="O300" s="13"/>
    </row>
    <row r="301">
      <c r="B301" s="11"/>
      <c r="C301" s="11"/>
      <c r="D301" s="11"/>
      <c r="E301" s="15"/>
      <c r="F301" s="11"/>
      <c r="G301" s="11"/>
      <c r="H301" s="11"/>
      <c r="I301" s="11"/>
      <c r="J301" s="12"/>
      <c r="K301" s="13"/>
      <c r="L301" s="12"/>
      <c r="M301" s="13"/>
      <c r="N301" s="13"/>
      <c r="O301" s="13"/>
    </row>
    <row r="302">
      <c r="B302" s="11"/>
      <c r="C302" s="11"/>
      <c r="D302" s="11"/>
      <c r="E302" s="15"/>
      <c r="F302" s="11"/>
      <c r="G302" s="11"/>
      <c r="H302" s="11"/>
      <c r="I302" s="11"/>
      <c r="J302" s="12"/>
      <c r="K302" s="13"/>
      <c r="L302" s="12"/>
      <c r="M302" s="13"/>
      <c r="N302" s="13"/>
      <c r="O302" s="13"/>
    </row>
    <row r="303">
      <c r="B303" s="11"/>
      <c r="C303" s="11"/>
      <c r="D303" s="11"/>
      <c r="E303" s="15"/>
      <c r="F303" s="11"/>
      <c r="G303" s="11"/>
      <c r="H303" s="11"/>
      <c r="I303" s="11"/>
      <c r="J303" s="12"/>
      <c r="K303" s="13"/>
      <c r="L303" s="12"/>
      <c r="M303" s="13"/>
      <c r="N303" s="13"/>
      <c r="O303" s="13"/>
    </row>
    <row r="304">
      <c r="B304" s="11"/>
      <c r="C304" s="11"/>
      <c r="D304" s="11"/>
      <c r="E304" s="15"/>
      <c r="F304" s="11"/>
      <c r="G304" s="11"/>
      <c r="H304" s="11"/>
      <c r="I304" s="11"/>
      <c r="J304" s="12"/>
      <c r="K304" s="13"/>
      <c r="L304" s="12"/>
      <c r="M304" s="13"/>
      <c r="N304" s="13"/>
      <c r="O304" s="13"/>
    </row>
    <row r="305">
      <c r="B305" s="11"/>
      <c r="C305" s="11"/>
      <c r="D305" s="11"/>
      <c r="E305" s="15"/>
      <c r="F305" s="11"/>
      <c r="G305" s="11"/>
      <c r="H305" s="11"/>
      <c r="I305" s="11"/>
      <c r="J305" s="12"/>
      <c r="K305" s="13"/>
      <c r="L305" s="12"/>
      <c r="M305" s="13"/>
      <c r="N305" s="13"/>
      <c r="O305" s="13"/>
    </row>
    <row r="306">
      <c r="B306" s="11"/>
      <c r="C306" s="11"/>
      <c r="D306" s="11"/>
      <c r="E306" s="15"/>
      <c r="F306" s="11"/>
      <c r="G306" s="11"/>
      <c r="H306" s="11"/>
      <c r="I306" s="11"/>
      <c r="J306" s="12"/>
      <c r="K306" s="13"/>
      <c r="L306" s="12"/>
      <c r="M306" s="13"/>
      <c r="N306" s="13"/>
      <c r="O306" s="13"/>
    </row>
    <row r="307">
      <c r="B307" s="11"/>
      <c r="C307" s="11"/>
      <c r="D307" s="11"/>
      <c r="E307" s="15"/>
      <c r="F307" s="11"/>
      <c r="G307" s="11"/>
      <c r="H307" s="11"/>
      <c r="I307" s="11"/>
      <c r="J307" s="12"/>
      <c r="K307" s="13"/>
      <c r="L307" s="12"/>
      <c r="M307" s="13"/>
      <c r="N307" s="13"/>
      <c r="O307" s="13"/>
    </row>
    <row r="308">
      <c r="B308" s="11"/>
      <c r="C308" s="11"/>
      <c r="D308" s="11"/>
      <c r="E308" s="15"/>
      <c r="F308" s="11"/>
      <c r="G308" s="11"/>
      <c r="H308" s="11"/>
      <c r="I308" s="11"/>
      <c r="J308" s="12"/>
      <c r="K308" s="13"/>
      <c r="L308" s="12"/>
      <c r="M308" s="13"/>
      <c r="N308" s="13"/>
      <c r="O308" s="13"/>
    </row>
    <row r="309">
      <c r="B309" s="11"/>
      <c r="C309" s="11"/>
      <c r="D309" s="11"/>
      <c r="E309" s="15"/>
      <c r="F309" s="11"/>
      <c r="G309" s="11"/>
      <c r="H309" s="11"/>
      <c r="I309" s="11"/>
      <c r="J309" s="12"/>
      <c r="K309" s="13"/>
      <c r="L309" s="12"/>
      <c r="M309" s="13"/>
      <c r="N309" s="13"/>
      <c r="O309" s="13"/>
    </row>
    <row r="310">
      <c r="B310" s="11"/>
      <c r="C310" s="11"/>
      <c r="D310" s="11"/>
      <c r="E310" s="15"/>
      <c r="F310" s="11"/>
      <c r="G310" s="11"/>
      <c r="H310" s="11"/>
      <c r="I310" s="11"/>
      <c r="J310" s="12"/>
      <c r="K310" s="13"/>
      <c r="L310" s="12"/>
      <c r="M310" s="13"/>
      <c r="N310" s="13"/>
      <c r="O310" s="13"/>
    </row>
    <row r="311">
      <c r="B311" s="11"/>
      <c r="C311" s="11"/>
      <c r="D311" s="11"/>
      <c r="E311" s="15"/>
      <c r="F311" s="11"/>
      <c r="G311" s="11"/>
      <c r="H311" s="11"/>
      <c r="I311" s="11"/>
      <c r="J311" s="12"/>
      <c r="K311" s="13"/>
      <c r="L311" s="12"/>
      <c r="M311" s="13"/>
      <c r="N311" s="13"/>
      <c r="O311" s="13"/>
    </row>
    <row r="312">
      <c r="B312" s="11"/>
      <c r="C312" s="11"/>
      <c r="D312" s="11"/>
      <c r="E312" s="15"/>
      <c r="F312" s="11"/>
      <c r="G312" s="11"/>
      <c r="H312" s="11"/>
      <c r="I312" s="11"/>
      <c r="J312" s="12"/>
      <c r="K312" s="13"/>
      <c r="L312" s="12"/>
      <c r="M312" s="13"/>
      <c r="N312" s="13"/>
      <c r="O312" s="13"/>
    </row>
    <row r="313">
      <c r="B313" s="11"/>
      <c r="C313" s="11"/>
      <c r="D313" s="11"/>
      <c r="E313" s="15"/>
      <c r="F313" s="11"/>
      <c r="G313" s="11"/>
      <c r="H313" s="11"/>
      <c r="I313" s="11"/>
      <c r="J313" s="12"/>
      <c r="K313" s="13"/>
      <c r="L313" s="12"/>
      <c r="M313" s="13"/>
      <c r="N313" s="13"/>
      <c r="O313" s="13"/>
    </row>
    <row r="314">
      <c r="B314" s="11"/>
      <c r="C314" s="11"/>
      <c r="D314" s="11"/>
      <c r="E314" s="15"/>
      <c r="F314" s="11"/>
      <c r="G314" s="11"/>
      <c r="H314" s="11"/>
      <c r="I314" s="11"/>
      <c r="J314" s="12"/>
      <c r="K314" s="13"/>
      <c r="L314" s="12"/>
      <c r="M314" s="13"/>
      <c r="N314" s="13"/>
      <c r="O314" s="13"/>
    </row>
    <row r="315">
      <c r="B315" s="11"/>
      <c r="C315" s="11"/>
      <c r="D315" s="11"/>
      <c r="E315" s="15"/>
      <c r="F315" s="11"/>
      <c r="G315" s="11"/>
      <c r="H315" s="11"/>
      <c r="I315" s="11"/>
      <c r="J315" s="12"/>
      <c r="K315" s="13"/>
      <c r="L315" s="12"/>
      <c r="M315" s="13"/>
      <c r="N315" s="13"/>
      <c r="O315" s="13"/>
    </row>
    <row r="316">
      <c r="B316" s="11"/>
      <c r="C316" s="11"/>
      <c r="D316" s="11"/>
      <c r="E316" s="15"/>
      <c r="F316" s="11"/>
      <c r="G316" s="11"/>
      <c r="H316" s="11"/>
      <c r="I316" s="11"/>
      <c r="J316" s="12"/>
      <c r="K316" s="13"/>
      <c r="L316" s="12"/>
      <c r="M316" s="13"/>
      <c r="N316" s="13"/>
      <c r="O316" s="13"/>
    </row>
    <row r="317">
      <c r="B317" s="11"/>
      <c r="C317" s="11"/>
      <c r="D317" s="11"/>
      <c r="E317" s="15"/>
      <c r="F317" s="11"/>
      <c r="G317" s="11"/>
      <c r="H317" s="11"/>
      <c r="I317" s="11"/>
      <c r="J317" s="12"/>
      <c r="K317" s="13"/>
      <c r="L317" s="12"/>
      <c r="M317" s="13"/>
      <c r="N317" s="13"/>
      <c r="O317" s="13"/>
    </row>
    <row r="318">
      <c r="B318" s="11"/>
      <c r="C318" s="11"/>
      <c r="D318" s="11"/>
      <c r="E318" s="15"/>
      <c r="F318" s="11"/>
      <c r="G318" s="11"/>
      <c r="H318" s="11"/>
      <c r="I318" s="11"/>
      <c r="J318" s="12"/>
      <c r="K318" s="13"/>
      <c r="L318" s="12"/>
      <c r="M318" s="13"/>
      <c r="N318" s="13"/>
      <c r="O318" s="13"/>
    </row>
    <row r="319">
      <c r="B319" s="11"/>
      <c r="C319" s="11"/>
      <c r="D319" s="11"/>
      <c r="E319" s="15"/>
      <c r="F319" s="11"/>
      <c r="G319" s="11"/>
      <c r="H319" s="11"/>
      <c r="I319" s="11"/>
      <c r="J319" s="12"/>
      <c r="K319" s="13"/>
      <c r="L319" s="12"/>
      <c r="M319" s="13"/>
      <c r="N319" s="13"/>
      <c r="O319" s="13"/>
    </row>
    <row r="320">
      <c r="B320" s="11"/>
      <c r="C320" s="11"/>
      <c r="D320" s="11"/>
      <c r="E320" s="15"/>
      <c r="F320" s="11"/>
      <c r="G320" s="11"/>
      <c r="H320" s="11"/>
      <c r="I320" s="11"/>
      <c r="J320" s="12"/>
      <c r="K320" s="13"/>
      <c r="L320" s="12"/>
      <c r="M320" s="13"/>
      <c r="N320" s="13"/>
      <c r="O320" s="13"/>
    </row>
    <row r="321">
      <c r="B321" s="11"/>
      <c r="C321" s="11"/>
      <c r="D321" s="11"/>
      <c r="E321" s="15"/>
      <c r="F321" s="11"/>
      <c r="G321" s="11"/>
      <c r="H321" s="11"/>
      <c r="I321" s="11"/>
      <c r="J321" s="12"/>
      <c r="K321" s="13"/>
      <c r="L321" s="12"/>
      <c r="M321" s="13"/>
      <c r="N321" s="13"/>
      <c r="O321" s="13"/>
    </row>
    <row r="322">
      <c r="B322" s="11"/>
      <c r="C322" s="11"/>
      <c r="D322" s="11"/>
      <c r="E322" s="15"/>
      <c r="F322" s="11"/>
      <c r="G322" s="11"/>
      <c r="H322" s="11"/>
      <c r="I322" s="11"/>
      <c r="J322" s="12"/>
      <c r="K322" s="13"/>
      <c r="L322" s="12"/>
      <c r="M322" s="13"/>
      <c r="N322" s="13"/>
      <c r="O322" s="13"/>
    </row>
    <row r="323">
      <c r="B323" s="11"/>
      <c r="C323" s="11"/>
      <c r="D323" s="11"/>
      <c r="E323" s="15"/>
      <c r="F323" s="11"/>
      <c r="G323" s="11"/>
      <c r="H323" s="11"/>
      <c r="I323" s="11"/>
      <c r="J323" s="12"/>
      <c r="K323" s="13"/>
      <c r="L323" s="12"/>
      <c r="M323" s="13"/>
      <c r="N323" s="13"/>
      <c r="O323" s="13"/>
    </row>
    <row r="324">
      <c r="B324" s="11"/>
      <c r="C324" s="11"/>
      <c r="D324" s="11"/>
      <c r="E324" s="15"/>
      <c r="F324" s="11"/>
      <c r="G324" s="11"/>
      <c r="H324" s="11"/>
      <c r="I324" s="11"/>
      <c r="J324" s="12"/>
      <c r="K324" s="13"/>
      <c r="L324" s="12"/>
      <c r="M324" s="13"/>
      <c r="N324" s="13"/>
      <c r="O324" s="13"/>
    </row>
    <row r="325">
      <c r="B325" s="11"/>
      <c r="C325" s="11"/>
      <c r="D325" s="11"/>
      <c r="E325" s="15"/>
      <c r="F325" s="11"/>
      <c r="G325" s="11"/>
      <c r="H325" s="11"/>
      <c r="I325" s="11"/>
      <c r="J325" s="12"/>
      <c r="K325" s="13"/>
      <c r="L325" s="12"/>
      <c r="M325" s="13"/>
      <c r="N325" s="13"/>
      <c r="O325" s="13"/>
    </row>
    <row r="326">
      <c r="B326" s="11"/>
      <c r="C326" s="11"/>
      <c r="D326" s="11"/>
      <c r="E326" s="15"/>
      <c r="F326" s="11"/>
      <c r="G326" s="11"/>
      <c r="H326" s="11"/>
      <c r="I326" s="11"/>
      <c r="J326" s="12"/>
      <c r="K326" s="13"/>
      <c r="L326" s="12"/>
      <c r="M326" s="13"/>
      <c r="N326" s="13"/>
      <c r="O326" s="13"/>
    </row>
    <row r="327">
      <c r="B327" s="11"/>
      <c r="C327" s="11"/>
      <c r="D327" s="11"/>
      <c r="E327" s="15"/>
      <c r="F327" s="11"/>
      <c r="G327" s="11"/>
      <c r="H327" s="11"/>
      <c r="I327" s="11"/>
      <c r="J327" s="12"/>
      <c r="K327" s="13"/>
      <c r="L327" s="12"/>
      <c r="M327" s="13"/>
      <c r="N327" s="13"/>
      <c r="O327" s="13"/>
    </row>
    <row r="328">
      <c r="B328" s="11"/>
      <c r="C328" s="11"/>
      <c r="D328" s="11"/>
      <c r="E328" s="15"/>
      <c r="F328" s="11"/>
      <c r="G328" s="11"/>
      <c r="H328" s="11"/>
      <c r="I328" s="11"/>
      <c r="J328" s="12"/>
      <c r="K328" s="13"/>
      <c r="L328" s="12"/>
      <c r="M328" s="13"/>
      <c r="N328" s="13"/>
      <c r="O328" s="13"/>
    </row>
    <row r="329">
      <c r="B329" s="11"/>
      <c r="C329" s="11"/>
      <c r="D329" s="11"/>
      <c r="E329" s="15"/>
      <c r="F329" s="11"/>
      <c r="G329" s="11"/>
      <c r="H329" s="11"/>
      <c r="I329" s="11"/>
      <c r="J329" s="12"/>
      <c r="K329" s="13"/>
      <c r="L329" s="12"/>
      <c r="M329" s="13"/>
      <c r="N329" s="13"/>
      <c r="O329" s="13"/>
    </row>
    <row r="330">
      <c r="B330" s="11"/>
      <c r="C330" s="11"/>
      <c r="D330" s="11"/>
      <c r="E330" s="15"/>
      <c r="F330" s="11"/>
      <c r="G330" s="11"/>
      <c r="H330" s="11"/>
      <c r="I330" s="11"/>
      <c r="J330" s="12"/>
      <c r="K330" s="13"/>
      <c r="L330" s="12"/>
      <c r="M330" s="13"/>
      <c r="N330" s="13"/>
      <c r="O330" s="13"/>
    </row>
    <row r="331">
      <c r="B331" s="11"/>
      <c r="C331" s="11"/>
      <c r="D331" s="11"/>
      <c r="E331" s="15"/>
      <c r="F331" s="11"/>
      <c r="G331" s="11"/>
      <c r="H331" s="11"/>
      <c r="I331" s="11"/>
      <c r="J331" s="12"/>
      <c r="K331" s="13"/>
      <c r="L331" s="12"/>
      <c r="M331" s="13"/>
      <c r="N331" s="13"/>
      <c r="O331" s="13"/>
    </row>
    <row r="332">
      <c r="B332" s="11"/>
      <c r="C332" s="11"/>
      <c r="D332" s="11"/>
      <c r="E332" s="15"/>
      <c r="F332" s="11"/>
      <c r="G332" s="11"/>
      <c r="H332" s="11"/>
      <c r="I332" s="11"/>
      <c r="J332" s="12"/>
      <c r="K332" s="13"/>
      <c r="L332" s="12"/>
      <c r="M332" s="13"/>
      <c r="N332" s="13"/>
      <c r="O332" s="13"/>
    </row>
    <row r="333">
      <c r="B333" s="11"/>
      <c r="C333" s="11"/>
      <c r="D333" s="11"/>
      <c r="E333" s="15"/>
      <c r="F333" s="11"/>
      <c r="G333" s="11"/>
      <c r="H333" s="11"/>
      <c r="I333" s="11"/>
      <c r="J333" s="12"/>
      <c r="K333" s="13"/>
      <c r="L333" s="12"/>
      <c r="M333" s="13"/>
      <c r="N333" s="13"/>
      <c r="O333" s="13"/>
    </row>
    <row r="334">
      <c r="B334" s="11"/>
      <c r="C334" s="11"/>
      <c r="D334" s="11"/>
      <c r="E334" s="15"/>
      <c r="F334" s="11"/>
      <c r="G334" s="11"/>
      <c r="H334" s="11"/>
      <c r="I334" s="11"/>
      <c r="J334" s="12"/>
      <c r="K334" s="13"/>
      <c r="L334" s="12"/>
      <c r="M334" s="13"/>
      <c r="N334" s="13"/>
      <c r="O334" s="13"/>
    </row>
    <row r="335">
      <c r="B335" s="11"/>
      <c r="C335" s="11"/>
      <c r="D335" s="11"/>
      <c r="E335" s="15"/>
      <c r="F335" s="11"/>
      <c r="G335" s="11"/>
      <c r="H335" s="11"/>
      <c r="I335" s="11"/>
      <c r="J335" s="12"/>
      <c r="K335" s="13"/>
      <c r="L335" s="12"/>
      <c r="M335" s="13"/>
      <c r="N335" s="13"/>
      <c r="O335" s="13"/>
    </row>
    <row r="336">
      <c r="B336" s="11"/>
      <c r="C336" s="11"/>
      <c r="D336" s="11"/>
      <c r="E336" s="15"/>
      <c r="F336" s="11"/>
      <c r="G336" s="11"/>
      <c r="H336" s="11"/>
      <c r="I336" s="11"/>
      <c r="J336" s="12"/>
      <c r="K336" s="13"/>
      <c r="L336" s="12"/>
      <c r="M336" s="13"/>
      <c r="N336" s="13"/>
      <c r="O336" s="13"/>
    </row>
    <row r="337">
      <c r="B337" s="11"/>
      <c r="C337" s="11"/>
      <c r="D337" s="11"/>
      <c r="E337" s="15"/>
      <c r="F337" s="11"/>
      <c r="G337" s="11"/>
      <c r="H337" s="11"/>
      <c r="I337" s="11"/>
      <c r="J337" s="12"/>
      <c r="K337" s="13"/>
      <c r="L337" s="12"/>
      <c r="M337" s="13"/>
      <c r="N337" s="13"/>
      <c r="O337" s="13"/>
    </row>
    <row r="338">
      <c r="B338" s="11"/>
      <c r="C338" s="11"/>
      <c r="D338" s="11"/>
      <c r="E338" s="15"/>
      <c r="F338" s="11"/>
      <c r="G338" s="11"/>
      <c r="H338" s="11"/>
      <c r="I338" s="11"/>
      <c r="J338" s="12"/>
      <c r="K338" s="13"/>
      <c r="L338" s="12"/>
      <c r="M338" s="13"/>
      <c r="N338" s="13"/>
      <c r="O338" s="13"/>
    </row>
    <row r="339">
      <c r="B339" s="11"/>
      <c r="C339" s="11"/>
      <c r="D339" s="11"/>
      <c r="E339" s="15"/>
      <c r="F339" s="11"/>
      <c r="G339" s="11"/>
      <c r="H339" s="11"/>
      <c r="I339" s="11"/>
      <c r="J339" s="12"/>
      <c r="K339" s="13"/>
      <c r="L339" s="12"/>
      <c r="M339" s="13"/>
      <c r="N339" s="13"/>
      <c r="O339" s="13"/>
    </row>
    <row r="340">
      <c r="B340" s="11"/>
      <c r="C340" s="11"/>
      <c r="D340" s="11"/>
      <c r="E340" s="15"/>
      <c r="F340" s="11"/>
      <c r="G340" s="11"/>
      <c r="H340" s="11"/>
      <c r="I340" s="11"/>
      <c r="J340" s="12"/>
      <c r="K340" s="13"/>
      <c r="L340" s="12"/>
      <c r="M340" s="13"/>
      <c r="N340" s="13"/>
      <c r="O340" s="13"/>
    </row>
    <row r="341">
      <c r="B341" s="11"/>
      <c r="C341" s="11"/>
      <c r="D341" s="11"/>
      <c r="E341" s="15"/>
      <c r="F341" s="11"/>
      <c r="G341" s="11"/>
      <c r="H341" s="11"/>
      <c r="I341" s="11"/>
      <c r="J341" s="12"/>
      <c r="K341" s="13"/>
      <c r="L341" s="12"/>
      <c r="M341" s="13"/>
      <c r="N341" s="13"/>
      <c r="O341" s="13"/>
    </row>
    <row r="342">
      <c r="B342" s="11"/>
      <c r="C342" s="11"/>
      <c r="D342" s="11"/>
      <c r="E342" s="15"/>
      <c r="F342" s="11"/>
      <c r="G342" s="11"/>
      <c r="H342" s="11"/>
      <c r="I342" s="11"/>
      <c r="J342" s="12"/>
      <c r="K342" s="13"/>
      <c r="L342" s="12"/>
      <c r="M342" s="13"/>
      <c r="N342" s="13"/>
      <c r="O342" s="13"/>
    </row>
    <row r="343">
      <c r="B343" s="11"/>
      <c r="C343" s="11"/>
      <c r="D343" s="11"/>
      <c r="E343" s="15"/>
      <c r="F343" s="11"/>
      <c r="G343" s="11"/>
      <c r="H343" s="11"/>
      <c r="I343" s="11"/>
      <c r="J343" s="12"/>
      <c r="K343" s="13"/>
      <c r="L343" s="12"/>
      <c r="M343" s="13"/>
      <c r="N343" s="13"/>
      <c r="O343" s="13"/>
    </row>
    <row r="344">
      <c r="B344" s="11"/>
      <c r="C344" s="11"/>
      <c r="D344" s="11"/>
      <c r="E344" s="15"/>
      <c r="F344" s="11"/>
      <c r="G344" s="11"/>
      <c r="H344" s="11"/>
      <c r="I344" s="11"/>
      <c r="J344" s="12"/>
      <c r="K344" s="13"/>
      <c r="L344" s="12"/>
      <c r="M344" s="13"/>
      <c r="N344" s="13"/>
      <c r="O344" s="13"/>
    </row>
    <row r="345">
      <c r="B345" s="11"/>
      <c r="C345" s="11"/>
      <c r="D345" s="11"/>
      <c r="E345" s="15"/>
      <c r="F345" s="11"/>
      <c r="G345" s="11"/>
      <c r="H345" s="11"/>
      <c r="I345" s="11"/>
      <c r="J345" s="12"/>
      <c r="K345" s="13"/>
      <c r="L345" s="12"/>
      <c r="M345" s="13"/>
      <c r="N345" s="13"/>
      <c r="O345" s="13"/>
    </row>
    <row r="346">
      <c r="B346" s="11"/>
      <c r="C346" s="11"/>
      <c r="D346" s="11"/>
      <c r="E346" s="15"/>
      <c r="F346" s="11"/>
      <c r="G346" s="11"/>
      <c r="H346" s="11"/>
      <c r="I346" s="11"/>
      <c r="J346" s="12"/>
      <c r="K346" s="13"/>
      <c r="L346" s="12"/>
      <c r="M346" s="13"/>
      <c r="N346" s="13"/>
      <c r="O346" s="13"/>
    </row>
    <row r="347">
      <c r="B347" s="11"/>
      <c r="C347" s="11"/>
      <c r="D347" s="11"/>
      <c r="E347" s="15"/>
      <c r="F347" s="11"/>
      <c r="G347" s="11"/>
      <c r="H347" s="11"/>
      <c r="I347" s="11"/>
      <c r="J347" s="12"/>
      <c r="K347" s="13"/>
      <c r="L347" s="12"/>
      <c r="M347" s="13"/>
      <c r="N347" s="13"/>
      <c r="O347" s="13"/>
    </row>
    <row r="348">
      <c r="B348" s="11"/>
      <c r="C348" s="11"/>
      <c r="D348" s="11"/>
      <c r="E348" s="15"/>
      <c r="F348" s="11"/>
      <c r="G348" s="11"/>
      <c r="H348" s="11"/>
      <c r="I348" s="11"/>
      <c r="J348" s="12"/>
      <c r="K348" s="13"/>
      <c r="L348" s="12"/>
      <c r="M348" s="13"/>
      <c r="N348" s="13"/>
      <c r="O348" s="13"/>
    </row>
    <row r="349">
      <c r="B349" s="11"/>
      <c r="C349" s="11"/>
      <c r="D349" s="11"/>
      <c r="E349" s="15"/>
      <c r="F349" s="11"/>
      <c r="G349" s="11"/>
      <c r="H349" s="11"/>
      <c r="I349" s="11"/>
      <c r="J349" s="12"/>
      <c r="K349" s="13"/>
      <c r="L349" s="12"/>
      <c r="M349" s="13"/>
      <c r="N349" s="13"/>
      <c r="O349" s="13"/>
    </row>
    <row r="350">
      <c r="B350" s="11"/>
      <c r="C350" s="11"/>
      <c r="D350" s="11"/>
      <c r="E350" s="15"/>
      <c r="F350" s="11"/>
      <c r="G350" s="11"/>
      <c r="H350" s="11"/>
      <c r="I350" s="11"/>
      <c r="J350" s="12"/>
      <c r="K350" s="13"/>
      <c r="L350" s="12"/>
      <c r="M350" s="13"/>
      <c r="N350" s="13"/>
      <c r="O350" s="13"/>
    </row>
    <row r="351">
      <c r="B351" s="11"/>
      <c r="C351" s="11"/>
      <c r="D351" s="11"/>
      <c r="E351" s="15"/>
      <c r="F351" s="11"/>
      <c r="G351" s="11"/>
      <c r="H351" s="11"/>
      <c r="I351" s="11"/>
      <c r="J351" s="12"/>
      <c r="K351" s="13"/>
      <c r="L351" s="12"/>
      <c r="M351" s="13"/>
      <c r="N351" s="13"/>
      <c r="O351" s="13"/>
    </row>
    <row r="352">
      <c r="B352" s="11"/>
      <c r="C352" s="11"/>
      <c r="D352" s="11"/>
      <c r="E352" s="15"/>
      <c r="F352" s="11"/>
      <c r="G352" s="11"/>
      <c r="H352" s="11"/>
      <c r="I352" s="11"/>
      <c r="J352" s="12"/>
      <c r="K352" s="13"/>
      <c r="L352" s="12"/>
      <c r="M352" s="13"/>
      <c r="N352" s="13"/>
      <c r="O352" s="13"/>
    </row>
    <row r="353">
      <c r="B353" s="11"/>
      <c r="C353" s="11"/>
      <c r="D353" s="11"/>
      <c r="E353" s="15"/>
      <c r="F353" s="11"/>
      <c r="G353" s="11"/>
      <c r="H353" s="11"/>
      <c r="I353" s="11"/>
      <c r="J353" s="12"/>
      <c r="K353" s="13"/>
      <c r="L353" s="12"/>
      <c r="M353" s="13"/>
      <c r="N353" s="13"/>
      <c r="O353" s="13"/>
    </row>
    <row r="354">
      <c r="B354" s="11"/>
      <c r="C354" s="11"/>
      <c r="D354" s="11"/>
      <c r="E354" s="15"/>
      <c r="F354" s="11"/>
      <c r="G354" s="11"/>
      <c r="H354" s="11"/>
      <c r="I354" s="11"/>
      <c r="J354" s="12"/>
      <c r="K354" s="13"/>
      <c r="L354" s="12"/>
      <c r="M354" s="13"/>
      <c r="N354" s="13"/>
      <c r="O354" s="13"/>
    </row>
    <row r="355">
      <c r="B355" s="11"/>
      <c r="C355" s="11"/>
      <c r="D355" s="11"/>
      <c r="E355" s="15"/>
      <c r="F355" s="11"/>
      <c r="G355" s="11"/>
      <c r="H355" s="11"/>
      <c r="I355" s="11"/>
      <c r="J355" s="12"/>
      <c r="K355" s="13"/>
      <c r="L355" s="12"/>
      <c r="M355" s="13"/>
      <c r="N355" s="13"/>
      <c r="O355" s="13"/>
    </row>
    <row r="356">
      <c r="B356" s="11"/>
      <c r="C356" s="11"/>
      <c r="D356" s="11"/>
      <c r="E356" s="15"/>
      <c r="F356" s="11"/>
      <c r="G356" s="11"/>
      <c r="H356" s="11"/>
      <c r="I356" s="11"/>
      <c r="J356" s="12"/>
      <c r="K356" s="13"/>
      <c r="L356" s="12"/>
      <c r="M356" s="13"/>
      <c r="N356" s="13"/>
      <c r="O356" s="13"/>
    </row>
    <row r="357">
      <c r="B357" s="11"/>
      <c r="C357" s="11"/>
      <c r="D357" s="11"/>
      <c r="E357" s="15"/>
      <c r="F357" s="11"/>
      <c r="G357" s="11"/>
      <c r="H357" s="11"/>
      <c r="I357" s="11"/>
      <c r="J357" s="12"/>
      <c r="K357" s="13"/>
      <c r="L357" s="12"/>
      <c r="M357" s="13"/>
      <c r="N357" s="13"/>
      <c r="O357" s="13"/>
    </row>
    <row r="358">
      <c r="B358" s="11"/>
      <c r="C358" s="11"/>
      <c r="D358" s="11"/>
      <c r="E358" s="15"/>
      <c r="F358" s="11"/>
      <c r="G358" s="11"/>
      <c r="H358" s="11"/>
      <c r="I358" s="11"/>
      <c r="J358" s="12"/>
      <c r="K358" s="13"/>
      <c r="L358" s="12"/>
      <c r="M358" s="13"/>
      <c r="N358" s="13"/>
      <c r="O358" s="13"/>
    </row>
    <row r="359">
      <c r="B359" s="11"/>
      <c r="C359" s="11"/>
      <c r="D359" s="11"/>
      <c r="E359" s="15"/>
      <c r="F359" s="11"/>
      <c r="G359" s="11"/>
      <c r="H359" s="11"/>
      <c r="I359" s="11"/>
      <c r="J359" s="12"/>
      <c r="K359" s="13"/>
      <c r="L359" s="12"/>
      <c r="M359" s="13"/>
      <c r="N359" s="13"/>
      <c r="O359" s="13"/>
    </row>
    <row r="360">
      <c r="B360" s="11"/>
      <c r="C360" s="11"/>
      <c r="D360" s="11"/>
      <c r="E360" s="15"/>
      <c r="F360" s="11"/>
      <c r="G360" s="11"/>
      <c r="H360" s="11"/>
      <c r="I360" s="11"/>
      <c r="J360" s="12"/>
      <c r="K360" s="13"/>
      <c r="L360" s="12"/>
      <c r="M360" s="13"/>
      <c r="N360" s="13"/>
      <c r="O360" s="13"/>
    </row>
    <row r="361">
      <c r="B361" s="11"/>
      <c r="C361" s="11"/>
      <c r="D361" s="11"/>
      <c r="E361" s="15"/>
      <c r="F361" s="11"/>
      <c r="G361" s="11"/>
      <c r="H361" s="11"/>
      <c r="I361" s="11"/>
      <c r="J361" s="12"/>
      <c r="K361" s="13"/>
      <c r="L361" s="12"/>
      <c r="M361" s="13"/>
      <c r="N361" s="13"/>
      <c r="O361" s="13"/>
    </row>
    <row r="362">
      <c r="B362" s="11"/>
      <c r="C362" s="11"/>
      <c r="D362" s="11"/>
      <c r="E362" s="15"/>
      <c r="F362" s="11"/>
      <c r="G362" s="11"/>
      <c r="H362" s="11"/>
      <c r="I362" s="11"/>
      <c r="J362" s="12"/>
      <c r="K362" s="13"/>
      <c r="L362" s="12"/>
      <c r="M362" s="13"/>
      <c r="N362" s="13"/>
      <c r="O362" s="13"/>
    </row>
    <row r="363">
      <c r="B363" s="11"/>
      <c r="C363" s="11"/>
      <c r="D363" s="11"/>
      <c r="E363" s="15"/>
      <c r="F363" s="11"/>
      <c r="G363" s="11"/>
      <c r="H363" s="11"/>
      <c r="I363" s="11"/>
      <c r="J363" s="12"/>
      <c r="K363" s="13"/>
      <c r="L363" s="12"/>
      <c r="M363" s="13"/>
      <c r="N363" s="13"/>
      <c r="O363" s="13"/>
    </row>
    <row r="364">
      <c r="B364" s="11"/>
      <c r="C364" s="11"/>
      <c r="D364" s="11"/>
      <c r="E364" s="15"/>
      <c r="F364" s="11"/>
      <c r="G364" s="11"/>
      <c r="H364" s="11"/>
      <c r="I364" s="11"/>
      <c r="J364" s="12"/>
      <c r="K364" s="13"/>
      <c r="L364" s="12"/>
      <c r="M364" s="13"/>
      <c r="N364" s="13"/>
      <c r="O364" s="13"/>
    </row>
    <row r="365">
      <c r="B365" s="11"/>
      <c r="C365" s="11"/>
      <c r="D365" s="11"/>
      <c r="E365" s="15"/>
      <c r="F365" s="11"/>
      <c r="G365" s="11"/>
      <c r="H365" s="11"/>
      <c r="I365" s="11"/>
      <c r="J365" s="12"/>
      <c r="K365" s="13"/>
      <c r="L365" s="12"/>
      <c r="M365" s="13"/>
      <c r="N365" s="13"/>
      <c r="O365" s="13"/>
    </row>
    <row r="366">
      <c r="B366" s="11"/>
      <c r="C366" s="11"/>
      <c r="D366" s="11"/>
      <c r="E366" s="15"/>
      <c r="F366" s="11"/>
      <c r="G366" s="11"/>
      <c r="H366" s="11"/>
      <c r="I366" s="11"/>
      <c r="J366" s="12"/>
      <c r="K366" s="13"/>
      <c r="L366" s="12"/>
      <c r="M366" s="13"/>
      <c r="N366" s="13"/>
      <c r="O366" s="13"/>
    </row>
    <row r="367">
      <c r="B367" s="11"/>
      <c r="C367" s="11"/>
      <c r="D367" s="11"/>
      <c r="E367" s="15"/>
      <c r="F367" s="11"/>
      <c r="G367" s="11"/>
      <c r="H367" s="11"/>
      <c r="I367" s="11"/>
      <c r="J367" s="12"/>
      <c r="K367" s="13"/>
      <c r="L367" s="12"/>
      <c r="M367" s="13"/>
      <c r="N367" s="13"/>
      <c r="O367" s="13"/>
    </row>
    <row r="368">
      <c r="B368" s="11"/>
      <c r="C368" s="11"/>
      <c r="D368" s="11"/>
      <c r="E368" s="15"/>
      <c r="F368" s="11"/>
      <c r="G368" s="11"/>
      <c r="H368" s="11"/>
      <c r="I368" s="11"/>
      <c r="J368" s="12"/>
      <c r="K368" s="13"/>
      <c r="L368" s="12"/>
      <c r="M368" s="13"/>
      <c r="N368" s="13"/>
      <c r="O368" s="13"/>
    </row>
    <row r="369">
      <c r="B369" s="11"/>
      <c r="C369" s="11"/>
      <c r="D369" s="11"/>
      <c r="E369" s="15"/>
      <c r="F369" s="11"/>
      <c r="G369" s="11"/>
      <c r="H369" s="11"/>
      <c r="I369" s="11"/>
      <c r="J369" s="12"/>
      <c r="K369" s="13"/>
      <c r="L369" s="12"/>
      <c r="M369" s="13"/>
      <c r="N369" s="13"/>
      <c r="O369" s="13"/>
    </row>
    <row r="370">
      <c r="B370" s="11"/>
      <c r="C370" s="11"/>
      <c r="D370" s="11"/>
      <c r="E370" s="15"/>
      <c r="F370" s="11"/>
      <c r="G370" s="11"/>
      <c r="H370" s="11"/>
      <c r="I370" s="11"/>
      <c r="J370" s="12"/>
      <c r="K370" s="13"/>
      <c r="L370" s="12"/>
      <c r="M370" s="13"/>
      <c r="N370" s="13"/>
      <c r="O370" s="13"/>
    </row>
    <row r="371">
      <c r="B371" s="11"/>
      <c r="C371" s="11"/>
      <c r="D371" s="11"/>
      <c r="E371" s="15"/>
      <c r="F371" s="11"/>
      <c r="G371" s="11"/>
      <c r="H371" s="11"/>
      <c r="I371" s="11"/>
      <c r="J371" s="12"/>
      <c r="K371" s="13"/>
      <c r="L371" s="12"/>
      <c r="M371" s="13"/>
      <c r="N371" s="13"/>
      <c r="O371" s="13"/>
    </row>
    <row r="372">
      <c r="B372" s="11"/>
      <c r="C372" s="11"/>
      <c r="D372" s="11"/>
      <c r="E372" s="15"/>
      <c r="F372" s="11"/>
      <c r="G372" s="11"/>
      <c r="H372" s="11"/>
      <c r="I372" s="11"/>
      <c r="J372" s="12"/>
      <c r="K372" s="13"/>
      <c r="L372" s="12"/>
      <c r="M372" s="13"/>
      <c r="N372" s="13"/>
      <c r="O372" s="13"/>
    </row>
    <row r="373">
      <c r="B373" s="11"/>
      <c r="C373" s="11"/>
      <c r="D373" s="11"/>
      <c r="E373" s="15"/>
      <c r="F373" s="11"/>
      <c r="G373" s="11"/>
      <c r="H373" s="11"/>
      <c r="I373" s="11"/>
      <c r="J373" s="12"/>
      <c r="K373" s="13"/>
      <c r="L373" s="12"/>
      <c r="M373" s="13"/>
      <c r="N373" s="13"/>
      <c r="O373" s="13"/>
    </row>
    <row r="374">
      <c r="B374" s="11"/>
      <c r="C374" s="11"/>
      <c r="D374" s="11"/>
      <c r="E374" s="15"/>
      <c r="F374" s="11"/>
      <c r="G374" s="11"/>
      <c r="H374" s="11"/>
      <c r="I374" s="11"/>
      <c r="J374" s="12"/>
      <c r="K374" s="13"/>
      <c r="L374" s="12"/>
      <c r="M374" s="13"/>
      <c r="N374" s="13"/>
      <c r="O374" s="13"/>
    </row>
    <row r="375">
      <c r="B375" s="11"/>
      <c r="C375" s="11"/>
      <c r="D375" s="11"/>
      <c r="E375" s="15"/>
      <c r="F375" s="11"/>
      <c r="G375" s="11"/>
      <c r="H375" s="11"/>
      <c r="I375" s="11"/>
      <c r="J375" s="12"/>
      <c r="K375" s="13"/>
      <c r="L375" s="12"/>
      <c r="M375" s="13"/>
      <c r="N375" s="13"/>
      <c r="O375" s="13"/>
    </row>
    <row r="376">
      <c r="B376" s="11"/>
      <c r="C376" s="11"/>
      <c r="D376" s="11"/>
      <c r="E376" s="15"/>
      <c r="F376" s="11"/>
      <c r="G376" s="11"/>
      <c r="H376" s="11"/>
      <c r="I376" s="11"/>
      <c r="J376" s="12"/>
      <c r="K376" s="13"/>
      <c r="L376" s="12"/>
      <c r="M376" s="13"/>
      <c r="N376" s="13"/>
      <c r="O376" s="13"/>
    </row>
    <row r="377">
      <c r="B377" s="11"/>
      <c r="C377" s="11"/>
      <c r="D377" s="11"/>
      <c r="E377" s="15"/>
      <c r="F377" s="11"/>
      <c r="G377" s="11"/>
      <c r="H377" s="11"/>
      <c r="I377" s="11"/>
      <c r="J377" s="12"/>
      <c r="K377" s="13"/>
      <c r="L377" s="12"/>
      <c r="M377" s="13"/>
      <c r="N377" s="13"/>
      <c r="O377" s="13"/>
    </row>
    <row r="378">
      <c r="B378" s="11"/>
      <c r="C378" s="11"/>
      <c r="D378" s="11"/>
      <c r="E378" s="15"/>
      <c r="F378" s="11"/>
      <c r="G378" s="11"/>
      <c r="H378" s="11"/>
      <c r="I378" s="11"/>
      <c r="J378" s="12"/>
      <c r="K378" s="13"/>
      <c r="L378" s="12"/>
      <c r="M378" s="13"/>
      <c r="N378" s="13"/>
      <c r="O378" s="13"/>
    </row>
    <row r="379">
      <c r="B379" s="11"/>
      <c r="C379" s="11"/>
      <c r="D379" s="11"/>
      <c r="E379" s="15"/>
      <c r="F379" s="11"/>
      <c r="G379" s="11"/>
      <c r="H379" s="11"/>
      <c r="I379" s="11"/>
      <c r="J379" s="12"/>
      <c r="K379" s="13"/>
      <c r="L379" s="12"/>
      <c r="M379" s="13"/>
      <c r="N379" s="13"/>
      <c r="O379" s="13"/>
    </row>
    <row r="380">
      <c r="B380" s="11"/>
      <c r="C380" s="11"/>
      <c r="D380" s="11"/>
      <c r="E380" s="15"/>
      <c r="F380" s="11"/>
      <c r="G380" s="11"/>
      <c r="H380" s="11"/>
      <c r="I380" s="11"/>
      <c r="J380" s="12"/>
      <c r="K380" s="13"/>
      <c r="L380" s="12"/>
      <c r="M380" s="13"/>
      <c r="N380" s="13"/>
      <c r="O380" s="13"/>
    </row>
    <row r="381">
      <c r="B381" s="11"/>
      <c r="C381" s="11"/>
      <c r="D381" s="11"/>
      <c r="E381" s="15"/>
      <c r="F381" s="11"/>
      <c r="G381" s="11"/>
      <c r="H381" s="11"/>
      <c r="I381" s="11"/>
      <c r="J381" s="12"/>
      <c r="K381" s="13"/>
      <c r="L381" s="12"/>
      <c r="M381" s="13"/>
      <c r="N381" s="13"/>
      <c r="O381" s="13"/>
    </row>
    <row r="382">
      <c r="B382" s="11"/>
      <c r="C382" s="11"/>
      <c r="D382" s="11"/>
      <c r="E382" s="15"/>
      <c r="F382" s="11"/>
      <c r="G382" s="11"/>
      <c r="H382" s="11"/>
      <c r="I382" s="11"/>
      <c r="J382" s="12"/>
      <c r="K382" s="13"/>
      <c r="L382" s="12"/>
      <c r="M382" s="13"/>
      <c r="N382" s="13"/>
      <c r="O382" s="13"/>
    </row>
    <row r="383">
      <c r="B383" s="11"/>
      <c r="C383" s="11"/>
      <c r="D383" s="11"/>
      <c r="E383" s="15"/>
      <c r="F383" s="11"/>
      <c r="G383" s="11"/>
      <c r="H383" s="11"/>
      <c r="I383" s="11"/>
      <c r="J383" s="12"/>
      <c r="K383" s="13"/>
      <c r="L383" s="12"/>
      <c r="M383" s="13"/>
      <c r="N383" s="13"/>
      <c r="O383" s="13"/>
    </row>
    <row r="384">
      <c r="B384" s="11"/>
      <c r="C384" s="11"/>
      <c r="D384" s="11"/>
      <c r="E384" s="15"/>
      <c r="F384" s="11"/>
      <c r="G384" s="11"/>
      <c r="H384" s="11"/>
      <c r="I384" s="11"/>
      <c r="J384" s="12"/>
      <c r="K384" s="13"/>
      <c r="L384" s="12"/>
      <c r="M384" s="13"/>
      <c r="N384" s="13"/>
      <c r="O384" s="13"/>
    </row>
    <row r="385">
      <c r="B385" s="11"/>
      <c r="C385" s="11"/>
      <c r="D385" s="11"/>
      <c r="E385" s="15"/>
      <c r="F385" s="11"/>
      <c r="G385" s="11"/>
      <c r="H385" s="11"/>
      <c r="I385" s="11"/>
      <c r="J385" s="12"/>
      <c r="K385" s="13"/>
      <c r="L385" s="12"/>
      <c r="M385" s="13"/>
      <c r="N385" s="13"/>
      <c r="O385" s="13"/>
    </row>
    <row r="386">
      <c r="B386" s="11"/>
      <c r="C386" s="11"/>
      <c r="D386" s="11"/>
      <c r="E386" s="15"/>
      <c r="F386" s="11"/>
      <c r="G386" s="11"/>
      <c r="H386" s="11"/>
      <c r="I386" s="11"/>
      <c r="J386" s="12"/>
      <c r="K386" s="13"/>
      <c r="L386" s="12"/>
      <c r="M386" s="13"/>
      <c r="N386" s="13"/>
      <c r="O386" s="13"/>
    </row>
    <row r="387">
      <c r="B387" s="11"/>
      <c r="C387" s="11"/>
      <c r="D387" s="11"/>
      <c r="E387" s="15"/>
      <c r="F387" s="11"/>
      <c r="G387" s="11"/>
      <c r="H387" s="11"/>
      <c r="I387" s="11"/>
      <c r="J387" s="12"/>
      <c r="K387" s="13"/>
      <c r="L387" s="12"/>
      <c r="M387" s="13"/>
      <c r="N387" s="13"/>
      <c r="O387" s="13"/>
    </row>
    <row r="388">
      <c r="B388" s="11"/>
      <c r="C388" s="11"/>
      <c r="D388" s="11"/>
      <c r="E388" s="15"/>
      <c r="F388" s="11"/>
      <c r="G388" s="11"/>
      <c r="H388" s="11"/>
      <c r="I388" s="11"/>
      <c r="J388" s="12"/>
      <c r="K388" s="13"/>
      <c r="L388" s="12"/>
      <c r="M388" s="13"/>
      <c r="N388" s="13"/>
      <c r="O388" s="13"/>
    </row>
    <row r="389">
      <c r="B389" s="11"/>
      <c r="C389" s="11"/>
      <c r="D389" s="11"/>
      <c r="E389" s="15"/>
      <c r="F389" s="11"/>
      <c r="G389" s="11"/>
      <c r="H389" s="11"/>
      <c r="I389" s="11"/>
      <c r="J389" s="12"/>
      <c r="K389" s="13"/>
      <c r="L389" s="12"/>
      <c r="M389" s="13"/>
      <c r="N389" s="13"/>
      <c r="O389" s="13"/>
    </row>
    <row r="390">
      <c r="B390" s="11"/>
      <c r="C390" s="11"/>
      <c r="D390" s="11"/>
      <c r="E390" s="15"/>
      <c r="F390" s="11"/>
      <c r="G390" s="11"/>
      <c r="H390" s="11"/>
      <c r="I390" s="11"/>
      <c r="J390" s="12"/>
      <c r="K390" s="13"/>
      <c r="L390" s="12"/>
      <c r="M390" s="13"/>
      <c r="N390" s="13"/>
      <c r="O390" s="13"/>
    </row>
    <row r="391">
      <c r="B391" s="11"/>
      <c r="C391" s="11"/>
      <c r="D391" s="11"/>
      <c r="E391" s="15"/>
      <c r="F391" s="11"/>
      <c r="G391" s="11"/>
      <c r="H391" s="11"/>
      <c r="I391" s="11"/>
      <c r="J391" s="12"/>
      <c r="K391" s="13"/>
      <c r="L391" s="12"/>
      <c r="M391" s="13"/>
      <c r="N391" s="13"/>
      <c r="O391" s="13"/>
    </row>
    <row r="392">
      <c r="B392" s="11"/>
      <c r="C392" s="11"/>
      <c r="D392" s="11"/>
      <c r="E392" s="15"/>
      <c r="F392" s="11"/>
      <c r="G392" s="11"/>
      <c r="H392" s="11"/>
      <c r="I392" s="11"/>
      <c r="J392" s="12"/>
      <c r="K392" s="13"/>
      <c r="L392" s="12"/>
      <c r="M392" s="13"/>
      <c r="N392" s="13"/>
      <c r="O392" s="13"/>
    </row>
    <row r="393">
      <c r="B393" s="11"/>
      <c r="C393" s="11"/>
      <c r="D393" s="11"/>
      <c r="E393" s="15"/>
      <c r="F393" s="11"/>
      <c r="G393" s="11"/>
      <c r="H393" s="11"/>
      <c r="I393" s="11"/>
      <c r="J393" s="12"/>
      <c r="K393" s="13"/>
      <c r="L393" s="12"/>
      <c r="M393" s="13"/>
      <c r="N393" s="13"/>
      <c r="O393" s="13"/>
    </row>
    <row r="394">
      <c r="B394" s="11"/>
      <c r="C394" s="11"/>
      <c r="D394" s="11"/>
      <c r="E394" s="15"/>
      <c r="F394" s="11"/>
      <c r="G394" s="11"/>
      <c r="H394" s="11"/>
      <c r="I394" s="11"/>
      <c r="J394" s="12"/>
      <c r="K394" s="13"/>
      <c r="L394" s="12"/>
      <c r="M394" s="13"/>
      <c r="N394" s="13"/>
      <c r="O394" s="13"/>
    </row>
    <row r="395">
      <c r="B395" s="11"/>
      <c r="C395" s="11"/>
      <c r="D395" s="11"/>
      <c r="E395" s="15"/>
      <c r="F395" s="11"/>
      <c r="G395" s="11"/>
      <c r="H395" s="11"/>
      <c r="I395" s="11"/>
      <c r="J395" s="12"/>
      <c r="K395" s="13"/>
      <c r="L395" s="12"/>
      <c r="M395" s="13"/>
      <c r="N395" s="13"/>
      <c r="O395" s="13"/>
    </row>
    <row r="396">
      <c r="B396" s="11"/>
      <c r="C396" s="11"/>
      <c r="D396" s="11"/>
      <c r="E396" s="15"/>
      <c r="F396" s="11"/>
      <c r="G396" s="11"/>
      <c r="H396" s="11"/>
      <c r="I396" s="11"/>
      <c r="J396" s="12"/>
      <c r="K396" s="13"/>
      <c r="L396" s="12"/>
      <c r="M396" s="13"/>
      <c r="N396" s="13"/>
      <c r="O396" s="13"/>
    </row>
    <row r="397">
      <c r="B397" s="11"/>
      <c r="C397" s="11"/>
      <c r="D397" s="11"/>
      <c r="E397" s="15"/>
      <c r="F397" s="11"/>
      <c r="G397" s="11"/>
      <c r="H397" s="11"/>
      <c r="I397" s="11"/>
      <c r="J397" s="12"/>
      <c r="K397" s="13"/>
      <c r="L397" s="12"/>
      <c r="M397" s="13"/>
      <c r="N397" s="13"/>
      <c r="O397" s="13"/>
    </row>
    <row r="398">
      <c r="B398" s="11"/>
      <c r="C398" s="11"/>
      <c r="D398" s="11"/>
      <c r="E398" s="15"/>
      <c r="F398" s="11"/>
      <c r="G398" s="11"/>
      <c r="H398" s="11"/>
      <c r="I398" s="11"/>
      <c r="J398" s="12"/>
      <c r="K398" s="13"/>
      <c r="L398" s="12"/>
      <c r="M398" s="13"/>
      <c r="N398" s="13"/>
      <c r="O398" s="13"/>
    </row>
    <row r="399">
      <c r="B399" s="11"/>
      <c r="C399" s="11"/>
      <c r="D399" s="11"/>
      <c r="E399" s="15"/>
      <c r="F399" s="11"/>
      <c r="G399" s="11"/>
      <c r="H399" s="11"/>
      <c r="I399" s="11"/>
      <c r="J399" s="12"/>
      <c r="K399" s="13"/>
      <c r="L399" s="12"/>
      <c r="M399" s="13"/>
      <c r="N399" s="13"/>
      <c r="O399" s="13"/>
    </row>
    <row r="400">
      <c r="B400" s="11"/>
      <c r="C400" s="11"/>
      <c r="D400" s="11"/>
      <c r="E400" s="15"/>
      <c r="F400" s="11"/>
      <c r="G400" s="11"/>
      <c r="H400" s="11"/>
      <c r="I400" s="11"/>
      <c r="J400" s="12"/>
      <c r="K400" s="13"/>
      <c r="L400" s="12"/>
      <c r="M400" s="13"/>
      <c r="N400" s="13"/>
      <c r="O400" s="13"/>
    </row>
    <row r="401">
      <c r="B401" s="11"/>
      <c r="C401" s="11"/>
      <c r="D401" s="11"/>
      <c r="E401" s="15"/>
      <c r="F401" s="11"/>
      <c r="G401" s="11"/>
      <c r="H401" s="11"/>
      <c r="I401" s="11"/>
      <c r="J401" s="12"/>
      <c r="K401" s="13"/>
      <c r="L401" s="12"/>
      <c r="M401" s="13"/>
      <c r="N401" s="13"/>
      <c r="O401" s="13"/>
    </row>
    <row r="402">
      <c r="B402" s="11"/>
      <c r="C402" s="11"/>
      <c r="D402" s="11"/>
      <c r="E402" s="15"/>
      <c r="F402" s="11"/>
      <c r="G402" s="11"/>
      <c r="H402" s="11"/>
      <c r="I402" s="11"/>
      <c r="J402" s="12"/>
      <c r="K402" s="13"/>
      <c r="L402" s="12"/>
      <c r="M402" s="13"/>
      <c r="N402" s="13"/>
      <c r="O402" s="13"/>
    </row>
    <row r="403">
      <c r="B403" s="11"/>
      <c r="C403" s="11"/>
      <c r="D403" s="11"/>
      <c r="E403" s="15"/>
      <c r="F403" s="11"/>
      <c r="G403" s="11"/>
      <c r="H403" s="11"/>
      <c r="I403" s="11"/>
      <c r="J403" s="12"/>
      <c r="K403" s="13"/>
      <c r="L403" s="12"/>
      <c r="M403" s="13"/>
      <c r="N403" s="13"/>
      <c r="O403" s="13"/>
    </row>
    <row r="404">
      <c r="B404" s="11"/>
      <c r="C404" s="11"/>
      <c r="D404" s="11"/>
      <c r="E404" s="15"/>
      <c r="F404" s="11"/>
      <c r="G404" s="11"/>
      <c r="H404" s="11"/>
      <c r="I404" s="11"/>
      <c r="J404" s="12"/>
      <c r="K404" s="13"/>
      <c r="L404" s="12"/>
      <c r="M404" s="13"/>
      <c r="N404" s="13"/>
      <c r="O404" s="13"/>
    </row>
    <row r="405">
      <c r="B405" s="11"/>
      <c r="C405" s="11"/>
      <c r="D405" s="11"/>
      <c r="E405" s="15"/>
      <c r="F405" s="11"/>
      <c r="G405" s="11"/>
      <c r="H405" s="11"/>
      <c r="I405" s="11"/>
      <c r="J405" s="12"/>
      <c r="K405" s="13"/>
      <c r="L405" s="12"/>
      <c r="M405" s="13"/>
      <c r="N405" s="13"/>
      <c r="O405" s="13"/>
    </row>
    <row r="406">
      <c r="B406" s="11"/>
      <c r="C406" s="11"/>
      <c r="D406" s="11"/>
      <c r="E406" s="15"/>
      <c r="F406" s="11"/>
      <c r="G406" s="11"/>
      <c r="H406" s="11"/>
      <c r="I406" s="11"/>
      <c r="J406" s="12"/>
      <c r="K406" s="13"/>
      <c r="L406" s="12"/>
      <c r="M406" s="13"/>
      <c r="N406" s="13"/>
      <c r="O406" s="13"/>
    </row>
    <row r="407">
      <c r="B407" s="11"/>
      <c r="C407" s="11"/>
      <c r="D407" s="11"/>
      <c r="E407" s="15"/>
      <c r="F407" s="11"/>
      <c r="G407" s="11"/>
      <c r="H407" s="11"/>
      <c r="I407" s="11"/>
      <c r="J407" s="12"/>
      <c r="K407" s="13"/>
      <c r="L407" s="12"/>
      <c r="M407" s="13"/>
      <c r="N407" s="13"/>
      <c r="O407" s="13"/>
    </row>
    <row r="408">
      <c r="B408" s="11"/>
      <c r="C408" s="11"/>
      <c r="D408" s="11"/>
      <c r="E408" s="15"/>
      <c r="F408" s="11"/>
      <c r="G408" s="11"/>
      <c r="H408" s="11"/>
      <c r="I408" s="11"/>
      <c r="J408" s="12"/>
      <c r="K408" s="13"/>
      <c r="L408" s="12"/>
      <c r="M408" s="13"/>
      <c r="N408" s="13"/>
      <c r="O408" s="13"/>
    </row>
    <row r="409">
      <c r="B409" s="11"/>
      <c r="C409" s="11"/>
      <c r="D409" s="11"/>
      <c r="E409" s="15"/>
      <c r="F409" s="11"/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B410" s="11"/>
      <c r="C410" s="11"/>
      <c r="D410" s="11"/>
      <c r="E410" s="15"/>
      <c r="F410" s="11"/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B411" s="11"/>
      <c r="C411" s="11"/>
      <c r="D411" s="11"/>
      <c r="E411" s="15"/>
      <c r="F411" s="11"/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B412" s="11"/>
      <c r="C412" s="11"/>
      <c r="D412" s="11"/>
      <c r="E412" s="15"/>
      <c r="F412" s="11"/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B413" s="11"/>
      <c r="C413" s="11"/>
      <c r="D413" s="11"/>
      <c r="E413" s="15"/>
      <c r="F413" s="11"/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B414" s="11"/>
      <c r="C414" s="11"/>
      <c r="D414" s="11"/>
      <c r="E414" s="15"/>
      <c r="F414" s="11"/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B415" s="11"/>
      <c r="C415" s="11"/>
      <c r="D415" s="11"/>
      <c r="E415" s="15"/>
      <c r="F415" s="11"/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B416" s="11"/>
      <c r="C416" s="11"/>
      <c r="D416" s="11"/>
      <c r="E416" s="15"/>
      <c r="F416" s="11"/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B417" s="11"/>
      <c r="C417" s="11"/>
      <c r="D417" s="11"/>
      <c r="E417" s="15"/>
      <c r="F417" s="11"/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B418" s="11"/>
      <c r="C418" s="11"/>
      <c r="D418" s="11"/>
      <c r="E418" s="15"/>
      <c r="F418" s="11"/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B419" s="11"/>
      <c r="C419" s="11"/>
      <c r="D419" s="11"/>
      <c r="E419" s="15"/>
      <c r="F419" s="11"/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B420" s="11"/>
      <c r="C420" s="11"/>
      <c r="D420" s="11"/>
      <c r="E420" s="15"/>
      <c r="F420" s="11"/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B421" s="11"/>
      <c r="C421" s="11"/>
      <c r="D421" s="11"/>
      <c r="E421" s="15"/>
      <c r="F421" s="11"/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B422" s="11"/>
      <c r="C422" s="11"/>
      <c r="D422" s="11"/>
      <c r="E422" s="15"/>
      <c r="F422" s="11"/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B423" s="11"/>
      <c r="C423" s="11"/>
      <c r="D423" s="11"/>
      <c r="E423" s="15"/>
      <c r="F423" s="11"/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B424" s="11"/>
      <c r="C424" s="11"/>
      <c r="D424" s="11"/>
      <c r="E424" s="15"/>
      <c r="F424" s="11"/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B425" s="11"/>
      <c r="C425" s="11"/>
      <c r="D425" s="11"/>
      <c r="E425" s="15"/>
      <c r="F425" s="11"/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B426" s="11"/>
      <c r="C426" s="11"/>
      <c r="D426" s="11"/>
      <c r="E426" s="15"/>
      <c r="F426" s="11"/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B427" s="11"/>
      <c r="C427" s="11"/>
      <c r="D427" s="11"/>
      <c r="E427" s="15"/>
      <c r="F427" s="11"/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B428" s="11"/>
      <c r="C428" s="11"/>
      <c r="D428" s="11"/>
      <c r="E428" s="15"/>
      <c r="F428" s="11"/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B429" s="11"/>
      <c r="C429" s="11"/>
      <c r="D429" s="11"/>
      <c r="E429" s="15"/>
      <c r="F429" s="11"/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B430" s="11"/>
      <c r="C430" s="11"/>
      <c r="D430" s="11"/>
      <c r="E430" s="15"/>
      <c r="F430" s="11"/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B431" s="11"/>
      <c r="C431" s="11"/>
      <c r="D431" s="11"/>
      <c r="E431" s="15"/>
      <c r="F431" s="11"/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B432" s="11"/>
      <c r="C432" s="11"/>
      <c r="D432" s="11"/>
      <c r="E432" s="15"/>
      <c r="F432" s="11"/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B433" s="11"/>
      <c r="C433" s="11"/>
      <c r="D433" s="11"/>
      <c r="E433" s="15"/>
      <c r="F433" s="11"/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B434" s="11"/>
      <c r="C434" s="11"/>
      <c r="D434" s="11"/>
      <c r="E434" s="15"/>
      <c r="F434" s="11"/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B435" s="11"/>
      <c r="C435" s="11"/>
      <c r="D435" s="11"/>
      <c r="E435" s="15"/>
      <c r="F435" s="11"/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B436" s="11"/>
      <c r="C436" s="11"/>
      <c r="D436" s="11"/>
      <c r="E436" s="15"/>
      <c r="F436" s="11"/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B437" s="11"/>
      <c r="C437" s="11"/>
      <c r="D437" s="11"/>
      <c r="E437" s="15"/>
      <c r="F437" s="11"/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B438" s="11"/>
      <c r="C438" s="11"/>
      <c r="D438" s="11"/>
      <c r="E438" s="15"/>
      <c r="F438" s="11"/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B439" s="11"/>
      <c r="C439" s="11"/>
      <c r="D439" s="11"/>
      <c r="E439" s="15"/>
      <c r="F439" s="11"/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B440" s="11"/>
      <c r="C440" s="11"/>
      <c r="D440" s="11"/>
      <c r="E440" s="15"/>
      <c r="F440" s="11"/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B441" s="11"/>
      <c r="C441" s="11"/>
      <c r="D441" s="11"/>
      <c r="E441" s="15"/>
      <c r="F441" s="11"/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B442" s="11"/>
      <c r="C442" s="11"/>
      <c r="D442" s="11"/>
      <c r="E442" s="15"/>
      <c r="F442" s="11"/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B443" s="11"/>
      <c r="C443" s="11"/>
      <c r="D443" s="11"/>
      <c r="E443" s="15"/>
      <c r="F443" s="11"/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B444" s="11"/>
      <c r="C444" s="11"/>
      <c r="D444" s="11"/>
      <c r="E444" s="15"/>
      <c r="F444" s="11"/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B445" s="11"/>
      <c r="C445" s="11"/>
      <c r="D445" s="11"/>
      <c r="E445" s="15"/>
      <c r="F445" s="11"/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B446" s="11"/>
      <c r="C446" s="11"/>
      <c r="D446" s="11"/>
      <c r="E446" s="15"/>
      <c r="F446" s="11"/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B447" s="11"/>
      <c r="C447" s="11"/>
      <c r="D447" s="11"/>
      <c r="E447" s="15"/>
      <c r="F447" s="11"/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B448" s="11"/>
      <c r="C448" s="11"/>
      <c r="D448" s="11"/>
      <c r="E448" s="15"/>
      <c r="F448" s="11"/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B449" s="11"/>
      <c r="C449" s="11"/>
      <c r="D449" s="11"/>
      <c r="E449" s="15"/>
      <c r="F449" s="11"/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B450" s="11"/>
      <c r="C450" s="11"/>
      <c r="D450" s="11"/>
      <c r="E450" s="15"/>
      <c r="F450" s="11"/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B451" s="11"/>
      <c r="C451" s="11"/>
      <c r="D451" s="11"/>
      <c r="E451" s="15"/>
      <c r="F451" s="11"/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B452" s="11"/>
      <c r="C452" s="11"/>
      <c r="D452" s="11"/>
      <c r="E452" s="15"/>
      <c r="F452" s="11"/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B453" s="11"/>
      <c r="C453" s="11"/>
      <c r="D453" s="11"/>
      <c r="E453" s="15"/>
      <c r="F453" s="11"/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B454" s="11"/>
      <c r="C454" s="11"/>
      <c r="D454" s="11"/>
      <c r="E454" s="15"/>
      <c r="F454" s="11"/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B455" s="11"/>
      <c r="C455" s="11"/>
      <c r="D455" s="11"/>
      <c r="E455" s="15"/>
      <c r="F455" s="11"/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B456" s="11"/>
      <c r="C456" s="11"/>
      <c r="D456" s="11"/>
      <c r="E456" s="15"/>
      <c r="F456" s="11"/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B457" s="11"/>
      <c r="C457" s="11"/>
      <c r="D457" s="11"/>
      <c r="E457" s="15"/>
      <c r="F457" s="11"/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B458" s="11"/>
      <c r="C458" s="11"/>
      <c r="D458" s="11"/>
      <c r="E458" s="15"/>
      <c r="F458" s="11"/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B459" s="11"/>
      <c r="C459" s="11"/>
      <c r="D459" s="11"/>
      <c r="E459" s="15"/>
      <c r="F459" s="11"/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B460" s="11"/>
      <c r="C460" s="11"/>
      <c r="D460" s="11"/>
      <c r="E460" s="15"/>
      <c r="F460" s="11"/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B461" s="11"/>
      <c r="C461" s="11"/>
      <c r="D461" s="11"/>
      <c r="E461" s="15"/>
      <c r="F461" s="11"/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B462" s="11"/>
      <c r="C462" s="11"/>
      <c r="D462" s="11"/>
      <c r="E462" s="15"/>
      <c r="F462" s="11"/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B463" s="11"/>
      <c r="C463" s="11"/>
      <c r="D463" s="11"/>
      <c r="E463" s="15"/>
      <c r="F463" s="11"/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B464" s="11"/>
      <c r="C464" s="11"/>
      <c r="D464" s="11"/>
      <c r="E464" s="15"/>
      <c r="F464" s="11"/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B465" s="11"/>
      <c r="C465" s="11"/>
      <c r="D465" s="11"/>
      <c r="E465" s="15"/>
      <c r="F465" s="11"/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B466" s="11"/>
      <c r="C466" s="11"/>
      <c r="D466" s="11"/>
      <c r="E466" s="15"/>
      <c r="F466" s="11"/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B467" s="11"/>
      <c r="C467" s="11"/>
      <c r="D467" s="11"/>
      <c r="E467" s="15"/>
      <c r="F467" s="11"/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B468" s="11"/>
      <c r="C468" s="11"/>
      <c r="D468" s="11"/>
      <c r="E468" s="15"/>
      <c r="F468" s="11"/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B469" s="11"/>
      <c r="C469" s="11"/>
      <c r="D469" s="11"/>
      <c r="E469" s="15"/>
      <c r="F469" s="11"/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B470" s="11"/>
      <c r="C470" s="11"/>
      <c r="D470" s="11"/>
      <c r="E470" s="15"/>
      <c r="F470" s="11"/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B471" s="11"/>
      <c r="C471" s="11"/>
      <c r="D471" s="11"/>
      <c r="E471" s="15"/>
      <c r="F471" s="11"/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B472" s="11"/>
      <c r="C472" s="11"/>
      <c r="D472" s="11"/>
      <c r="E472" s="15"/>
      <c r="F472" s="11"/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B473" s="11"/>
      <c r="C473" s="11"/>
      <c r="D473" s="11"/>
      <c r="E473" s="15"/>
      <c r="F473" s="11"/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B474" s="11"/>
      <c r="C474" s="11"/>
      <c r="D474" s="11"/>
      <c r="E474" s="15"/>
      <c r="F474" s="11"/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B475" s="11"/>
      <c r="C475" s="11"/>
      <c r="D475" s="11"/>
      <c r="E475" s="15"/>
      <c r="F475" s="11"/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B476" s="11"/>
      <c r="C476" s="11"/>
      <c r="D476" s="11"/>
      <c r="E476" s="15"/>
      <c r="F476" s="11"/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B477" s="11"/>
      <c r="C477" s="11"/>
      <c r="D477" s="11"/>
      <c r="E477" s="15"/>
      <c r="F477" s="11"/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B478" s="11"/>
      <c r="C478" s="11"/>
      <c r="D478" s="11"/>
      <c r="E478" s="15"/>
      <c r="F478" s="11"/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B479" s="11"/>
      <c r="C479" s="11"/>
      <c r="D479" s="11"/>
      <c r="E479" s="15"/>
      <c r="F479" s="11"/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B480" s="11"/>
      <c r="C480" s="11"/>
      <c r="D480" s="11"/>
      <c r="E480" s="15"/>
      <c r="F480" s="11"/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B481" s="11"/>
      <c r="C481" s="11"/>
      <c r="D481" s="11"/>
      <c r="E481" s="15"/>
      <c r="F481" s="11"/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B482" s="11"/>
      <c r="C482" s="11"/>
      <c r="D482" s="11"/>
      <c r="E482" s="15"/>
      <c r="F482" s="11"/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B483" s="11"/>
      <c r="C483" s="11"/>
      <c r="D483" s="11"/>
      <c r="E483" s="15"/>
      <c r="F483" s="11"/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B484" s="11"/>
      <c r="C484" s="11"/>
      <c r="D484" s="11"/>
      <c r="E484" s="15"/>
      <c r="F484" s="11"/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B485" s="11"/>
      <c r="C485" s="11"/>
      <c r="D485" s="11"/>
      <c r="E485" s="15"/>
      <c r="F485" s="11"/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B486" s="11"/>
      <c r="C486" s="11"/>
      <c r="D486" s="11"/>
      <c r="E486" s="15"/>
      <c r="F486" s="11"/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B487" s="11"/>
      <c r="C487" s="11"/>
      <c r="D487" s="11"/>
      <c r="E487" s="15"/>
      <c r="F487" s="11"/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B488" s="11"/>
      <c r="C488" s="11"/>
      <c r="D488" s="11"/>
      <c r="E488" s="15"/>
      <c r="F488" s="11"/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B489" s="11"/>
      <c r="C489" s="11"/>
      <c r="D489" s="11"/>
      <c r="E489" s="15"/>
      <c r="F489" s="11"/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B490" s="11"/>
      <c r="C490" s="11"/>
      <c r="D490" s="11"/>
      <c r="E490" s="15"/>
      <c r="F490" s="11"/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B491" s="11"/>
      <c r="C491" s="11"/>
      <c r="D491" s="11"/>
      <c r="E491" s="15"/>
      <c r="F491" s="11"/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B492" s="11"/>
      <c r="C492" s="11"/>
      <c r="D492" s="11"/>
      <c r="E492" s="15"/>
      <c r="F492" s="11"/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B493" s="11"/>
      <c r="C493" s="11"/>
      <c r="D493" s="11"/>
      <c r="E493" s="15"/>
      <c r="F493" s="11"/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B494" s="11"/>
      <c r="C494" s="11"/>
      <c r="D494" s="11"/>
      <c r="E494" s="15"/>
      <c r="F494" s="11"/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B495" s="11"/>
      <c r="C495" s="11"/>
      <c r="D495" s="11"/>
      <c r="E495" s="15"/>
      <c r="F495" s="11"/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B496" s="11"/>
      <c r="C496" s="11"/>
      <c r="D496" s="11"/>
      <c r="E496" s="15"/>
      <c r="F496" s="11"/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B497" s="11"/>
      <c r="C497" s="11"/>
      <c r="D497" s="11"/>
      <c r="E497" s="15"/>
      <c r="F497" s="11"/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B498" s="11"/>
      <c r="C498" s="11"/>
      <c r="D498" s="11"/>
      <c r="E498" s="15"/>
      <c r="F498" s="11"/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B499" s="11"/>
      <c r="C499" s="11"/>
      <c r="D499" s="11"/>
      <c r="E499" s="15"/>
      <c r="F499" s="11"/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B500" s="11"/>
      <c r="C500" s="11"/>
      <c r="D500" s="11"/>
      <c r="E500" s="15"/>
      <c r="F500" s="11"/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B501" s="11"/>
      <c r="C501" s="11"/>
      <c r="D501" s="11"/>
      <c r="E501" s="15"/>
      <c r="F501" s="11"/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B502" s="11"/>
      <c r="C502" s="11"/>
      <c r="D502" s="11"/>
      <c r="E502" s="15"/>
      <c r="F502" s="11"/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B503" s="11"/>
      <c r="C503" s="11"/>
      <c r="D503" s="11"/>
      <c r="E503" s="15"/>
      <c r="F503" s="11"/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B504" s="11"/>
      <c r="C504" s="11"/>
      <c r="D504" s="11"/>
      <c r="E504" s="15"/>
      <c r="F504" s="11"/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B505" s="11"/>
      <c r="C505" s="11"/>
      <c r="D505" s="11"/>
      <c r="E505" s="15"/>
      <c r="F505" s="11"/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B506" s="11"/>
      <c r="C506" s="11"/>
      <c r="D506" s="11"/>
      <c r="E506" s="15"/>
      <c r="F506" s="11"/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B507" s="11"/>
      <c r="C507" s="11"/>
      <c r="D507" s="11"/>
      <c r="E507" s="15"/>
      <c r="F507" s="11"/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B508" s="11"/>
      <c r="C508" s="11"/>
      <c r="D508" s="11"/>
      <c r="E508" s="15"/>
      <c r="F508" s="11"/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B509" s="11"/>
      <c r="C509" s="11"/>
      <c r="D509" s="11"/>
      <c r="E509" s="15"/>
      <c r="F509" s="11"/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B510" s="11"/>
      <c r="C510" s="11"/>
      <c r="D510" s="11"/>
      <c r="E510" s="15"/>
      <c r="F510" s="11"/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B511" s="11"/>
      <c r="C511" s="11"/>
      <c r="D511" s="11"/>
      <c r="E511" s="15"/>
      <c r="F511" s="11"/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B512" s="11"/>
      <c r="C512" s="11"/>
      <c r="D512" s="11"/>
      <c r="E512" s="15"/>
      <c r="F512" s="11"/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B513" s="11"/>
      <c r="C513" s="11"/>
      <c r="D513" s="11"/>
      <c r="E513" s="15"/>
      <c r="F513" s="11"/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B514" s="11"/>
      <c r="C514" s="11"/>
      <c r="D514" s="11"/>
      <c r="E514" s="15"/>
      <c r="F514" s="11"/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B515" s="11"/>
      <c r="C515" s="11"/>
      <c r="D515" s="11"/>
      <c r="E515" s="15"/>
      <c r="F515" s="11"/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B516" s="11"/>
      <c r="C516" s="11"/>
      <c r="D516" s="11"/>
      <c r="E516" s="15"/>
      <c r="F516" s="11"/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B517" s="11"/>
      <c r="C517" s="11"/>
      <c r="D517" s="11"/>
      <c r="E517" s="15"/>
      <c r="F517" s="11"/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B518" s="11"/>
      <c r="C518" s="11"/>
      <c r="D518" s="11"/>
      <c r="E518" s="15"/>
      <c r="F518" s="11"/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B519" s="11"/>
      <c r="C519" s="11"/>
      <c r="D519" s="11"/>
      <c r="E519" s="15"/>
      <c r="F519" s="11"/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B520" s="11"/>
      <c r="C520" s="11"/>
      <c r="D520" s="11"/>
      <c r="E520" s="15"/>
      <c r="F520" s="11"/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B521" s="11"/>
      <c r="C521" s="11"/>
      <c r="D521" s="11"/>
      <c r="E521" s="15"/>
      <c r="F521" s="11"/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B522" s="11"/>
      <c r="C522" s="11"/>
      <c r="D522" s="11"/>
      <c r="E522" s="15"/>
      <c r="F522" s="11"/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B523" s="11"/>
      <c r="C523" s="11"/>
      <c r="D523" s="11"/>
      <c r="E523" s="15"/>
      <c r="F523" s="11"/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B524" s="11"/>
      <c r="C524" s="11"/>
      <c r="D524" s="11"/>
      <c r="E524" s="15"/>
      <c r="F524" s="11"/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B525" s="11"/>
      <c r="C525" s="11"/>
      <c r="D525" s="11"/>
      <c r="E525" s="15"/>
      <c r="F525" s="11"/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B526" s="11"/>
      <c r="C526" s="11"/>
      <c r="D526" s="11"/>
      <c r="E526" s="15"/>
      <c r="F526" s="11"/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B527" s="11"/>
      <c r="C527" s="11"/>
      <c r="D527" s="11"/>
      <c r="E527" s="15"/>
      <c r="F527" s="11"/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B528" s="11"/>
      <c r="C528" s="11"/>
      <c r="D528" s="11"/>
      <c r="E528" s="15"/>
      <c r="F528" s="11"/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B529" s="11"/>
      <c r="C529" s="11"/>
      <c r="D529" s="11"/>
      <c r="E529" s="15"/>
      <c r="F529" s="11"/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B530" s="11"/>
      <c r="C530" s="11"/>
      <c r="D530" s="11"/>
      <c r="E530" s="15"/>
      <c r="F530" s="11"/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B531" s="11"/>
      <c r="C531" s="11"/>
      <c r="D531" s="11"/>
      <c r="E531" s="15"/>
      <c r="F531" s="11"/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B532" s="11"/>
      <c r="C532" s="11"/>
      <c r="D532" s="11"/>
      <c r="E532" s="15"/>
      <c r="F532" s="11"/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B533" s="11"/>
      <c r="C533" s="11"/>
      <c r="D533" s="11"/>
      <c r="E533" s="15"/>
      <c r="F533" s="11"/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B534" s="11"/>
      <c r="C534" s="11"/>
      <c r="D534" s="11"/>
      <c r="E534" s="15"/>
      <c r="F534" s="11"/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B535" s="11"/>
      <c r="C535" s="11"/>
      <c r="D535" s="11"/>
      <c r="E535" s="15"/>
      <c r="F535" s="11"/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B536" s="11"/>
      <c r="C536" s="11"/>
      <c r="D536" s="11"/>
      <c r="E536" s="15"/>
      <c r="F536" s="11"/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B537" s="11"/>
      <c r="C537" s="11"/>
      <c r="D537" s="11"/>
      <c r="E537" s="15"/>
      <c r="F537" s="11"/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B538" s="11"/>
      <c r="C538" s="11"/>
      <c r="D538" s="11"/>
      <c r="E538" s="15"/>
      <c r="F538" s="11"/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B539" s="11"/>
      <c r="C539" s="11"/>
      <c r="D539" s="11"/>
      <c r="E539" s="15"/>
      <c r="F539" s="11"/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B540" s="11"/>
      <c r="C540" s="11"/>
      <c r="D540" s="11"/>
      <c r="E540" s="15"/>
      <c r="F540" s="11"/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B541" s="11"/>
      <c r="C541" s="11"/>
      <c r="D541" s="11"/>
      <c r="E541" s="15"/>
      <c r="F541" s="11"/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B542" s="11"/>
      <c r="C542" s="11"/>
      <c r="D542" s="11"/>
      <c r="E542" s="15"/>
      <c r="F542" s="11"/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B543" s="11"/>
      <c r="C543" s="11"/>
      <c r="D543" s="11"/>
      <c r="E543" s="15"/>
      <c r="F543" s="11"/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B544" s="11"/>
      <c r="C544" s="11"/>
      <c r="D544" s="11"/>
      <c r="E544" s="15"/>
      <c r="F544" s="11"/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B545" s="11"/>
      <c r="C545" s="11"/>
      <c r="D545" s="11"/>
      <c r="E545" s="15"/>
      <c r="F545" s="11"/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B546" s="11"/>
      <c r="C546" s="11"/>
      <c r="D546" s="11"/>
      <c r="E546" s="15"/>
      <c r="F546" s="11"/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B547" s="11"/>
      <c r="C547" s="11"/>
      <c r="D547" s="11"/>
      <c r="E547" s="15"/>
      <c r="F547" s="11"/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B548" s="11"/>
      <c r="C548" s="11"/>
      <c r="D548" s="11"/>
      <c r="E548" s="15"/>
      <c r="F548" s="11"/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B549" s="11"/>
      <c r="C549" s="11"/>
      <c r="D549" s="11"/>
      <c r="E549" s="15"/>
      <c r="F549" s="11"/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B550" s="11"/>
      <c r="C550" s="11"/>
      <c r="D550" s="11"/>
      <c r="E550" s="15"/>
      <c r="F550" s="11"/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B551" s="11"/>
      <c r="C551" s="11"/>
      <c r="D551" s="11"/>
      <c r="E551" s="15"/>
      <c r="F551" s="11"/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B552" s="11"/>
      <c r="C552" s="11"/>
      <c r="D552" s="11"/>
      <c r="E552" s="15"/>
      <c r="F552" s="11"/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B553" s="11"/>
      <c r="C553" s="11"/>
      <c r="D553" s="11"/>
      <c r="E553" s="15"/>
      <c r="F553" s="11"/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B554" s="11"/>
      <c r="C554" s="11"/>
      <c r="D554" s="11"/>
      <c r="E554" s="15"/>
      <c r="F554" s="11"/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B555" s="11"/>
      <c r="C555" s="11"/>
      <c r="D555" s="11"/>
      <c r="E555" s="15"/>
      <c r="F555" s="11"/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B556" s="11"/>
      <c r="C556" s="11"/>
      <c r="D556" s="11"/>
      <c r="E556" s="15"/>
      <c r="F556" s="11"/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B557" s="11"/>
      <c r="C557" s="11"/>
      <c r="D557" s="11"/>
      <c r="E557" s="15"/>
      <c r="F557" s="11"/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B558" s="11"/>
      <c r="C558" s="11"/>
      <c r="D558" s="11"/>
      <c r="E558" s="15"/>
      <c r="F558" s="11"/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B559" s="11"/>
      <c r="C559" s="11"/>
      <c r="D559" s="11"/>
      <c r="E559" s="15"/>
      <c r="F559" s="11"/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B560" s="11"/>
      <c r="C560" s="11"/>
      <c r="D560" s="11"/>
      <c r="E560" s="15"/>
      <c r="F560" s="11"/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B561" s="11"/>
      <c r="C561" s="11"/>
      <c r="D561" s="11"/>
      <c r="E561" s="15"/>
      <c r="F561" s="11"/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B562" s="11"/>
      <c r="C562" s="11"/>
      <c r="D562" s="11"/>
      <c r="E562" s="15"/>
      <c r="F562" s="11"/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B563" s="11"/>
      <c r="C563" s="11"/>
      <c r="D563" s="11"/>
      <c r="E563" s="15"/>
      <c r="F563" s="11"/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B564" s="11"/>
      <c r="C564" s="11"/>
      <c r="D564" s="11"/>
      <c r="E564" s="15"/>
      <c r="F564" s="11"/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B565" s="11"/>
      <c r="C565" s="11"/>
      <c r="D565" s="11"/>
      <c r="E565" s="15"/>
      <c r="F565" s="11"/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B566" s="11"/>
      <c r="C566" s="11"/>
      <c r="D566" s="11"/>
      <c r="E566" s="15"/>
      <c r="F566" s="11"/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B567" s="11"/>
      <c r="C567" s="11"/>
      <c r="D567" s="11"/>
      <c r="E567" s="15"/>
      <c r="F567" s="11"/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B568" s="11"/>
      <c r="C568" s="11"/>
      <c r="D568" s="11"/>
      <c r="E568" s="15"/>
      <c r="F568" s="11"/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B569" s="11"/>
      <c r="C569" s="11"/>
      <c r="D569" s="11"/>
      <c r="E569" s="15"/>
      <c r="F569" s="11"/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B570" s="11"/>
      <c r="C570" s="11"/>
      <c r="D570" s="11"/>
      <c r="E570" s="15"/>
      <c r="F570" s="11"/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B571" s="11"/>
      <c r="C571" s="11"/>
      <c r="D571" s="11"/>
      <c r="E571" s="15"/>
      <c r="F571" s="11"/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B572" s="11"/>
      <c r="C572" s="11"/>
      <c r="D572" s="11"/>
      <c r="E572" s="15"/>
      <c r="F572" s="11"/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B573" s="11"/>
      <c r="C573" s="11"/>
      <c r="D573" s="11"/>
      <c r="E573" s="15"/>
      <c r="F573" s="11"/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B574" s="11"/>
      <c r="C574" s="11"/>
      <c r="D574" s="11"/>
      <c r="E574" s="15"/>
      <c r="F574" s="11"/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B575" s="11"/>
      <c r="C575" s="11"/>
      <c r="D575" s="11"/>
      <c r="E575" s="15"/>
      <c r="F575" s="11"/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B576" s="11"/>
      <c r="C576" s="11"/>
      <c r="D576" s="11"/>
      <c r="E576" s="15"/>
      <c r="F576" s="11"/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B577" s="11"/>
      <c r="C577" s="11"/>
      <c r="D577" s="11"/>
      <c r="E577" s="15"/>
      <c r="F577" s="11"/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B578" s="11"/>
      <c r="C578" s="11"/>
      <c r="D578" s="11"/>
      <c r="E578" s="15"/>
      <c r="F578" s="11"/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B579" s="11"/>
      <c r="C579" s="11"/>
      <c r="D579" s="11"/>
      <c r="E579" s="15"/>
      <c r="F579" s="11"/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B580" s="11"/>
      <c r="C580" s="11"/>
      <c r="D580" s="11"/>
      <c r="E580" s="15"/>
      <c r="F580" s="11"/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B581" s="11"/>
      <c r="C581" s="11"/>
      <c r="D581" s="11"/>
      <c r="E581" s="15"/>
      <c r="F581" s="11"/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B582" s="11"/>
      <c r="C582" s="11"/>
      <c r="D582" s="11"/>
      <c r="E582" s="15"/>
      <c r="F582" s="11"/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B583" s="11"/>
      <c r="C583" s="11"/>
      <c r="D583" s="11"/>
      <c r="E583" s="15"/>
      <c r="F583" s="11"/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B584" s="11"/>
      <c r="C584" s="11"/>
      <c r="D584" s="11"/>
      <c r="E584" s="15"/>
      <c r="F584" s="11"/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B585" s="11"/>
      <c r="C585" s="11"/>
      <c r="D585" s="11"/>
      <c r="E585" s="15"/>
      <c r="F585" s="11"/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B586" s="11"/>
      <c r="C586" s="11"/>
      <c r="D586" s="11"/>
      <c r="E586" s="15"/>
      <c r="F586" s="11"/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B587" s="11"/>
      <c r="C587" s="11"/>
      <c r="D587" s="11"/>
      <c r="E587" s="15"/>
      <c r="F587" s="11"/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B588" s="11"/>
      <c r="C588" s="11"/>
      <c r="D588" s="11"/>
      <c r="E588" s="15"/>
      <c r="F588" s="11"/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B589" s="11"/>
      <c r="C589" s="11"/>
      <c r="D589" s="11"/>
      <c r="E589" s="15"/>
      <c r="F589" s="11"/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B590" s="11"/>
      <c r="C590" s="11"/>
      <c r="D590" s="11"/>
      <c r="E590" s="15"/>
      <c r="F590" s="11"/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B591" s="11"/>
      <c r="C591" s="11"/>
      <c r="D591" s="11"/>
      <c r="E591" s="15"/>
      <c r="F591" s="11"/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B592" s="11"/>
      <c r="C592" s="11"/>
      <c r="D592" s="11"/>
      <c r="E592" s="15"/>
      <c r="F592" s="11"/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B593" s="11"/>
      <c r="C593" s="11"/>
      <c r="D593" s="11"/>
      <c r="E593" s="15"/>
      <c r="F593" s="11"/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B594" s="11"/>
      <c r="C594" s="11"/>
      <c r="D594" s="11"/>
      <c r="E594" s="15"/>
      <c r="F594" s="11"/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B595" s="11"/>
      <c r="C595" s="11"/>
      <c r="D595" s="11"/>
      <c r="E595" s="15"/>
      <c r="F595" s="11"/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B596" s="11"/>
      <c r="C596" s="11"/>
      <c r="D596" s="11"/>
      <c r="E596" s="15"/>
      <c r="F596" s="11"/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B597" s="11"/>
      <c r="C597" s="11"/>
      <c r="D597" s="11"/>
      <c r="E597" s="15"/>
      <c r="F597" s="11"/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B598" s="11"/>
      <c r="C598" s="11"/>
      <c r="D598" s="11"/>
      <c r="E598" s="15"/>
      <c r="F598" s="11"/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B599" s="11"/>
      <c r="C599" s="11"/>
      <c r="D599" s="11"/>
      <c r="E599" s="15"/>
      <c r="F599" s="11"/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B600" s="11"/>
      <c r="C600" s="11"/>
      <c r="D600" s="11"/>
      <c r="E600" s="15"/>
      <c r="F600" s="11"/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B601" s="11"/>
      <c r="C601" s="11"/>
      <c r="D601" s="11"/>
      <c r="E601" s="15"/>
      <c r="F601" s="11"/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B602" s="11"/>
      <c r="C602" s="11"/>
      <c r="D602" s="11"/>
      <c r="E602" s="15"/>
      <c r="F602" s="11"/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B603" s="11"/>
      <c r="C603" s="11"/>
      <c r="D603" s="11"/>
      <c r="E603" s="15"/>
      <c r="F603" s="11"/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B604" s="11"/>
      <c r="C604" s="11"/>
      <c r="D604" s="11"/>
      <c r="E604" s="15"/>
      <c r="F604" s="11"/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B605" s="11"/>
      <c r="C605" s="11"/>
      <c r="D605" s="11"/>
      <c r="E605" s="15"/>
      <c r="F605" s="11"/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B606" s="11"/>
      <c r="C606" s="11"/>
      <c r="D606" s="11"/>
      <c r="E606" s="15"/>
      <c r="F606" s="11"/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B607" s="11"/>
      <c r="C607" s="11"/>
      <c r="D607" s="11"/>
      <c r="E607" s="15"/>
      <c r="F607" s="11"/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B608" s="11"/>
      <c r="C608" s="11"/>
      <c r="D608" s="11"/>
      <c r="E608" s="15"/>
      <c r="F608" s="11"/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B609" s="11"/>
      <c r="C609" s="11"/>
      <c r="D609" s="11"/>
      <c r="E609" s="15"/>
      <c r="F609" s="11"/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B610" s="11"/>
      <c r="C610" s="11"/>
      <c r="D610" s="11"/>
      <c r="E610" s="15"/>
      <c r="F610" s="11"/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B611" s="11"/>
      <c r="C611" s="11"/>
      <c r="D611" s="11"/>
      <c r="E611" s="15"/>
      <c r="F611" s="11"/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B612" s="11"/>
      <c r="C612" s="11"/>
      <c r="D612" s="11"/>
      <c r="E612" s="15"/>
      <c r="F612" s="11"/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B613" s="11"/>
      <c r="C613" s="11"/>
      <c r="D613" s="11"/>
      <c r="E613" s="15"/>
      <c r="F613" s="11"/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B614" s="11"/>
      <c r="C614" s="11"/>
      <c r="D614" s="11"/>
      <c r="E614" s="15"/>
      <c r="F614" s="11"/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B615" s="11"/>
      <c r="C615" s="11"/>
      <c r="D615" s="11"/>
      <c r="E615" s="15"/>
      <c r="F615" s="11"/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B616" s="11"/>
      <c r="C616" s="11"/>
      <c r="D616" s="11"/>
      <c r="E616" s="15"/>
      <c r="F616" s="11"/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B617" s="11"/>
      <c r="C617" s="11"/>
      <c r="D617" s="11"/>
      <c r="E617" s="15"/>
      <c r="F617" s="11"/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B618" s="11"/>
      <c r="C618" s="11"/>
      <c r="D618" s="11"/>
      <c r="E618" s="15"/>
      <c r="F618" s="11"/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B619" s="11"/>
      <c r="C619" s="11"/>
      <c r="D619" s="11"/>
      <c r="E619" s="15"/>
      <c r="F619" s="11"/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B620" s="11"/>
      <c r="C620" s="11"/>
      <c r="D620" s="11"/>
      <c r="E620" s="15"/>
      <c r="F620" s="11"/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B621" s="11"/>
      <c r="C621" s="11"/>
      <c r="D621" s="11"/>
      <c r="E621" s="15"/>
      <c r="F621" s="11"/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B622" s="11"/>
      <c r="C622" s="11"/>
      <c r="D622" s="11"/>
      <c r="E622" s="15"/>
      <c r="F622" s="11"/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B623" s="11"/>
      <c r="C623" s="11"/>
      <c r="D623" s="11"/>
      <c r="E623" s="15"/>
      <c r="F623" s="11"/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B624" s="11"/>
      <c r="C624" s="11"/>
      <c r="D624" s="11"/>
      <c r="E624" s="15"/>
      <c r="F624" s="11"/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B625" s="11"/>
      <c r="C625" s="11"/>
      <c r="D625" s="11"/>
      <c r="E625" s="15"/>
      <c r="F625" s="11"/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B626" s="11"/>
      <c r="C626" s="11"/>
      <c r="D626" s="11"/>
      <c r="E626" s="15"/>
      <c r="F626" s="11"/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B627" s="11"/>
      <c r="C627" s="11"/>
      <c r="D627" s="11"/>
      <c r="E627" s="15"/>
      <c r="F627" s="11"/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B628" s="11"/>
      <c r="C628" s="11"/>
      <c r="D628" s="11"/>
      <c r="E628" s="15"/>
      <c r="F628" s="11"/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B629" s="11"/>
      <c r="C629" s="11"/>
      <c r="D629" s="11"/>
      <c r="E629" s="15"/>
      <c r="F629" s="11"/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B630" s="11"/>
      <c r="C630" s="11"/>
      <c r="D630" s="11"/>
      <c r="E630" s="15"/>
      <c r="F630" s="11"/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B631" s="11"/>
      <c r="C631" s="11"/>
      <c r="D631" s="11"/>
      <c r="E631" s="15"/>
      <c r="F631" s="11"/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B632" s="11"/>
      <c r="C632" s="11"/>
      <c r="D632" s="11"/>
      <c r="E632" s="15"/>
      <c r="F632" s="11"/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B633" s="11"/>
      <c r="C633" s="11"/>
      <c r="D633" s="11"/>
      <c r="E633" s="15"/>
      <c r="F633" s="11"/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B634" s="11"/>
      <c r="C634" s="11"/>
      <c r="D634" s="11"/>
      <c r="E634" s="15"/>
      <c r="F634" s="11"/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B635" s="11"/>
      <c r="C635" s="11"/>
      <c r="D635" s="11"/>
      <c r="E635" s="15"/>
      <c r="F635" s="11"/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B636" s="11"/>
      <c r="C636" s="11"/>
      <c r="D636" s="11"/>
      <c r="E636" s="15"/>
      <c r="F636" s="11"/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B637" s="11"/>
      <c r="C637" s="11"/>
      <c r="D637" s="11"/>
      <c r="E637" s="15"/>
      <c r="F637" s="11"/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B638" s="11"/>
      <c r="C638" s="11"/>
      <c r="D638" s="11"/>
      <c r="E638" s="15"/>
      <c r="F638" s="11"/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B639" s="11"/>
      <c r="C639" s="11"/>
      <c r="D639" s="11"/>
      <c r="E639" s="15"/>
      <c r="F639" s="11"/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B640" s="11"/>
      <c r="C640" s="11"/>
      <c r="D640" s="11"/>
      <c r="E640" s="15"/>
      <c r="F640" s="11"/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B641" s="11"/>
      <c r="C641" s="11"/>
      <c r="D641" s="11"/>
      <c r="E641" s="15"/>
      <c r="F641" s="11"/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B642" s="11"/>
      <c r="C642" s="11"/>
      <c r="D642" s="11"/>
      <c r="E642" s="15"/>
      <c r="F642" s="11"/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B643" s="11"/>
      <c r="C643" s="11"/>
      <c r="D643" s="11"/>
      <c r="E643" s="15"/>
      <c r="F643" s="11"/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B644" s="11"/>
      <c r="C644" s="11"/>
      <c r="D644" s="11"/>
      <c r="E644" s="15"/>
      <c r="F644" s="11"/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B645" s="11"/>
      <c r="C645" s="11"/>
      <c r="D645" s="11"/>
      <c r="E645" s="15"/>
      <c r="F645" s="11"/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B646" s="11"/>
      <c r="C646" s="11"/>
      <c r="D646" s="11"/>
      <c r="E646" s="15"/>
      <c r="F646" s="11"/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B647" s="11"/>
      <c r="C647" s="11"/>
      <c r="D647" s="11"/>
      <c r="E647" s="15"/>
      <c r="F647" s="11"/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B648" s="11"/>
      <c r="C648" s="11"/>
      <c r="D648" s="11"/>
      <c r="E648" s="15"/>
      <c r="F648" s="11"/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B649" s="11"/>
      <c r="C649" s="11"/>
      <c r="D649" s="11"/>
      <c r="E649" s="15"/>
      <c r="F649" s="11"/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B650" s="11"/>
      <c r="C650" s="11"/>
      <c r="D650" s="11"/>
      <c r="E650" s="15"/>
      <c r="F650" s="11"/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B651" s="11"/>
      <c r="C651" s="11"/>
      <c r="D651" s="11"/>
      <c r="E651" s="15"/>
      <c r="F651" s="11"/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B652" s="11"/>
      <c r="C652" s="11"/>
      <c r="D652" s="11"/>
      <c r="E652" s="15"/>
      <c r="F652" s="11"/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B653" s="11"/>
      <c r="C653" s="11"/>
      <c r="D653" s="11"/>
      <c r="E653" s="15"/>
      <c r="F653" s="11"/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B654" s="11"/>
      <c r="C654" s="11"/>
      <c r="D654" s="11"/>
      <c r="E654" s="15"/>
      <c r="F654" s="11"/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B655" s="11"/>
      <c r="C655" s="11"/>
      <c r="D655" s="11"/>
      <c r="E655" s="15"/>
      <c r="F655" s="11"/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B656" s="11"/>
      <c r="C656" s="11"/>
      <c r="D656" s="11"/>
      <c r="E656" s="15"/>
      <c r="F656" s="11"/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B657" s="11"/>
      <c r="C657" s="11"/>
      <c r="D657" s="11"/>
      <c r="E657" s="15"/>
      <c r="F657" s="11"/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B658" s="11"/>
      <c r="C658" s="11"/>
      <c r="D658" s="11"/>
      <c r="E658" s="15"/>
      <c r="F658" s="11"/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B659" s="11"/>
      <c r="C659" s="11"/>
      <c r="D659" s="11"/>
      <c r="E659" s="15"/>
      <c r="F659" s="11"/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B660" s="11"/>
      <c r="C660" s="11"/>
      <c r="D660" s="11"/>
      <c r="E660" s="15"/>
      <c r="F660" s="11"/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B661" s="11"/>
      <c r="C661" s="11"/>
      <c r="D661" s="11"/>
      <c r="E661" s="15"/>
      <c r="F661" s="11"/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B662" s="11"/>
      <c r="C662" s="11"/>
      <c r="D662" s="11"/>
      <c r="E662" s="15"/>
      <c r="F662" s="11"/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B663" s="11"/>
      <c r="C663" s="11"/>
      <c r="D663" s="11"/>
      <c r="E663" s="15"/>
      <c r="F663" s="11"/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B664" s="11"/>
      <c r="C664" s="11"/>
      <c r="D664" s="11"/>
      <c r="E664" s="15"/>
      <c r="F664" s="11"/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B665" s="11"/>
      <c r="C665" s="11"/>
      <c r="D665" s="11"/>
      <c r="E665" s="15"/>
      <c r="F665" s="11"/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B666" s="11"/>
      <c r="C666" s="11"/>
      <c r="D666" s="11"/>
      <c r="E666" s="15"/>
      <c r="F666" s="11"/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B667" s="11"/>
      <c r="C667" s="11"/>
      <c r="D667" s="11"/>
      <c r="E667" s="15"/>
      <c r="F667" s="11"/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B668" s="11"/>
      <c r="C668" s="11"/>
      <c r="D668" s="11"/>
      <c r="E668" s="15"/>
      <c r="F668" s="11"/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B669" s="11"/>
      <c r="C669" s="11"/>
      <c r="D669" s="11"/>
      <c r="E669" s="15"/>
      <c r="F669" s="11"/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B670" s="11"/>
      <c r="C670" s="11"/>
      <c r="D670" s="11"/>
      <c r="E670" s="15"/>
      <c r="F670" s="11"/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B671" s="11"/>
      <c r="C671" s="11"/>
      <c r="D671" s="11"/>
      <c r="E671" s="15"/>
      <c r="F671" s="11"/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B672" s="11"/>
      <c r="C672" s="11"/>
      <c r="D672" s="11"/>
      <c r="E672" s="15"/>
      <c r="F672" s="11"/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B673" s="11"/>
      <c r="C673" s="11"/>
      <c r="D673" s="11"/>
      <c r="E673" s="15"/>
      <c r="F673" s="11"/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B674" s="11"/>
      <c r="C674" s="11"/>
      <c r="D674" s="11"/>
      <c r="E674" s="15"/>
      <c r="F674" s="11"/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B675" s="11"/>
      <c r="C675" s="11"/>
      <c r="D675" s="11"/>
      <c r="E675" s="15"/>
      <c r="F675" s="11"/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B676" s="11"/>
      <c r="C676" s="11"/>
      <c r="D676" s="11"/>
      <c r="E676" s="15"/>
      <c r="F676" s="11"/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B677" s="11"/>
      <c r="C677" s="11"/>
      <c r="D677" s="11"/>
      <c r="E677" s="15"/>
      <c r="F677" s="11"/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698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1.0</v>
      </c>
      <c r="H3" s="9">
        <v>0.0</v>
      </c>
      <c r="I3" s="9">
        <v>0.0</v>
      </c>
      <c r="J3" s="17">
        <v>-548.0</v>
      </c>
      <c r="K3" s="18">
        <v>-698.87</v>
      </c>
      <c r="L3" s="17">
        <v>-604.0</v>
      </c>
      <c r="M3" s="18">
        <v>-604.0</v>
      </c>
      <c r="N3" s="18">
        <v>0.0</v>
      </c>
      <c r="O3" s="18">
        <v>2.406</v>
      </c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1.0</v>
      </c>
      <c r="H4" s="9">
        <v>0.0</v>
      </c>
      <c r="I4" s="9">
        <v>0.0</v>
      </c>
      <c r="J4" s="17">
        <v>-586.0</v>
      </c>
      <c r="K4" s="18">
        <v>-781.844</v>
      </c>
      <c r="L4" s="17">
        <v>-665.0</v>
      </c>
      <c r="M4" s="18">
        <v>-665.0</v>
      </c>
      <c r="N4" s="18">
        <v>0.0</v>
      </c>
      <c r="O4" s="18">
        <v>3.818</v>
      </c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1.0</v>
      </c>
      <c r="H5" s="9">
        <v>0.0</v>
      </c>
      <c r="I5" s="9">
        <v>0.0</v>
      </c>
      <c r="J5" s="17">
        <v>-478.0</v>
      </c>
      <c r="K5" s="18">
        <v>-851.458</v>
      </c>
      <c r="L5" s="17">
        <v>-730.0</v>
      </c>
      <c r="M5" s="18">
        <v>-730.0</v>
      </c>
      <c r="N5" s="18">
        <v>0.0</v>
      </c>
      <c r="O5" s="18">
        <v>5.883</v>
      </c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1.0</v>
      </c>
      <c r="H6" s="9">
        <v>0.0</v>
      </c>
      <c r="I6" s="9">
        <v>0.0</v>
      </c>
      <c r="J6" s="17">
        <v>-341.0</v>
      </c>
      <c r="K6" s="18">
        <v>-778.062</v>
      </c>
      <c r="L6" s="17">
        <v>-634.0</v>
      </c>
      <c r="M6" s="18">
        <v>-634.0</v>
      </c>
      <c r="N6" s="18">
        <v>0.0</v>
      </c>
      <c r="O6" s="18">
        <v>6.323</v>
      </c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1.0</v>
      </c>
      <c r="H7" s="9">
        <v>0.0</v>
      </c>
      <c r="I7" s="9">
        <v>0.0</v>
      </c>
      <c r="J7" s="17">
        <v>-550.0</v>
      </c>
      <c r="K7" s="18">
        <v>-768.997</v>
      </c>
      <c r="L7" s="17">
        <v>-653.0</v>
      </c>
      <c r="M7" s="18">
        <v>-653.0</v>
      </c>
      <c r="N7" s="18">
        <v>0.0</v>
      </c>
      <c r="O7" s="18">
        <v>5.015</v>
      </c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1.0</v>
      </c>
      <c r="H8" s="9">
        <v>0.0</v>
      </c>
      <c r="I8" s="9">
        <v>0.0</v>
      </c>
      <c r="J8" s="17">
        <v>-386.0</v>
      </c>
      <c r="K8" s="18">
        <v>-565.112</v>
      </c>
      <c r="L8" s="17">
        <v>-442.0</v>
      </c>
      <c r="M8" s="18">
        <v>-442.0</v>
      </c>
      <c r="N8" s="18">
        <v>0.0</v>
      </c>
      <c r="O8" s="18">
        <v>13.85</v>
      </c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1.0</v>
      </c>
      <c r="H9" s="9">
        <v>0.0</v>
      </c>
      <c r="I9" s="9">
        <v>0.0</v>
      </c>
      <c r="J9" s="17">
        <v>-414.0</v>
      </c>
      <c r="K9" s="18">
        <v>-714.143</v>
      </c>
      <c r="L9" s="17">
        <v>-574.0</v>
      </c>
      <c r="M9" s="18">
        <v>-574.0</v>
      </c>
      <c r="N9" s="18">
        <v>0.0</v>
      </c>
      <c r="O9" s="18">
        <v>14.417</v>
      </c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1.0</v>
      </c>
      <c r="H10" s="9">
        <v>0.0</v>
      </c>
      <c r="I10" s="9">
        <v>0.0</v>
      </c>
      <c r="J10" s="17">
        <v>-258.0</v>
      </c>
      <c r="K10" s="18">
        <v>-659.895</v>
      </c>
      <c r="L10" s="17">
        <v>-500.0</v>
      </c>
      <c r="M10" s="18">
        <v>-500.0</v>
      </c>
      <c r="N10" s="18">
        <v>0.0</v>
      </c>
      <c r="O10" s="18">
        <v>78.24</v>
      </c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1.0</v>
      </c>
      <c r="H11" s="9">
        <v>0.0</v>
      </c>
      <c r="I11" s="9">
        <v>0.0</v>
      </c>
      <c r="J11" s="17">
        <v>-135.0</v>
      </c>
      <c r="K11" s="18">
        <v>-599.575</v>
      </c>
      <c r="L11" s="17">
        <v>-402.0</v>
      </c>
      <c r="M11" s="18">
        <v>-402.0</v>
      </c>
      <c r="N11" s="18">
        <v>0.0</v>
      </c>
      <c r="O11" s="18">
        <v>45.518</v>
      </c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1.0</v>
      </c>
      <c r="H12" s="9">
        <v>0.0</v>
      </c>
      <c r="I12" s="9">
        <v>0.0</v>
      </c>
      <c r="J12" s="17">
        <v>-97.0</v>
      </c>
      <c r="K12" s="18">
        <v>-615.228</v>
      </c>
      <c r="L12" s="17">
        <v>-481.0</v>
      </c>
      <c r="M12" s="18">
        <v>-481.0</v>
      </c>
      <c r="N12" s="18">
        <v>0.0</v>
      </c>
      <c r="O12" s="18">
        <v>39.201</v>
      </c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1.0</v>
      </c>
      <c r="H13" s="9">
        <v>0.0</v>
      </c>
      <c r="I13" s="9">
        <v>0.0</v>
      </c>
      <c r="J13" s="17">
        <v>1447.0</v>
      </c>
      <c r="K13" s="18">
        <v>1284.42</v>
      </c>
      <c r="L13" s="17">
        <v>1422.0</v>
      </c>
      <c r="M13" s="18">
        <v>1422.0</v>
      </c>
      <c r="N13" s="18">
        <v>0.0</v>
      </c>
      <c r="O13" s="18">
        <v>9.286</v>
      </c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1.0</v>
      </c>
      <c r="H14" s="9">
        <v>0.0</v>
      </c>
      <c r="I14" s="9">
        <v>0.0</v>
      </c>
      <c r="J14" s="17">
        <v>233.0</v>
      </c>
      <c r="K14" s="18">
        <v>201.458</v>
      </c>
      <c r="L14" s="17">
        <v>233.0</v>
      </c>
      <c r="M14" s="18">
        <v>233.0</v>
      </c>
      <c r="N14" s="18">
        <v>0.0</v>
      </c>
      <c r="O14" s="18">
        <v>0.124</v>
      </c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1.0</v>
      </c>
      <c r="H15" s="9">
        <v>0.0</v>
      </c>
      <c r="I15" s="9">
        <v>0.0</v>
      </c>
      <c r="J15" s="17">
        <v>1768.0</v>
      </c>
      <c r="K15" s="18">
        <v>1397.36</v>
      </c>
      <c r="L15" s="17">
        <v>1634.0</v>
      </c>
      <c r="M15" s="18">
        <v>1634.0</v>
      </c>
      <c r="N15" s="18">
        <v>0.0</v>
      </c>
      <c r="O15" s="18">
        <v>99.59</v>
      </c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1.0</v>
      </c>
      <c r="H16" s="9">
        <v>0.0</v>
      </c>
      <c r="I16" s="9">
        <v>0.0</v>
      </c>
      <c r="J16" s="17">
        <v>1909.0</v>
      </c>
      <c r="K16" s="18">
        <v>1796.64</v>
      </c>
      <c r="L16" s="17">
        <v>1860.0</v>
      </c>
      <c r="M16" s="18">
        <v>1860.0</v>
      </c>
      <c r="N16" s="18">
        <v>0.0</v>
      </c>
      <c r="O16" s="18">
        <v>0.461</v>
      </c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1.0</v>
      </c>
      <c r="H17" s="9">
        <v>0.0</v>
      </c>
      <c r="I17" s="9">
        <v>0.0</v>
      </c>
      <c r="J17" s="17">
        <v>1480.0</v>
      </c>
      <c r="K17" s="18">
        <v>1310.76</v>
      </c>
      <c r="L17" s="17">
        <v>1361.0</v>
      </c>
      <c r="M17" s="18">
        <v>1361.0</v>
      </c>
      <c r="N17" s="18">
        <v>0.0</v>
      </c>
      <c r="O17" s="18">
        <v>0.462</v>
      </c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1.0</v>
      </c>
      <c r="H18" s="9">
        <v>0.0</v>
      </c>
      <c r="I18" s="9">
        <v>0.0</v>
      </c>
      <c r="J18" s="17">
        <v>-530.0</v>
      </c>
      <c r="K18" s="18">
        <v>-1714.49</v>
      </c>
      <c r="L18" s="17">
        <v>-1091.0</v>
      </c>
      <c r="M18" s="18">
        <v>-1091.0</v>
      </c>
      <c r="N18" s="18">
        <v>0.0</v>
      </c>
      <c r="O18" s="18">
        <v>131.03</v>
      </c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1.0</v>
      </c>
      <c r="H19" s="9">
        <v>0.0</v>
      </c>
      <c r="I19" s="9">
        <v>0.0</v>
      </c>
      <c r="J19" s="17">
        <v>-469.0</v>
      </c>
      <c r="K19" s="18">
        <v>-1663.3</v>
      </c>
      <c r="L19" s="17">
        <v>-1074.0</v>
      </c>
      <c r="M19" s="18">
        <v>-1074.0</v>
      </c>
      <c r="N19" s="18">
        <v>0.0</v>
      </c>
      <c r="O19" s="18">
        <v>194.127</v>
      </c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1.0</v>
      </c>
      <c r="H20" s="9">
        <v>0.0</v>
      </c>
      <c r="I20" s="9">
        <v>0.0</v>
      </c>
      <c r="J20" s="17">
        <v>-50.0</v>
      </c>
      <c r="K20" s="18">
        <v>-1489.61</v>
      </c>
      <c r="L20" s="17">
        <v>-1002.0</v>
      </c>
      <c r="M20" s="18">
        <v>-1002.0</v>
      </c>
      <c r="N20" s="18">
        <v>0.0</v>
      </c>
      <c r="O20" s="18">
        <v>223.031</v>
      </c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1.0</v>
      </c>
      <c r="H21" s="9">
        <v>0.0</v>
      </c>
      <c r="I21" s="9">
        <v>0.0</v>
      </c>
      <c r="J21" s="17">
        <v>-415.0</v>
      </c>
      <c r="K21" s="18">
        <v>-1380.13</v>
      </c>
      <c r="L21" s="17">
        <v>-990.0</v>
      </c>
      <c r="M21" s="18">
        <v>-990.0</v>
      </c>
      <c r="N21" s="18">
        <v>0.0</v>
      </c>
      <c r="O21" s="18">
        <v>36.251</v>
      </c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1.0</v>
      </c>
      <c r="H22" s="9">
        <v>0.0</v>
      </c>
      <c r="I22" s="9">
        <v>0.0</v>
      </c>
      <c r="J22" s="17">
        <v>-551.0</v>
      </c>
      <c r="K22" s="18">
        <v>-2005.25</v>
      </c>
      <c r="L22" s="17">
        <v>-1146.0</v>
      </c>
      <c r="M22" s="18">
        <v>-1146.0</v>
      </c>
      <c r="N22" s="18">
        <v>0.0</v>
      </c>
      <c r="O22" s="18">
        <v>1746.21</v>
      </c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17">
        <v>230.0</v>
      </c>
      <c r="K23" s="18">
        <v>-1390.01</v>
      </c>
      <c r="L23" s="17">
        <v>-719.0</v>
      </c>
      <c r="M23" s="18">
        <v>-719.0</v>
      </c>
      <c r="N23" s="18">
        <v>0.0</v>
      </c>
      <c r="O23" s="18">
        <v>1286.3</v>
      </c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1.0</v>
      </c>
      <c r="H24" s="9">
        <v>0.0</v>
      </c>
      <c r="I24" s="9">
        <v>0.0</v>
      </c>
      <c r="J24" s="17">
        <v>-557.0</v>
      </c>
      <c r="K24" s="18">
        <v>-1474.49</v>
      </c>
      <c r="L24" s="17">
        <v>-847.0</v>
      </c>
      <c r="M24" s="18">
        <v>-847.0</v>
      </c>
      <c r="N24" s="18">
        <v>0.0</v>
      </c>
      <c r="O24" s="18">
        <v>1248.47</v>
      </c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1.0</v>
      </c>
      <c r="H25" s="9">
        <v>0.0</v>
      </c>
      <c r="I25" s="9">
        <v>0.0</v>
      </c>
      <c r="J25" s="17">
        <v>-2.0</v>
      </c>
      <c r="K25" s="18">
        <v>-1374.54</v>
      </c>
      <c r="L25" s="17">
        <v>-871.0</v>
      </c>
      <c r="M25" s="18">
        <v>-871.0</v>
      </c>
      <c r="N25" s="18">
        <v>0.0</v>
      </c>
      <c r="O25" s="18">
        <v>1133.89</v>
      </c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1.0</v>
      </c>
      <c r="H26" s="9">
        <v>0.0</v>
      </c>
      <c r="I26" s="9">
        <v>0.0</v>
      </c>
      <c r="J26" s="17">
        <v>-506.0</v>
      </c>
      <c r="K26" s="18">
        <v>-1241.25</v>
      </c>
      <c r="L26" s="17">
        <v>-810.0</v>
      </c>
      <c r="M26" s="18">
        <v>-810.0</v>
      </c>
      <c r="N26" s="18">
        <v>0.0</v>
      </c>
      <c r="O26" s="18">
        <v>246.693</v>
      </c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0.0</v>
      </c>
      <c r="H27" s="9">
        <v>1.0</v>
      </c>
      <c r="I27" s="9">
        <v>0.0</v>
      </c>
      <c r="J27" s="17">
        <v>901.0</v>
      </c>
      <c r="K27" s="18">
        <v>-1503.38</v>
      </c>
      <c r="L27" s="17">
        <v>-689.0</v>
      </c>
      <c r="M27" s="18">
        <v>-795.977</v>
      </c>
      <c r="N27" s="18">
        <v>15.5264</v>
      </c>
      <c r="O27" s="18">
        <v>3600.0</v>
      </c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1.0</v>
      </c>
      <c r="H28" s="9">
        <v>0.0</v>
      </c>
      <c r="I28" s="9">
        <v>0.0</v>
      </c>
      <c r="J28" s="17">
        <v>1628.0</v>
      </c>
      <c r="K28" s="18">
        <v>1233.17</v>
      </c>
      <c r="L28" s="17">
        <v>1520.0</v>
      </c>
      <c r="M28" s="18">
        <v>1520.0</v>
      </c>
      <c r="N28" s="18">
        <v>0.0</v>
      </c>
      <c r="O28" s="18">
        <v>53.817</v>
      </c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1.0</v>
      </c>
      <c r="H29" s="9">
        <v>0.0</v>
      </c>
      <c r="I29" s="9">
        <v>0.0</v>
      </c>
      <c r="J29" s="17">
        <v>586.0</v>
      </c>
      <c r="K29" s="18">
        <v>175.853</v>
      </c>
      <c r="L29" s="17">
        <v>368.0</v>
      </c>
      <c r="M29" s="18">
        <v>368.0</v>
      </c>
      <c r="N29" s="18">
        <v>0.0</v>
      </c>
      <c r="O29" s="18">
        <v>6.517</v>
      </c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1.0</v>
      </c>
      <c r="H30" s="9">
        <v>0.0</v>
      </c>
      <c r="I30" s="9">
        <v>0.0</v>
      </c>
      <c r="J30" s="17">
        <v>-477.0</v>
      </c>
      <c r="K30" s="18">
        <v>-689.811</v>
      </c>
      <c r="L30" s="17">
        <v>-499.0</v>
      </c>
      <c r="M30" s="18">
        <v>-499.0</v>
      </c>
      <c r="N30" s="18">
        <v>0.0</v>
      </c>
      <c r="O30" s="18">
        <v>10.176</v>
      </c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1.0</v>
      </c>
      <c r="H31" s="9">
        <v>0.0</v>
      </c>
      <c r="I31" s="9">
        <v>0.0</v>
      </c>
      <c r="J31" s="17">
        <v>-295.0</v>
      </c>
      <c r="K31" s="18">
        <v>-533.324</v>
      </c>
      <c r="L31" s="17">
        <v>-374.0</v>
      </c>
      <c r="M31" s="18">
        <v>-374.0</v>
      </c>
      <c r="N31" s="18">
        <v>0.0</v>
      </c>
      <c r="O31" s="18">
        <v>3.657</v>
      </c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1.0</v>
      </c>
      <c r="H32" s="9">
        <v>0.0</v>
      </c>
      <c r="I32" s="9">
        <v>0.0</v>
      </c>
      <c r="J32" s="17">
        <v>3947.0</v>
      </c>
      <c r="K32" s="18">
        <v>3398.79</v>
      </c>
      <c r="L32" s="17">
        <v>3782.0</v>
      </c>
      <c r="M32" s="18">
        <v>3782.0</v>
      </c>
      <c r="N32" s="18">
        <v>0.0</v>
      </c>
      <c r="O32" s="18">
        <v>345.727</v>
      </c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1.0</v>
      </c>
      <c r="H33" s="9">
        <v>0.0</v>
      </c>
      <c r="I33" s="9">
        <v>0.0</v>
      </c>
      <c r="J33" s="17">
        <v>-77.0</v>
      </c>
      <c r="K33" s="18">
        <v>-2324.28</v>
      </c>
      <c r="L33" s="17">
        <v>-1186.0</v>
      </c>
      <c r="M33" s="18">
        <v>-1186.0</v>
      </c>
      <c r="N33" s="18">
        <v>0.0</v>
      </c>
      <c r="O33" s="18">
        <v>2208.96</v>
      </c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1.0</v>
      </c>
      <c r="H34" s="9">
        <v>0.0</v>
      </c>
      <c r="I34" s="9">
        <v>0.0</v>
      </c>
      <c r="J34" s="17">
        <v>-156.0</v>
      </c>
      <c r="K34" s="18">
        <v>-2127.63</v>
      </c>
      <c r="L34" s="17">
        <v>-1122.0</v>
      </c>
      <c r="M34" s="18">
        <v>-1122.0</v>
      </c>
      <c r="N34" s="18">
        <v>0.0</v>
      </c>
      <c r="O34" s="18">
        <v>2666.44</v>
      </c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0.0</v>
      </c>
      <c r="H35" s="9">
        <v>1.0</v>
      </c>
      <c r="I35" s="9">
        <v>0.0</v>
      </c>
      <c r="J35" s="17">
        <v>-351.0</v>
      </c>
      <c r="K35" s="18">
        <v>-2137.73</v>
      </c>
      <c r="L35" s="17">
        <v>-1137.0</v>
      </c>
      <c r="M35" s="18">
        <v>-1207.23</v>
      </c>
      <c r="N35" s="18">
        <v>6.17697</v>
      </c>
      <c r="O35" s="18">
        <v>3600.0</v>
      </c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1.0</v>
      </c>
      <c r="H36" s="9">
        <v>0.0</v>
      </c>
      <c r="I36" s="9">
        <v>0.0</v>
      </c>
      <c r="J36" s="17">
        <v>47.0</v>
      </c>
      <c r="K36" s="18">
        <v>-2080.12</v>
      </c>
      <c r="L36" s="17">
        <v>-1101.0</v>
      </c>
      <c r="M36" s="18">
        <v>-1101.0</v>
      </c>
      <c r="N36" s="18">
        <v>0.0</v>
      </c>
      <c r="O36" s="18">
        <v>1394.83</v>
      </c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1.0</v>
      </c>
      <c r="H37" s="9">
        <v>0.0</v>
      </c>
      <c r="I37" s="9">
        <v>0.0</v>
      </c>
      <c r="J37" s="17">
        <v>68.0</v>
      </c>
      <c r="K37" s="18">
        <v>-1968.67</v>
      </c>
      <c r="L37" s="17">
        <v>-1083.0</v>
      </c>
      <c r="M37" s="18">
        <v>-1083.0</v>
      </c>
      <c r="N37" s="18">
        <v>0.0</v>
      </c>
      <c r="O37" s="18">
        <v>387.224</v>
      </c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0.0</v>
      </c>
      <c r="H38" s="9">
        <v>1.0</v>
      </c>
      <c r="I38" s="9">
        <v>0.0</v>
      </c>
      <c r="J38" s="17">
        <v>3.0</v>
      </c>
      <c r="K38" s="18">
        <v>-1977.12</v>
      </c>
      <c r="L38" s="17">
        <v>-947.0</v>
      </c>
      <c r="M38" s="18">
        <v>-1164.84</v>
      </c>
      <c r="N38" s="18">
        <v>23.0029</v>
      </c>
      <c r="O38" s="18">
        <v>3600.0</v>
      </c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0.0</v>
      </c>
      <c r="H39" s="9">
        <v>1.0</v>
      </c>
      <c r="I39" s="9">
        <v>0.0</v>
      </c>
      <c r="J39" s="17">
        <v>-259.0</v>
      </c>
      <c r="K39" s="18">
        <v>-1833.14</v>
      </c>
      <c r="L39" s="17">
        <v>-976.0</v>
      </c>
      <c r="M39" s="18">
        <v>-1061.86</v>
      </c>
      <c r="N39" s="18">
        <v>8.79665</v>
      </c>
      <c r="O39" s="18">
        <v>3600.0</v>
      </c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0.0</v>
      </c>
      <c r="H40" s="9">
        <v>1.0</v>
      </c>
      <c r="I40" s="9">
        <v>0.0</v>
      </c>
      <c r="J40" s="17">
        <v>39.0</v>
      </c>
      <c r="K40" s="18">
        <v>-1811.33</v>
      </c>
      <c r="L40" s="17">
        <v>-791.0</v>
      </c>
      <c r="M40" s="18">
        <v>-1047.2</v>
      </c>
      <c r="N40" s="18">
        <v>32.3894</v>
      </c>
      <c r="O40" s="18">
        <v>3600.0</v>
      </c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1.0</v>
      </c>
      <c r="H41" s="9">
        <v>0.0</v>
      </c>
      <c r="I41" s="9">
        <v>0.0</v>
      </c>
      <c r="J41" s="17">
        <v>21.0</v>
      </c>
      <c r="K41" s="18">
        <v>-1679.24</v>
      </c>
      <c r="L41" s="17">
        <v>-822.0</v>
      </c>
      <c r="M41" s="18">
        <v>-822.0</v>
      </c>
      <c r="N41" s="18">
        <v>0.0</v>
      </c>
      <c r="O41" s="18">
        <v>1868.06</v>
      </c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1.0</v>
      </c>
      <c r="H42" s="9">
        <v>0.0</v>
      </c>
      <c r="I42" s="9">
        <v>0.0</v>
      </c>
      <c r="J42" s="17">
        <v>-195.0</v>
      </c>
      <c r="K42" s="18">
        <v>-1494.91</v>
      </c>
      <c r="L42" s="17">
        <v>-634.0</v>
      </c>
      <c r="M42" s="18">
        <v>-634.0</v>
      </c>
      <c r="N42" s="18">
        <v>0.0</v>
      </c>
      <c r="O42" s="18">
        <v>1621.28</v>
      </c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1.0</v>
      </c>
      <c r="H43" s="9">
        <v>0.0</v>
      </c>
      <c r="I43" s="9">
        <v>0.0</v>
      </c>
      <c r="J43" s="17">
        <v>924.0</v>
      </c>
      <c r="K43" s="18">
        <v>12.7795</v>
      </c>
      <c r="L43" s="17">
        <v>485.0</v>
      </c>
      <c r="M43" s="18">
        <v>485.0</v>
      </c>
      <c r="N43" s="18">
        <v>0.0</v>
      </c>
      <c r="O43" s="18">
        <v>177.26</v>
      </c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1.0</v>
      </c>
      <c r="H44" s="9">
        <v>0.0</v>
      </c>
      <c r="I44" s="9">
        <v>0.0</v>
      </c>
      <c r="J44" s="17">
        <v>324.0</v>
      </c>
      <c r="K44" s="18">
        <v>-565.122</v>
      </c>
      <c r="L44" s="17">
        <v>-234.0</v>
      </c>
      <c r="M44" s="18">
        <v>-234.0</v>
      </c>
      <c r="N44" s="18">
        <v>0.0</v>
      </c>
      <c r="O44" s="18">
        <v>11.534</v>
      </c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1.0</v>
      </c>
      <c r="H45" s="9">
        <v>0.0</v>
      </c>
      <c r="I45" s="9">
        <v>0.0</v>
      </c>
      <c r="J45" s="17">
        <v>2286.0</v>
      </c>
      <c r="K45" s="18">
        <v>1722.34</v>
      </c>
      <c r="L45" s="17">
        <v>2130.0</v>
      </c>
      <c r="M45" s="18">
        <v>2130.0</v>
      </c>
      <c r="N45" s="18">
        <v>0.0</v>
      </c>
      <c r="O45" s="18">
        <v>504.737</v>
      </c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1.0</v>
      </c>
      <c r="H46" s="9">
        <v>0.0</v>
      </c>
      <c r="I46" s="9">
        <v>0.0</v>
      </c>
      <c r="J46" s="17">
        <v>4116.0</v>
      </c>
      <c r="K46" s="18">
        <v>3409.92</v>
      </c>
      <c r="L46" s="17">
        <v>3663.0</v>
      </c>
      <c r="M46" s="18">
        <v>3663.0</v>
      </c>
      <c r="N46" s="18">
        <v>0.0</v>
      </c>
      <c r="O46" s="18">
        <v>1.728</v>
      </c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1.0</v>
      </c>
      <c r="H47" s="9">
        <v>0.0</v>
      </c>
      <c r="I47" s="9">
        <v>0.0</v>
      </c>
      <c r="J47" s="17">
        <v>4431.0</v>
      </c>
      <c r="K47" s="18">
        <v>4191.9</v>
      </c>
      <c r="L47" s="17">
        <v>4325.0</v>
      </c>
      <c r="M47" s="18">
        <v>4325.0</v>
      </c>
      <c r="N47" s="18">
        <v>0.0</v>
      </c>
      <c r="O47" s="18">
        <v>0.598</v>
      </c>
    </row>
    <row r="48">
      <c r="A48" s="8" t="s">
        <v>233</v>
      </c>
      <c r="B48" s="9">
        <v>25.0</v>
      </c>
      <c r="C48" s="14" t="s">
        <v>234</v>
      </c>
      <c r="D48" s="9">
        <v>25.0</v>
      </c>
      <c r="E48" s="10">
        <v>0.6</v>
      </c>
      <c r="F48" s="9">
        <v>1.0</v>
      </c>
      <c r="G48" s="9">
        <v>1.0</v>
      </c>
      <c r="H48" s="9">
        <v>0.0</v>
      </c>
      <c r="I48" s="9">
        <v>0.0</v>
      </c>
      <c r="J48" s="17">
        <v>276.0</v>
      </c>
      <c r="K48" s="18">
        <v>194.68</v>
      </c>
      <c r="L48" s="17">
        <v>261.0</v>
      </c>
      <c r="M48" s="18">
        <v>261.0</v>
      </c>
      <c r="N48" s="18">
        <v>0.0</v>
      </c>
      <c r="O48" s="18">
        <v>4.857</v>
      </c>
    </row>
    <row r="49">
      <c r="A49" s="8" t="s">
        <v>235</v>
      </c>
      <c r="B49" s="9">
        <v>25.0</v>
      </c>
      <c r="C49" s="14" t="s">
        <v>234</v>
      </c>
      <c r="D49" s="9">
        <v>25.0</v>
      </c>
      <c r="E49" s="10">
        <v>0.6</v>
      </c>
      <c r="F49" s="9">
        <v>2.0</v>
      </c>
      <c r="G49" s="9">
        <v>1.0</v>
      </c>
      <c r="H49" s="9">
        <v>0.0</v>
      </c>
      <c r="I49" s="9">
        <v>0.0</v>
      </c>
      <c r="J49" s="17">
        <v>327.0</v>
      </c>
      <c r="K49" s="18">
        <v>177.0</v>
      </c>
      <c r="L49" s="17">
        <v>236.0</v>
      </c>
      <c r="M49" s="18">
        <v>236.0</v>
      </c>
      <c r="N49" s="18">
        <v>0.0</v>
      </c>
      <c r="O49" s="18">
        <v>7.526</v>
      </c>
    </row>
    <row r="50">
      <c r="A50" s="8" t="s">
        <v>236</v>
      </c>
      <c r="B50" s="9">
        <v>25.0</v>
      </c>
      <c r="C50" s="14" t="s">
        <v>234</v>
      </c>
      <c r="D50" s="9">
        <v>25.0</v>
      </c>
      <c r="E50" s="10">
        <v>0.6</v>
      </c>
      <c r="F50" s="9">
        <v>3.0</v>
      </c>
      <c r="G50" s="9">
        <v>1.0</v>
      </c>
      <c r="H50" s="9">
        <v>0.0</v>
      </c>
      <c r="I50" s="9">
        <v>0.0</v>
      </c>
      <c r="J50" s="17">
        <v>345.0</v>
      </c>
      <c r="K50" s="18">
        <v>206.285</v>
      </c>
      <c r="L50" s="17">
        <v>281.0</v>
      </c>
      <c r="M50" s="18">
        <v>281.0</v>
      </c>
      <c r="N50" s="18">
        <v>0.0</v>
      </c>
      <c r="O50" s="18">
        <v>4.796</v>
      </c>
    </row>
    <row r="51">
      <c r="A51" s="8" t="s">
        <v>237</v>
      </c>
      <c r="B51" s="9">
        <v>25.0</v>
      </c>
      <c r="C51" s="14" t="s">
        <v>234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271.0</v>
      </c>
      <c r="K51" s="18">
        <v>176.841</v>
      </c>
      <c r="L51" s="17">
        <v>236.0</v>
      </c>
      <c r="M51" s="18">
        <v>236.0</v>
      </c>
      <c r="N51" s="18">
        <v>0.0</v>
      </c>
      <c r="O51" s="18">
        <v>3.095</v>
      </c>
    </row>
    <row r="52">
      <c r="A52" s="8" t="s">
        <v>238</v>
      </c>
      <c r="B52" s="9">
        <v>25.0</v>
      </c>
      <c r="C52" s="14" t="s">
        <v>234</v>
      </c>
      <c r="D52" s="9">
        <v>25.0</v>
      </c>
      <c r="E52" s="10">
        <v>0.6</v>
      </c>
      <c r="F52" s="9">
        <v>5.0</v>
      </c>
      <c r="G52" s="9">
        <v>1.0</v>
      </c>
      <c r="H52" s="9">
        <v>0.0</v>
      </c>
      <c r="I52" s="9">
        <v>0.0</v>
      </c>
      <c r="J52" s="17">
        <v>396.0</v>
      </c>
      <c r="K52" s="18">
        <v>201.0</v>
      </c>
      <c r="L52" s="17">
        <v>268.0</v>
      </c>
      <c r="M52" s="18">
        <v>268.0</v>
      </c>
      <c r="N52" s="18">
        <v>0.0</v>
      </c>
      <c r="O52" s="18">
        <v>2.675</v>
      </c>
    </row>
    <row r="53">
      <c r="A53" s="8" t="s">
        <v>239</v>
      </c>
      <c r="B53" s="9">
        <v>25.0</v>
      </c>
      <c r="C53" s="14" t="s">
        <v>234</v>
      </c>
      <c r="D53" s="9">
        <v>25.0</v>
      </c>
      <c r="E53" s="10">
        <v>1.0</v>
      </c>
      <c r="F53" s="9">
        <v>1.0</v>
      </c>
      <c r="G53" s="9">
        <v>1.0</v>
      </c>
      <c r="H53" s="9">
        <v>0.0</v>
      </c>
      <c r="I53" s="9">
        <v>0.0</v>
      </c>
      <c r="J53" s="17">
        <v>1918.0</v>
      </c>
      <c r="K53" s="18">
        <v>1385.44</v>
      </c>
      <c r="L53" s="17">
        <v>1390.0</v>
      </c>
      <c r="M53" s="18">
        <v>1390.0</v>
      </c>
      <c r="N53" s="18">
        <v>0.0</v>
      </c>
      <c r="O53" s="18">
        <v>56.905</v>
      </c>
    </row>
    <row r="54">
      <c r="A54" s="8" t="s">
        <v>240</v>
      </c>
      <c r="B54" s="9">
        <v>25.0</v>
      </c>
      <c r="C54" s="14" t="s">
        <v>234</v>
      </c>
      <c r="D54" s="9">
        <v>25.0</v>
      </c>
      <c r="E54" s="10">
        <v>1.0</v>
      </c>
      <c r="F54" s="9">
        <v>2.0</v>
      </c>
      <c r="G54" s="9">
        <v>1.0</v>
      </c>
      <c r="H54" s="9">
        <v>0.0</v>
      </c>
      <c r="I54" s="9">
        <v>0.0</v>
      </c>
      <c r="J54" s="17">
        <v>1967.0</v>
      </c>
      <c r="K54" s="18">
        <v>1265.0</v>
      </c>
      <c r="L54" s="17">
        <v>1306.0</v>
      </c>
      <c r="M54" s="18">
        <v>1306.0</v>
      </c>
      <c r="N54" s="18">
        <v>0.0</v>
      </c>
      <c r="O54" s="18">
        <v>1014.64</v>
      </c>
    </row>
    <row r="55">
      <c r="A55" s="8" t="s">
        <v>241</v>
      </c>
      <c r="B55" s="9">
        <v>25.0</v>
      </c>
      <c r="C55" s="14" t="s">
        <v>234</v>
      </c>
      <c r="D55" s="9">
        <v>25.0</v>
      </c>
      <c r="E55" s="10">
        <v>1.0</v>
      </c>
      <c r="F55" s="9">
        <v>3.0</v>
      </c>
      <c r="G55" s="9">
        <v>1.0</v>
      </c>
      <c r="H55" s="9">
        <v>0.0</v>
      </c>
      <c r="I55" s="9">
        <v>0.0</v>
      </c>
      <c r="J55" s="17">
        <v>2170.0</v>
      </c>
      <c r="K55" s="18">
        <v>1482.29</v>
      </c>
      <c r="L55" s="17">
        <v>1510.0</v>
      </c>
      <c r="M55" s="18">
        <v>1510.0</v>
      </c>
      <c r="N55" s="18">
        <v>0.0</v>
      </c>
      <c r="O55" s="18">
        <v>174.695</v>
      </c>
    </row>
    <row r="56">
      <c r="A56" s="8" t="s">
        <v>242</v>
      </c>
      <c r="B56" s="9">
        <v>25.0</v>
      </c>
      <c r="C56" s="14" t="s">
        <v>234</v>
      </c>
      <c r="D56" s="9">
        <v>25.0</v>
      </c>
      <c r="E56" s="10">
        <v>1.0</v>
      </c>
      <c r="F56" s="9">
        <v>4.0</v>
      </c>
      <c r="G56" s="9">
        <v>1.0</v>
      </c>
      <c r="H56" s="9">
        <v>0.0</v>
      </c>
      <c r="I56" s="9">
        <v>0.0</v>
      </c>
      <c r="J56" s="17">
        <v>1525.0</v>
      </c>
      <c r="K56" s="18">
        <v>1257.16</v>
      </c>
      <c r="L56" s="17">
        <v>1265.0</v>
      </c>
      <c r="M56" s="18">
        <v>1265.0</v>
      </c>
      <c r="N56" s="18">
        <v>0.0</v>
      </c>
      <c r="O56" s="18">
        <v>49.914</v>
      </c>
    </row>
    <row r="57">
      <c r="A57" s="8" t="s">
        <v>243</v>
      </c>
      <c r="B57" s="9">
        <v>25.0</v>
      </c>
      <c r="C57" s="14" t="s">
        <v>234</v>
      </c>
      <c r="D57" s="9">
        <v>25.0</v>
      </c>
      <c r="E57" s="10">
        <v>1.0</v>
      </c>
      <c r="F57" s="9">
        <v>5.0</v>
      </c>
      <c r="G57" s="9">
        <v>1.0</v>
      </c>
      <c r="H57" s="9">
        <v>0.0</v>
      </c>
      <c r="I57" s="9">
        <v>0.0</v>
      </c>
      <c r="J57" s="17">
        <v>1725.0</v>
      </c>
      <c r="K57" s="18">
        <v>1421.06</v>
      </c>
      <c r="L57" s="17">
        <v>1430.0</v>
      </c>
      <c r="M57" s="18">
        <v>1430.0</v>
      </c>
      <c r="N57" s="18">
        <v>0.0</v>
      </c>
      <c r="O57" s="18">
        <v>82.187</v>
      </c>
    </row>
    <row r="58">
      <c r="A58" s="8" t="s">
        <v>244</v>
      </c>
      <c r="B58" s="9">
        <v>25.0</v>
      </c>
      <c r="C58" s="14" t="s">
        <v>234</v>
      </c>
      <c r="D58" s="9">
        <v>25.0</v>
      </c>
      <c r="E58" s="10">
        <v>2.0</v>
      </c>
      <c r="F58" s="9">
        <v>1.0</v>
      </c>
      <c r="G58" s="9">
        <v>1.0</v>
      </c>
      <c r="H58" s="9">
        <v>0.0</v>
      </c>
      <c r="I58" s="9">
        <v>0.0</v>
      </c>
      <c r="J58" s="17">
        <v>20955.0</v>
      </c>
      <c r="K58" s="18">
        <v>19007.9</v>
      </c>
      <c r="L58" s="17">
        <v>20955.0</v>
      </c>
      <c r="M58" s="18">
        <v>20955.0</v>
      </c>
      <c r="N58" s="18">
        <v>0.0</v>
      </c>
      <c r="O58" s="18">
        <v>71.512</v>
      </c>
    </row>
    <row r="59">
      <c r="A59" s="8" t="s">
        <v>245</v>
      </c>
      <c r="B59" s="9">
        <v>25.0</v>
      </c>
      <c r="C59" s="14" t="s">
        <v>234</v>
      </c>
      <c r="D59" s="9">
        <v>25.0</v>
      </c>
      <c r="E59" s="10">
        <v>2.0</v>
      </c>
      <c r="F59" s="9">
        <v>2.0</v>
      </c>
      <c r="G59" s="9">
        <v>1.0</v>
      </c>
      <c r="H59" s="9">
        <v>0.0</v>
      </c>
      <c r="I59" s="9">
        <v>0.0</v>
      </c>
      <c r="J59" s="17">
        <v>22555.0</v>
      </c>
      <c r="K59" s="18">
        <v>21506.9</v>
      </c>
      <c r="L59" s="17">
        <v>22555.0</v>
      </c>
      <c r="M59" s="18">
        <v>22555.0</v>
      </c>
      <c r="N59" s="18">
        <v>0.0</v>
      </c>
      <c r="O59" s="18">
        <v>0.123</v>
      </c>
    </row>
    <row r="60">
      <c r="A60" s="8" t="s">
        <v>246</v>
      </c>
      <c r="B60" s="9">
        <v>25.0</v>
      </c>
      <c r="C60" s="14" t="s">
        <v>234</v>
      </c>
      <c r="D60" s="9">
        <v>25.0</v>
      </c>
      <c r="E60" s="10">
        <v>2.0</v>
      </c>
      <c r="F60" s="9">
        <v>3.0</v>
      </c>
      <c r="G60" s="9">
        <v>1.0</v>
      </c>
      <c r="H60" s="9">
        <v>0.0</v>
      </c>
      <c r="I60" s="9">
        <v>0.0</v>
      </c>
      <c r="J60" s="17">
        <v>22440.0</v>
      </c>
      <c r="K60" s="18">
        <v>20373.1</v>
      </c>
      <c r="L60" s="17">
        <v>22440.0</v>
      </c>
      <c r="M60" s="18">
        <v>22440.0</v>
      </c>
      <c r="N60" s="18">
        <v>0.0</v>
      </c>
      <c r="O60" s="18">
        <v>267.783</v>
      </c>
    </row>
    <row r="61">
      <c r="A61" s="8" t="s">
        <v>247</v>
      </c>
      <c r="B61" s="9">
        <v>25.0</v>
      </c>
      <c r="C61" s="14" t="s">
        <v>234</v>
      </c>
      <c r="D61" s="9">
        <v>25.0</v>
      </c>
      <c r="E61" s="10">
        <v>2.0</v>
      </c>
      <c r="F61" s="9">
        <v>4.0</v>
      </c>
      <c r="G61" s="9">
        <v>1.0</v>
      </c>
      <c r="H61" s="9">
        <v>0.0</v>
      </c>
      <c r="I61" s="9">
        <v>0.0</v>
      </c>
      <c r="J61" s="17">
        <v>19085.0</v>
      </c>
      <c r="K61" s="18">
        <v>17112.5</v>
      </c>
      <c r="L61" s="17">
        <v>17350.0</v>
      </c>
      <c r="M61" s="18">
        <v>17350.0</v>
      </c>
      <c r="N61" s="18">
        <v>0.0</v>
      </c>
      <c r="O61" s="18">
        <v>11.654</v>
      </c>
    </row>
    <row r="62">
      <c r="A62" s="8" t="s">
        <v>248</v>
      </c>
      <c r="B62" s="9">
        <v>25.0</v>
      </c>
      <c r="C62" s="14" t="s">
        <v>234</v>
      </c>
      <c r="D62" s="9">
        <v>25.0</v>
      </c>
      <c r="E62" s="10">
        <v>2.0</v>
      </c>
      <c r="F62" s="9">
        <v>5.0</v>
      </c>
      <c r="G62" s="9">
        <v>1.0</v>
      </c>
      <c r="H62" s="9">
        <v>0.0</v>
      </c>
      <c r="I62" s="9">
        <v>0.0</v>
      </c>
      <c r="J62" s="17">
        <v>19638.0</v>
      </c>
      <c r="K62" s="18">
        <v>19572.4</v>
      </c>
      <c r="L62" s="17">
        <v>19638.0</v>
      </c>
      <c r="M62" s="18">
        <v>19638.0</v>
      </c>
      <c r="N62" s="18">
        <v>0.0</v>
      </c>
      <c r="O62" s="18">
        <v>0.878</v>
      </c>
    </row>
    <row r="63">
      <c r="A63" s="8" t="s">
        <v>249</v>
      </c>
      <c r="B63" s="9">
        <v>25.0</v>
      </c>
      <c r="C63" s="14" t="s">
        <v>234</v>
      </c>
      <c r="D63" s="9">
        <v>50.0</v>
      </c>
      <c r="E63" s="10">
        <v>0.6</v>
      </c>
      <c r="F63" s="9">
        <v>1.0</v>
      </c>
      <c r="G63" s="9">
        <v>1.0</v>
      </c>
      <c r="H63" s="9">
        <v>0.0</v>
      </c>
      <c r="I63" s="9">
        <v>0.0</v>
      </c>
      <c r="J63" s="17">
        <v>808.0</v>
      </c>
      <c r="K63" s="18">
        <v>428.523</v>
      </c>
      <c r="L63" s="17">
        <v>627.0</v>
      </c>
      <c r="M63" s="18">
        <v>627.0</v>
      </c>
      <c r="N63" s="18">
        <v>0.0</v>
      </c>
      <c r="O63" s="18">
        <v>24.784</v>
      </c>
    </row>
    <row r="64">
      <c r="A64" s="8" t="s">
        <v>250</v>
      </c>
      <c r="B64" s="9">
        <v>25.0</v>
      </c>
      <c r="C64" s="14" t="s">
        <v>234</v>
      </c>
      <c r="D64" s="9">
        <v>50.0</v>
      </c>
      <c r="E64" s="10">
        <v>0.6</v>
      </c>
      <c r="F64" s="9">
        <v>2.0</v>
      </c>
      <c r="G64" s="9">
        <v>1.0</v>
      </c>
      <c r="H64" s="9">
        <v>0.0</v>
      </c>
      <c r="I64" s="9">
        <v>0.0</v>
      </c>
      <c r="J64" s="17">
        <v>1035.0</v>
      </c>
      <c r="K64" s="18">
        <v>443.073</v>
      </c>
      <c r="L64" s="17">
        <v>769.0</v>
      </c>
      <c r="M64" s="18">
        <v>769.0</v>
      </c>
      <c r="N64" s="18">
        <v>0.0</v>
      </c>
      <c r="O64" s="18">
        <v>29.956</v>
      </c>
    </row>
    <row r="65">
      <c r="A65" s="8" t="s">
        <v>251</v>
      </c>
      <c r="B65" s="9">
        <v>25.0</v>
      </c>
      <c r="C65" s="14" t="s">
        <v>234</v>
      </c>
      <c r="D65" s="9">
        <v>50.0</v>
      </c>
      <c r="E65" s="10">
        <v>0.6</v>
      </c>
      <c r="F65" s="9">
        <v>3.0</v>
      </c>
      <c r="G65" s="9">
        <v>1.0</v>
      </c>
      <c r="H65" s="9">
        <v>0.0</v>
      </c>
      <c r="I65" s="9">
        <v>0.0</v>
      </c>
      <c r="J65" s="17">
        <v>852.0</v>
      </c>
      <c r="K65" s="18">
        <v>343.546</v>
      </c>
      <c r="L65" s="17">
        <v>605.0</v>
      </c>
      <c r="M65" s="18">
        <v>605.0</v>
      </c>
      <c r="N65" s="18">
        <v>0.0</v>
      </c>
      <c r="O65" s="18">
        <v>8.444</v>
      </c>
    </row>
    <row r="66">
      <c r="A66" s="8" t="s">
        <v>252</v>
      </c>
      <c r="B66" s="9">
        <v>25.0</v>
      </c>
      <c r="C66" s="14" t="s">
        <v>234</v>
      </c>
      <c r="D66" s="9">
        <v>50.0</v>
      </c>
      <c r="E66" s="10">
        <v>0.6</v>
      </c>
      <c r="F66" s="9">
        <v>4.0</v>
      </c>
      <c r="G66" s="9">
        <v>1.0</v>
      </c>
      <c r="H66" s="9">
        <v>0.0</v>
      </c>
      <c r="I66" s="9">
        <v>0.0</v>
      </c>
      <c r="J66" s="17">
        <v>769.0</v>
      </c>
      <c r="K66" s="18">
        <v>336.811</v>
      </c>
      <c r="L66" s="17">
        <v>552.0</v>
      </c>
      <c r="M66" s="18">
        <v>552.0</v>
      </c>
      <c r="N66" s="18">
        <v>0.0</v>
      </c>
      <c r="O66" s="18">
        <v>6.841</v>
      </c>
    </row>
    <row r="67">
      <c r="A67" s="8" t="s">
        <v>253</v>
      </c>
      <c r="B67" s="9">
        <v>25.0</v>
      </c>
      <c r="C67" s="14" t="s">
        <v>234</v>
      </c>
      <c r="D67" s="9">
        <v>50.0</v>
      </c>
      <c r="E67" s="10">
        <v>0.6</v>
      </c>
      <c r="F67" s="9">
        <v>5.0</v>
      </c>
      <c r="G67" s="9">
        <v>1.0</v>
      </c>
      <c r="H67" s="9">
        <v>0.0</v>
      </c>
      <c r="I67" s="9">
        <v>0.0</v>
      </c>
      <c r="J67" s="17">
        <v>751.0</v>
      </c>
      <c r="K67" s="18">
        <v>358.374</v>
      </c>
      <c r="L67" s="17">
        <v>553.0</v>
      </c>
      <c r="M67" s="18">
        <v>553.0</v>
      </c>
      <c r="N67" s="18">
        <v>0.0</v>
      </c>
      <c r="O67" s="18">
        <v>11.836</v>
      </c>
    </row>
    <row r="68">
      <c r="A68" s="8" t="s">
        <v>254</v>
      </c>
      <c r="B68" s="9">
        <v>25.0</v>
      </c>
      <c r="C68" s="14" t="s">
        <v>234</v>
      </c>
      <c r="D68" s="9">
        <v>50.0</v>
      </c>
      <c r="E68" s="10">
        <v>1.0</v>
      </c>
      <c r="F68" s="9">
        <v>1.0</v>
      </c>
      <c r="G68" s="9">
        <v>0.0</v>
      </c>
      <c r="H68" s="9">
        <v>1.0</v>
      </c>
      <c r="I68" s="9">
        <v>0.0</v>
      </c>
      <c r="J68" s="17">
        <v>3434.0</v>
      </c>
      <c r="K68" s="18">
        <v>2385.0</v>
      </c>
      <c r="L68" s="17">
        <v>2765.0</v>
      </c>
      <c r="M68" s="18">
        <v>2638.4</v>
      </c>
      <c r="N68" s="18">
        <v>4.57861</v>
      </c>
      <c r="O68" s="18">
        <v>3600.0</v>
      </c>
    </row>
    <row r="69">
      <c r="A69" s="8" t="s">
        <v>255</v>
      </c>
      <c r="B69" s="9">
        <v>25.0</v>
      </c>
      <c r="C69" s="14" t="s">
        <v>234</v>
      </c>
      <c r="D69" s="9">
        <v>50.0</v>
      </c>
      <c r="E69" s="10">
        <v>1.0</v>
      </c>
      <c r="F69" s="9">
        <v>2.0</v>
      </c>
      <c r="G69" s="9">
        <v>1.0</v>
      </c>
      <c r="H69" s="9">
        <v>0.0</v>
      </c>
      <c r="I69" s="9">
        <v>0.0</v>
      </c>
      <c r="J69" s="17">
        <v>3763.0</v>
      </c>
      <c r="K69" s="18">
        <v>2718.73</v>
      </c>
      <c r="L69" s="17">
        <v>3074.0</v>
      </c>
      <c r="M69" s="18">
        <v>3074.0</v>
      </c>
      <c r="N69" s="18">
        <v>0.0</v>
      </c>
      <c r="O69" s="18">
        <v>1300.95</v>
      </c>
    </row>
    <row r="70">
      <c r="A70" s="8" t="s">
        <v>256</v>
      </c>
      <c r="B70" s="9">
        <v>25.0</v>
      </c>
      <c r="C70" s="14" t="s">
        <v>234</v>
      </c>
      <c r="D70" s="9">
        <v>50.0</v>
      </c>
      <c r="E70" s="10">
        <v>1.0</v>
      </c>
      <c r="F70" s="9">
        <v>3.0</v>
      </c>
      <c r="G70" s="9">
        <v>1.0</v>
      </c>
      <c r="H70" s="9">
        <v>0.0</v>
      </c>
      <c r="I70" s="9">
        <v>0.0</v>
      </c>
      <c r="J70" s="17">
        <v>2731.0</v>
      </c>
      <c r="K70" s="18">
        <v>2298.64</v>
      </c>
      <c r="L70" s="17">
        <v>2505.0</v>
      </c>
      <c r="M70" s="18">
        <v>2505.0</v>
      </c>
      <c r="N70" s="18">
        <v>0.0</v>
      </c>
      <c r="O70" s="18">
        <v>253.797</v>
      </c>
    </row>
    <row r="71">
      <c r="A71" s="8" t="s">
        <v>257</v>
      </c>
      <c r="B71" s="9">
        <v>25.0</v>
      </c>
      <c r="C71" s="14" t="s">
        <v>234</v>
      </c>
      <c r="D71" s="9">
        <v>50.0</v>
      </c>
      <c r="E71" s="10">
        <v>1.0</v>
      </c>
      <c r="F71" s="9">
        <v>4.0</v>
      </c>
      <c r="G71" s="9">
        <v>1.0</v>
      </c>
      <c r="H71" s="9">
        <v>0.0</v>
      </c>
      <c r="I71" s="9">
        <v>0.0</v>
      </c>
      <c r="J71" s="17">
        <v>3068.0</v>
      </c>
      <c r="K71" s="18">
        <v>2316.8</v>
      </c>
      <c r="L71" s="17">
        <v>2475.0</v>
      </c>
      <c r="M71" s="18">
        <v>2475.0</v>
      </c>
      <c r="N71" s="18">
        <v>0.0</v>
      </c>
      <c r="O71" s="18">
        <v>411.617</v>
      </c>
    </row>
    <row r="72">
      <c r="A72" s="8" t="s">
        <v>258</v>
      </c>
      <c r="B72" s="9">
        <v>25.0</v>
      </c>
      <c r="C72" s="14" t="s">
        <v>234</v>
      </c>
      <c r="D72" s="9">
        <v>50.0</v>
      </c>
      <c r="E72" s="10">
        <v>1.0</v>
      </c>
      <c r="F72" s="9">
        <v>5.0</v>
      </c>
      <c r="G72" s="9">
        <v>1.0</v>
      </c>
      <c r="H72" s="9">
        <v>0.0</v>
      </c>
      <c r="I72" s="9">
        <v>0.0</v>
      </c>
      <c r="J72" s="17">
        <v>2965.0</v>
      </c>
      <c r="K72" s="18">
        <v>2237.98</v>
      </c>
      <c r="L72" s="17">
        <v>2419.0</v>
      </c>
      <c r="M72" s="18">
        <v>2419.0</v>
      </c>
      <c r="N72" s="18">
        <v>0.0</v>
      </c>
      <c r="O72" s="18">
        <v>248.849</v>
      </c>
    </row>
    <row r="73">
      <c r="A73" s="8" t="s">
        <v>259</v>
      </c>
      <c r="B73" s="9">
        <v>25.0</v>
      </c>
      <c r="C73" s="14" t="s">
        <v>234</v>
      </c>
      <c r="D73" s="9">
        <v>50.0</v>
      </c>
      <c r="E73" s="10">
        <v>2.0</v>
      </c>
      <c r="F73" s="9">
        <v>1.0</v>
      </c>
      <c r="G73" s="9">
        <v>1.0</v>
      </c>
      <c r="H73" s="9">
        <v>0.0</v>
      </c>
      <c r="I73" s="9">
        <v>0.0</v>
      </c>
      <c r="J73" s="17">
        <v>36034.0</v>
      </c>
      <c r="K73" s="18">
        <v>32828.2</v>
      </c>
      <c r="L73" s="17">
        <v>35948.0</v>
      </c>
      <c r="M73" s="18">
        <v>35948.0</v>
      </c>
      <c r="N73" s="18">
        <v>0.0</v>
      </c>
      <c r="O73" s="18">
        <v>1050.91</v>
      </c>
    </row>
    <row r="74">
      <c r="A74" s="8" t="s">
        <v>260</v>
      </c>
      <c r="B74" s="9">
        <v>25.0</v>
      </c>
      <c r="C74" s="14" t="s">
        <v>234</v>
      </c>
      <c r="D74" s="9">
        <v>50.0</v>
      </c>
      <c r="E74" s="10">
        <v>2.0</v>
      </c>
      <c r="F74" s="9">
        <v>2.0</v>
      </c>
      <c r="G74" s="9">
        <v>1.0</v>
      </c>
      <c r="H74" s="9">
        <v>0.0</v>
      </c>
      <c r="I74" s="9">
        <v>0.0</v>
      </c>
      <c r="J74" s="17">
        <v>41300.0</v>
      </c>
      <c r="K74" s="18">
        <v>37579.4</v>
      </c>
      <c r="L74" s="17">
        <v>37779.0</v>
      </c>
      <c r="M74" s="18">
        <v>37779.0</v>
      </c>
      <c r="N74" s="18">
        <v>0.0</v>
      </c>
      <c r="O74" s="18">
        <v>1.574</v>
      </c>
    </row>
    <row r="75">
      <c r="A75" s="8" t="s">
        <v>261</v>
      </c>
      <c r="B75" s="9">
        <v>25.0</v>
      </c>
      <c r="C75" s="14" t="s">
        <v>234</v>
      </c>
      <c r="D75" s="9">
        <v>50.0</v>
      </c>
      <c r="E75" s="10">
        <v>2.0</v>
      </c>
      <c r="F75" s="9">
        <v>3.0</v>
      </c>
      <c r="G75" s="9">
        <v>1.0</v>
      </c>
      <c r="H75" s="9">
        <v>0.0</v>
      </c>
      <c r="I75" s="9">
        <v>0.0</v>
      </c>
      <c r="J75" s="17">
        <v>34848.0</v>
      </c>
      <c r="K75" s="18">
        <v>34848.0</v>
      </c>
      <c r="L75" s="17">
        <v>34848.0</v>
      </c>
      <c r="M75" s="18">
        <v>34848.0</v>
      </c>
      <c r="N75" s="18">
        <v>0.0</v>
      </c>
      <c r="O75" s="18">
        <v>0.127</v>
      </c>
    </row>
    <row r="76">
      <c r="A76" s="8" t="s">
        <v>262</v>
      </c>
      <c r="B76" s="9">
        <v>25.0</v>
      </c>
      <c r="C76" s="14" t="s">
        <v>234</v>
      </c>
      <c r="D76" s="9">
        <v>50.0</v>
      </c>
      <c r="E76" s="10">
        <v>2.0</v>
      </c>
      <c r="F76" s="9">
        <v>4.0</v>
      </c>
      <c r="G76" s="9">
        <v>1.0</v>
      </c>
      <c r="H76" s="9">
        <v>0.0</v>
      </c>
      <c r="I76" s="9">
        <v>0.0</v>
      </c>
      <c r="J76" s="17">
        <v>34999.0</v>
      </c>
      <c r="K76" s="18">
        <v>31717.2</v>
      </c>
      <c r="L76" s="17">
        <v>31879.0</v>
      </c>
      <c r="M76" s="18">
        <v>31879.0</v>
      </c>
      <c r="N76" s="18">
        <v>0.0</v>
      </c>
      <c r="O76" s="18">
        <v>1.944</v>
      </c>
    </row>
    <row r="77">
      <c r="A77" s="8" t="s">
        <v>263</v>
      </c>
      <c r="B77" s="9">
        <v>25.0</v>
      </c>
      <c r="C77" s="14" t="s">
        <v>234</v>
      </c>
      <c r="D77" s="9">
        <v>50.0</v>
      </c>
      <c r="E77" s="10">
        <v>2.0</v>
      </c>
      <c r="F77" s="9">
        <v>5.0</v>
      </c>
      <c r="G77" s="9">
        <v>1.0</v>
      </c>
      <c r="H77" s="9">
        <v>0.0</v>
      </c>
      <c r="I77" s="9">
        <v>0.0</v>
      </c>
      <c r="J77" s="17">
        <v>33939.0</v>
      </c>
      <c r="K77" s="18">
        <v>33939.0</v>
      </c>
      <c r="L77" s="17">
        <v>33939.0</v>
      </c>
      <c r="M77" s="18">
        <v>33939.0</v>
      </c>
      <c r="N77" s="18">
        <v>0.0</v>
      </c>
      <c r="O77" s="18">
        <v>0.102</v>
      </c>
    </row>
    <row r="78">
      <c r="A78" s="8" t="s">
        <v>264</v>
      </c>
      <c r="B78" s="9">
        <v>25.0</v>
      </c>
      <c r="C78" s="14" t="s">
        <v>234</v>
      </c>
      <c r="D78" s="9">
        <v>75.0</v>
      </c>
      <c r="E78" s="10">
        <v>0.6</v>
      </c>
      <c r="F78" s="9">
        <v>1.0</v>
      </c>
      <c r="G78" s="9">
        <v>0.0</v>
      </c>
      <c r="H78" s="9">
        <v>1.0</v>
      </c>
      <c r="I78" s="9">
        <v>0.0</v>
      </c>
      <c r="J78" s="17">
        <v>1664.0</v>
      </c>
      <c r="K78" s="18">
        <v>689.796</v>
      </c>
      <c r="L78" s="17">
        <v>1439.0</v>
      </c>
      <c r="M78" s="18">
        <v>1379.96</v>
      </c>
      <c r="N78" s="18">
        <v>4.10285</v>
      </c>
      <c r="O78" s="18">
        <v>3600.0</v>
      </c>
    </row>
    <row r="79">
      <c r="A79" s="8" t="s">
        <v>265</v>
      </c>
      <c r="B79" s="9">
        <v>25.0</v>
      </c>
      <c r="C79" s="14" t="s">
        <v>234</v>
      </c>
      <c r="D79" s="9">
        <v>75.0</v>
      </c>
      <c r="E79" s="10">
        <v>0.6</v>
      </c>
      <c r="F79" s="9">
        <v>2.0</v>
      </c>
      <c r="G79" s="9">
        <v>1.0</v>
      </c>
      <c r="H79" s="9">
        <v>0.0</v>
      </c>
      <c r="I79" s="9">
        <v>0.0</v>
      </c>
      <c r="J79" s="17">
        <v>1400.0</v>
      </c>
      <c r="K79" s="18">
        <v>753.295</v>
      </c>
      <c r="L79" s="17">
        <v>1230.0</v>
      </c>
      <c r="M79" s="18">
        <v>1230.0</v>
      </c>
      <c r="N79" s="18">
        <v>0.0</v>
      </c>
      <c r="O79" s="18">
        <v>96.585</v>
      </c>
    </row>
    <row r="80">
      <c r="A80" s="8" t="s">
        <v>266</v>
      </c>
      <c r="B80" s="9">
        <v>25.0</v>
      </c>
      <c r="C80" s="14" t="s">
        <v>234</v>
      </c>
      <c r="D80" s="9">
        <v>75.0</v>
      </c>
      <c r="E80" s="10">
        <v>0.6</v>
      </c>
      <c r="F80" s="9">
        <v>3.0</v>
      </c>
      <c r="G80" s="9">
        <v>1.0</v>
      </c>
      <c r="H80" s="9">
        <v>0.0</v>
      </c>
      <c r="I80" s="9">
        <v>0.0</v>
      </c>
      <c r="J80" s="17">
        <v>1833.0</v>
      </c>
      <c r="K80" s="18">
        <v>752.943</v>
      </c>
      <c r="L80" s="17">
        <v>1313.0</v>
      </c>
      <c r="M80" s="18">
        <v>1313.0</v>
      </c>
      <c r="N80" s="18">
        <v>0.0</v>
      </c>
      <c r="O80" s="18">
        <v>252.95</v>
      </c>
    </row>
    <row r="81">
      <c r="A81" s="8" t="s">
        <v>267</v>
      </c>
      <c r="B81" s="9">
        <v>25.0</v>
      </c>
      <c r="C81" s="14" t="s">
        <v>234</v>
      </c>
      <c r="D81" s="9">
        <v>75.0</v>
      </c>
      <c r="E81" s="10">
        <v>0.6</v>
      </c>
      <c r="F81" s="9">
        <v>4.0</v>
      </c>
      <c r="G81" s="9">
        <v>1.0</v>
      </c>
      <c r="H81" s="9">
        <v>0.0</v>
      </c>
      <c r="I81" s="9">
        <v>0.0</v>
      </c>
      <c r="J81" s="17">
        <v>1545.0</v>
      </c>
      <c r="K81" s="18">
        <v>705.741</v>
      </c>
      <c r="L81" s="17">
        <v>1271.0</v>
      </c>
      <c r="M81" s="18">
        <v>1271.0</v>
      </c>
      <c r="N81" s="18">
        <v>0.0</v>
      </c>
      <c r="O81" s="18">
        <v>354.871</v>
      </c>
    </row>
    <row r="82">
      <c r="A82" s="8" t="s">
        <v>268</v>
      </c>
      <c r="B82" s="9">
        <v>25.0</v>
      </c>
      <c r="C82" s="14" t="s">
        <v>234</v>
      </c>
      <c r="D82" s="9">
        <v>75.0</v>
      </c>
      <c r="E82" s="10">
        <v>0.6</v>
      </c>
      <c r="F82" s="9">
        <v>5.0</v>
      </c>
      <c r="G82" s="9">
        <v>1.0</v>
      </c>
      <c r="H82" s="9">
        <v>0.0</v>
      </c>
      <c r="I82" s="9">
        <v>0.0</v>
      </c>
      <c r="J82" s="17">
        <v>1436.0</v>
      </c>
      <c r="K82" s="18">
        <v>792.268</v>
      </c>
      <c r="L82" s="17">
        <v>1315.0</v>
      </c>
      <c r="M82" s="18">
        <v>1315.0</v>
      </c>
      <c r="N82" s="18">
        <v>0.0</v>
      </c>
      <c r="O82" s="18">
        <v>73.699</v>
      </c>
    </row>
    <row r="83">
      <c r="A83" s="8" t="s">
        <v>269</v>
      </c>
      <c r="B83" s="9">
        <v>25.0</v>
      </c>
      <c r="C83" s="14" t="s">
        <v>234</v>
      </c>
      <c r="D83" s="9">
        <v>75.0</v>
      </c>
      <c r="E83" s="10">
        <v>1.0</v>
      </c>
      <c r="F83" s="9">
        <v>1.0</v>
      </c>
      <c r="G83" s="9">
        <v>0.0</v>
      </c>
      <c r="H83" s="9">
        <v>1.0</v>
      </c>
      <c r="I83" s="9">
        <v>0.0</v>
      </c>
      <c r="J83" s="17">
        <v>5568.0</v>
      </c>
      <c r="K83" s="18">
        <v>3874.72</v>
      </c>
      <c r="L83" s="17">
        <v>4946.0</v>
      </c>
      <c r="M83" s="18">
        <v>4379.91</v>
      </c>
      <c r="N83" s="18">
        <v>11.4453</v>
      </c>
      <c r="O83" s="18">
        <v>3600.0</v>
      </c>
    </row>
    <row r="84">
      <c r="A84" s="8" t="s">
        <v>270</v>
      </c>
      <c r="B84" s="9">
        <v>25.0</v>
      </c>
      <c r="C84" s="14" t="s">
        <v>234</v>
      </c>
      <c r="D84" s="9">
        <v>75.0</v>
      </c>
      <c r="E84" s="10">
        <v>1.0</v>
      </c>
      <c r="F84" s="9">
        <v>2.0</v>
      </c>
      <c r="G84" s="9">
        <v>0.0</v>
      </c>
      <c r="H84" s="9">
        <v>1.0</v>
      </c>
      <c r="I84" s="9">
        <v>0.0</v>
      </c>
      <c r="J84" s="17">
        <v>5402.0</v>
      </c>
      <c r="K84" s="18">
        <v>3761.74</v>
      </c>
      <c r="L84" s="17">
        <v>4581.0</v>
      </c>
      <c r="M84" s="18">
        <v>4318.07</v>
      </c>
      <c r="N84" s="18">
        <v>5.73958</v>
      </c>
      <c r="O84" s="18">
        <v>3600.0</v>
      </c>
    </row>
    <row r="85">
      <c r="A85" s="8" t="s">
        <v>271</v>
      </c>
      <c r="B85" s="9">
        <v>25.0</v>
      </c>
      <c r="C85" s="14" t="s">
        <v>234</v>
      </c>
      <c r="D85" s="9">
        <v>75.0</v>
      </c>
      <c r="E85" s="10">
        <v>1.0</v>
      </c>
      <c r="F85" s="9">
        <v>3.0</v>
      </c>
      <c r="G85" s="9">
        <v>1.0</v>
      </c>
      <c r="H85" s="9">
        <v>0.0</v>
      </c>
      <c r="I85" s="9">
        <v>0.0</v>
      </c>
      <c r="J85" s="17">
        <v>4993.0</v>
      </c>
      <c r="K85" s="18">
        <v>3748.5</v>
      </c>
      <c r="L85" s="17">
        <v>4506.0</v>
      </c>
      <c r="M85" s="18">
        <v>4506.0</v>
      </c>
      <c r="N85" s="18">
        <v>0.0</v>
      </c>
      <c r="O85" s="18">
        <v>2545.12</v>
      </c>
    </row>
    <row r="86">
      <c r="A86" s="8" t="s">
        <v>272</v>
      </c>
      <c r="B86" s="9">
        <v>25.0</v>
      </c>
      <c r="C86" s="14" t="s">
        <v>234</v>
      </c>
      <c r="D86" s="9">
        <v>75.0</v>
      </c>
      <c r="E86" s="10">
        <v>1.0</v>
      </c>
      <c r="F86" s="9">
        <v>4.0</v>
      </c>
      <c r="G86" s="9">
        <v>0.0</v>
      </c>
      <c r="H86" s="9">
        <v>1.0</v>
      </c>
      <c r="I86" s="9">
        <v>0.0</v>
      </c>
      <c r="J86" s="17">
        <v>5153.0</v>
      </c>
      <c r="K86" s="18">
        <v>3804.99</v>
      </c>
      <c r="L86" s="17">
        <v>4648.0</v>
      </c>
      <c r="M86" s="18">
        <v>4286.19</v>
      </c>
      <c r="N86" s="18">
        <v>7.78414</v>
      </c>
      <c r="O86" s="18">
        <v>3600.0</v>
      </c>
    </row>
    <row r="87">
      <c r="A87" s="8" t="s">
        <v>273</v>
      </c>
      <c r="B87" s="9">
        <v>25.0</v>
      </c>
      <c r="C87" s="14" t="s">
        <v>234</v>
      </c>
      <c r="D87" s="9">
        <v>75.0</v>
      </c>
      <c r="E87" s="10">
        <v>1.0</v>
      </c>
      <c r="F87" s="9">
        <v>5.0</v>
      </c>
      <c r="G87" s="9">
        <v>0.0</v>
      </c>
      <c r="H87" s="9">
        <v>1.0</v>
      </c>
      <c r="I87" s="9">
        <v>0.0</v>
      </c>
      <c r="J87" s="17">
        <v>5739.0</v>
      </c>
      <c r="K87" s="18">
        <v>3821.39</v>
      </c>
      <c r="L87" s="17">
        <v>4681.0</v>
      </c>
      <c r="M87" s="18">
        <v>4462.79</v>
      </c>
      <c r="N87" s="18">
        <v>4.6616</v>
      </c>
      <c r="O87" s="18">
        <v>3600.0</v>
      </c>
    </row>
    <row r="88">
      <c r="A88" s="8" t="s">
        <v>274</v>
      </c>
      <c r="B88" s="9">
        <v>25.0</v>
      </c>
      <c r="C88" s="14" t="s">
        <v>234</v>
      </c>
      <c r="D88" s="9">
        <v>75.0</v>
      </c>
      <c r="E88" s="10">
        <v>2.0</v>
      </c>
      <c r="F88" s="9">
        <v>1.0</v>
      </c>
      <c r="G88" s="9">
        <v>0.0</v>
      </c>
      <c r="H88" s="9">
        <v>1.0</v>
      </c>
      <c r="I88" s="9">
        <v>0.0</v>
      </c>
      <c r="J88" s="17">
        <v>58493.0</v>
      </c>
      <c r="K88" s="18">
        <v>52929.6</v>
      </c>
      <c r="L88" s="17">
        <v>58230.0</v>
      </c>
      <c r="M88" s="18">
        <v>54302.1</v>
      </c>
      <c r="N88" s="18">
        <v>6.74547</v>
      </c>
      <c r="O88" s="18">
        <v>3600.0</v>
      </c>
    </row>
    <row r="89">
      <c r="A89" s="8" t="s">
        <v>275</v>
      </c>
      <c r="B89" s="9">
        <v>25.0</v>
      </c>
      <c r="C89" s="14" t="s">
        <v>234</v>
      </c>
      <c r="D89" s="9">
        <v>75.0</v>
      </c>
      <c r="E89" s="10">
        <v>2.0</v>
      </c>
      <c r="F89" s="9">
        <v>2.0</v>
      </c>
      <c r="G89" s="9">
        <v>1.0</v>
      </c>
      <c r="H89" s="9">
        <v>0.0</v>
      </c>
      <c r="I89" s="9">
        <v>0.0</v>
      </c>
      <c r="J89" s="17">
        <v>56332.0</v>
      </c>
      <c r="K89" s="18">
        <v>51374.1</v>
      </c>
      <c r="L89" s="17">
        <v>55912.0</v>
      </c>
      <c r="M89" s="18">
        <v>55912.0</v>
      </c>
      <c r="N89" s="18">
        <v>0.0</v>
      </c>
      <c r="O89" s="18">
        <v>228.97</v>
      </c>
    </row>
    <row r="90">
      <c r="A90" s="8" t="s">
        <v>276</v>
      </c>
      <c r="B90" s="9">
        <v>25.0</v>
      </c>
      <c r="C90" s="14" t="s">
        <v>234</v>
      </c>
      <c r="D90" s="9">
        <v>75.0</v>
      </c>
      <c r="E90" s="10">
        <v>2.0</v>
      </c>
      <c r="F90" s="9">
        <v>3.0</v>
      </c>
      <c r="G90" s="9">
        <v>1.0</v>
      </c>
      <c r="H90" s="9">
        <v>0.0</v>
      </c>
      <c r="I90" s="9">
        <v>0.0</v>
      </c>
      <c r="J90" s="17">
        <v>56009.0</v>
      </c>
      <c r="K90" s="18">
        <v>50662.1</v>
      </c>
      <c r="L90" s="17">
        <v>50997.0</v>
      </c>
      <c r="M90" s="18">
        <v>50997.0</v>
      </c>
      <c r="N90" s="18">
        <v>0.0</v>
      </c>
      <c r="O90" s="18">
        <v>3.489</v>
      </c>
    </row>
    <row r="91">
      <c r="A91" s="8" t="s">
        <v>277</v>
      </c>
      <c r="B91" s="9">
        <v>25.0</v>
      </c>
      <c r="C91" s="14" t="s">
        <v>234</v>
      </c>
      <c r="D91" s="9">
        <v>75.0</v>
      </c>
      <c r="E91" s="10">
        <v>2.0</v>
      </c>
      <c r="F91" s="9">
        <v>4.0</v>
      </c>
      <c r="G91" s="9">
        <v>1.0</v>
      </c>
      <c r="H91" s="9">
        <v>0.0</v>
      </c>
      <c r="I91" s="9">
        <v>0.0</v>
      </c>
      <c r="J91" s="17">
        <v>56934.0</v>
      </c>
      <c r="K91" s="18">
        <v>56922.1</v>
      </c>
      <c r="L91" s="17">
        <v>56934.0</v>
      </c>
      <c r="M91" s="18">
        <v>56934.0</v>
      </c>
      <c r="N91" s="18">
        <v>0.0</v>
      </c>
      <c r="O91" s="18">
        <v>0.165</v>
      </c>
    </row>
    <row r="92">
      <c r="A92" s="8" t="s">
        <v>278</v>
      </c>
      <c r="B92" s="9">
        <v>25.0</v>
      </c>
      <c r="C92" s="14" t="s">
        <v>234</v>
      </c>
      <c r="D92" s="9">
        <v>75.0</v>
      </c>
      <c r="E92" s="10">
        <v>2.0</v>
      </c>
      <c r="F92" s="9">
        <v>5.0</v>
      </c>
      <c r="G92" s="9">
        <v>1.0</v>
      </c>
      <c r="H92" s="9">
        <v>0.0</v>
      </c>
      <c r="I92" s="9">
        <v>0.0</v>
      </c>
      <c r="J92" s="17">
        <v>51615.0</v>
      </c>
      <c r="K92" s="18">
        <v>51318.0</v>
      </c>
      <c r="L92" s="17">
        <v>51591.0</v>
      </c>
      <c r="M92" s="18">
        <v>51591.0</v>
      </c>
      <c r="N92" s="18">
        <v>0.0</v>
      </c>
      <c r="O92" s="18">
        <v>0.749</v>
      </c>
    </row>
    <row r="93">
      <c r="A93" s="8" t="s">
        <v>459</v>
      </c>
      <c r="B93" s="9">
        <v>25.0</v>
      </c>
      <c r="C93" s="9" t="s">
        <v>460</v>
      </c>
      <c r="D93" s="9">
        <v>25.0</v>
      </c>
      <c r="E93" s="10">
        <v>0.6</v>
      </c>
      <c r="F93" s="9">
        <v>1.0</v>
      </c>
      <c r="G93" s="9">
        <v>1.0</v>
      </c>
      <c r="H93" s="9">
        <v>0.0</v>
      </c>
      <c r="I93" s="9">
        <v>0.0</v>
      </c>
      <c r="J93" s="17">
        <v>-1264.0</v>
      </c>
      <c r="K93" s="18">
        <v>-3243.06</v>
      </c>
      <c r="L93" s="17">
        <v>-2193.0</v>
      </c>
      <c r="M93" s="18">
        <v>-2193.0</v>
      </c>
      <c r="N93" s="18">
        <v>0.0</v>
      </c>
      <c r="O93" s="18">
        <v>231.923</v>
      </c>
    </row>
    <row r="94">
      <c r="A94" s="8" t="s">
        <v>461</v>
      </c>
      <c r="B94" s="9">
        <v>25.0</v>
      </c>
      <c r="C94" s="9" t="s">
        <v>460</v>
      </c>
      <c r="D94" s="9">
        <v>25.0</v>
      </c>
      <c r="E94" s="10">
        <v>0.6</v>
      </c>
      <c r="F94" s="9">
        <v>2.0</v>
      </c>
      <c r="G94" s="9">
        <v>1.0</v>
      </c>
      <c r="H94" s="9">
        <v>0.0</v>
      </c>
      <c r="I94" s="9">
        <v>0.0</v>
      </c>
      <c r="J94" s="17">
        <v>-1656.0</v>
      </c>
      <c r="K94" s="18">
        <v>-2656.43</v>
      </c>
      <c r="L94" s="17">
        <v>-2087.0</v>
      </c>
      <c r="M94" s="18">
        <v>-2087.0</v>
      </c>
      <c r="N94" s="18">
        <v>0.0</v>
      </c>
      <c r="O94" s="18">
        <v>31.449</v>
      </c>
    </row>
    <row r="95">
      <c r="A95" s="8" t="s">
        <v>462</v>
      </c>
      <c r="B95" s="9">
        <v>25.0</v>
      </c>
      <c r="C95" s="9" t="s">
        <v>460</v>
      </c>
      <c r="D95" s="9">
        <v>25.0</v>
      </c>
      <c r="E95" s="10">
        <v>0.6</v>
      </c>
      <c r="F95" s="9">
        <v>3.0</v>
      </c>
      <c r="G95" s="9">
        <v>1.0</v>
      </c>
      <c r="H95" s="9">
        <v>0.0</v>
      </c>
      <c r="I95" s="9">
        <v>0.0</v>
      </c>
      <c r="J95" s="17">
        <v>-1114.0</v>
      </c>
      <c r="K95" s="18">
        <v>-2813.97</v>
      </c>
      <c r="L95" s="17">
        <v>-2022.0</v>
      </c>
      <c r="M95" s="18">
        <v>-2022.0</v>
      </c>
      <c r="N95" s="18">
        <v>0.0</v>
      </c>
      <c r="O95" s="18">
        <v>127.632</v>
      </c>
    </row>
    <row r="96">
      <c r="A96" s="8" t="s">
        <v>463</v>
      </c>
      <c r="B96" s="9">
        <v>25.0</v>
      </c>
      <c r="C96" s="9" t="s">
        <v>460</v>
      </c>
      <c r="D96" s="9">
        <v>25.0</v>
      </c>
      <c r="E96" s="10">
        <v>0.6</v>
      </c>
      <c r="F96" s="9">
        <v>4.0</v>
      </c>
      <c r="G96" s="9">
        <v>1.0</v>
      </c>
      <c r="H96" s="9">
        <v>0.0</v>
      </c>
      <c r="I96" s="9">
        <v>0.0</v>
      </c>
      <c r="J96" s="17">
        <v>199.0</v>
      </c>
      <c r="K96" s="18">
        <v>-2861.22</v>
      </c>
      <c r="L96" s="17">
        <v>-2079.0</v>
      </c>
      <c r="M96" s="18">
        <v>-2079.0</v>
      </c>
      <c r="N96" s="18">
        <v>0.0</v>
      </c>
      <c r="O96" s="18">
        <v>132.542</v>
      </c>
    </row>
    <row r="97">
      <c r="A97" s="8" t="s">
        <v>464</v>
      </c>
      <c r="B97" s="9">
        <v>25.0</v>
      </c>
      <c r="C97" s="9" t="s">
        <v>460</v>
      </c>
      <c r="D97" s="9">
        <v>25.0</v>
      </c>
      <c r="E97" s="10">
        <v>0.6</v>
      </c>
      <c r="F97" s="9">
        <v>5.0</v>
      </c>
      <c r="G97" s="9">
        <v>1.0</v>
      </c>
      <c r="H97" s="9">
        <v>0.0</v>
      </c>
      <c r="I97" s="9">
        <v>0.0</v>
      </c>
      <c r="J97" s="17">
        <v>-1517.0</v>
      </c>
      <c r="K97" s="18">
        <v>-3525.34</v>
      </c>
      <c r="L97" s="17">
        <v>-2427.0</v>
      </c>
      <c r="M97" s="18">
        <v>-2427.0</v>
      </c>
      <c r="N97" s="18">
        <v>0.0</v>
      </c>
      <c r="O97" s="18">
        <v>144.265</v>
      </c>
    </row>
    <row r="98">
      <c r="A98" s="8" t="s">
        <v>465</v>
      </c>
      <c r="B98" s="9">
        <v>25.0</v>
      </c>
      <c r="C98" s="9" t="s">
        <v>460</v>
      </c>
      <c r="D98" s="9">
        <v>25.0</v>
      </c>
      <c r="E98" s="10">
        <v>1.0</v>
      </c>
      <c r="F98" s="9">
        <v>1.0</v>
      </c>
      <c r="G98" s="9">
        <v>0.0</v>
      </c>
      <c r="H98" s="9">
        <v>1.0</v>
      </c>
      <c r="I98" s="9">
        <v>0.0</v>
      </c>
      <c r="J98" s="17">
        <v>2576.0</v>
      </c>
      <c r="K98" s="18">
        <v>-1764.68</v>
      </c>
      <c r="L98" s="17">
        <v>-237.0</v>
      </c>
      <c r="M98" s="18">
        <v>-605.386</v>
      </c>
      <c r="N98" s="18">
        <v>155.437</v>
      </c>
      <c r="O98" s="18">
        <v>3600.0</v>
      </c>
    </row>
    <row r="99">
      <c r="A99" s="8" t="s">
        <v>466</v>
      </c>
      <c r="B99" s="9">
        <v>25.0</v>
      </c>
      <c r="C99" s="9" t="s">
        <v>460</v>
      </c>
      <c r="D99" s="9">
        <v>25.0</v>
      </c>
      <c r="E99" s="10">
        <v>1.0</v>
      </c>
      <c r="F99" s="9">
        <v>2.0</v>
      </c>
      <c r="G99" s="9">
        <v>1.0</v>
      </c>
      <c r="H99" s="9">
        <v>0.0</v>
      </c>
      <c r="I99" s="9">
        <v>0.0</v>
      </c>
      <c r="J99" s="17">
        <v>384.0</v>
      </c>
      <c r="K99" s="18">
        <v>-1382.05</v>
      </c>
      <c r="L99" s="17">
        <v>-532.0</v>
      </c>
      <c r="M99" s="18">
        <v>-532.0</v>
      </c>
      <c r="N99" s="18">
        <v>0.0</v>
      </c>
      <c r="O99" s="18">
        <v>1529.87</v>
      </c>
    </row>
    <row r="100">
      <c r="A100" s="8" t="s">
        <v>467</v>
      </c>
      <c r="B100" s="9">
        <v>25.0</v>
      </c>
      <c r="C100" s="9" t="s">
        <v>460</v>
      </c>
      <c r="D100" s="9">
        <v>25.0</v>
      </c>
      <c r="E100" s="10">
        <v>1.0</v>
      </c>
      <c r="F100" s="9">
        <v>3.0</v>
      </c>
      <c r="G100" s="9">
        <v>1.0</v>
      </c>
      <c r="H100" s="9">
        <v>0.0</v>
      </c>
      <c r="I100" s="9">
        <v>0.0</v>
      </c>
      <c r="J100" s="17">
        <v>281.0</v>
      </c>
      <c r="K100" s="18">
        <v>-1485.75</v>
      </c>
      <c r="L100" s="17">
        <v>-516.0</v>
      </c>
      <c r="M100" s="18">
        <v>-516.0</v>
      </c>
      <c r="N100" s="18">
        <v>0.0</v>
      </c>
      <c r="O100" s="18">
        <v>2295.73</v>
      </c>
    </row>
    <row r="101">
      <c r="A101" s="8" t="s">
        <v>468</v>
      </c>
      <c r="B101" s="9">
        <v>25.0</v>
      </c>
      <c r="C101" s="9" t="s">
        <v>460</v>
      </c>
      <c r="D101" s="9">
        <v>25.0</v>
      </c>
      <c r="E101" s="10">
        <v>1.0</v>
      </c>
      <c r="F101" s="9">
        <v>4.0</v>
      </c>
      <c r="G101" s="9">
        <v>0.0</v>
      </c>
      <c r="H101" s="9">
        <v>1.0</v>
      </c>
      <c r="I101" s="9">
        <v>0.0</v>
      </c>
      <c r="J101" s="17">
        <v>3659.0</v>
      </c>
      <c r="K101" s="18">
        <v>-1438.21</v>
      </c>
      <c r="L101" s="17">
        <v>-375.0</v>
      </c>
      <c r="M101" s="18">
        <v>-517.969</v>
      </c>
      <c r="N101" s="18">
        <v>38.125</v>
      </c>
      <c r="O101" s="18">
        <v>3600.0</v>
      </c>
    </row>
    <row r="102">
      <c r="A102" s="8" t="s">
        <v>469</v>
      </c>
      <c r="B102" s="9">
        <v>25.0</v>
      </c>
      <c r="C102" s="9" t="s">
        <v>460</v>
      </c>
      <c r="D102" s="9">
        <v>25.0</v>
      </c>
      <c r="E102" s="10">
        <v>1.0</v>
      </c>
      <c r="F102" s="9">
        <v>5.0</v>
      </c>
      <c r="G102" s="9">
        <v>0.0</v>
      </c>
      <c r="H102" s="9">
        <v>1.0</v>
      </c>
      <c r="I102" s="9">
        <v>0.0</v>
      </c>
      <c r="J102" s="17">
        <v>290.0</v>
      </c>
      <c r="K102" s="18">
        <v>-1694.42</v>
      </c>
      <c r="L102" s="17">
        <v>-350.0</v>
      </c>
      <c r="M102" s="18">
        <v>-453.729</v>
      </c>
      <c r="N102" s="18">
        <v>29.637</v>
      </c>
      <c r="O102" s="18">
        <v>3600.0</v>
      </c>
    </row>
    <row r="103">
      <c r="A103" s="8" t="s">
        <v>470</v>
      </c>
      <c r="B103" s="9">
        <v>25.0</v>
      </c>
      <c r="C103" s="9" t="s">
        <v>460</v>
      </c>
      <c r="D103" s="9">
        <v>25.0</v>
      </c>
      <c r="E103" s="10">
        <v>2.0</v>
      </c>
      <c r="F103" s="9">
        <v>1.0</v>
      </c>
      <c r="G103" s="9">
        <v>1.0</v>
      </c>
      <c r="H103" s="9">
        <v>0.0</v>
      </c>
      <c r="I103" s="9">
        <v>0.0</v>
      </c>
      <c r="J103" s="17">
        <v>18880.0</v>
      </c>
      <c r="K103" s="18">
        <v>17855.3</v>
      </c>
      <c r="L103" s="17">
        <v>18775.0</v>
      </c>
      <c r="M103" s="18">
        <v>18775.0</v>
      </c>
      <c r="N103" s="18">
        <v>0.0</v>
      </c>
      <c r="O103" s="18">
        <v>1.36</v>
      </c>
    </row>
    <row r="104">
      <c r="A104" s="8" t="s">
        <v>471</v>
      </c>
      <c r="B104" s="9">
        <v>25.0</v>
      </c>
      <c r="C104" s="9" t="s">
        <v>460</v>
      </c>
      <c r="D104" s="9">
        <v>25.0</v>
      </c>
      <c r="E104" s="10">
        <v>2.0</v>
      </c>
      <c r="F104" s="9">
        <v>2.0</v>
      </c>
      <c r="G104" s="9">
        <v>1.0</v>
      </c>
      <c r="H104" s="9">
        <v>0.0</v>
      </c>
      <c r="I104" s="9">
        <v>0.0</v>
      </c>
      <c r="J104" s="17">
        <v>17266.0</v>
      </c>
      <c r="K104" s="18">
        <v>16919.3</v>
      </c>
      <c r="L104" s="17">
        <v>17134.0</v>
      </c>
      <c r="M104" s="18">
        <v>17134.0</v>
      </c>
      <c r="N104" s="18">
        <v>0.0</v>
      </c>
      <c r="O104" s="18">
        <v>0.966</v>
      </c>
    </row>
    <row r="105">
      <c r="A105" s="8" t="s">
        <v>472</v>
      </c>
      <c r="B105" s="9">
        <v>25.0</v>
      </c>
      <c r="C105" s="9" t="s">
        <v>460</v>
      </c>
      <c r="D105" s="9">
        <v>25.0</v>
      </c>
      <c r="E105" s="10">
        <v>2.0</v>
      </c>
      <c r="F105" s="9">
        <v>3.0</v>
      </c>
      <c r="G105" s="9">
        <v>1.0</v>
      </c>
      <c r="H105" s="9">
        <v>0.0</v>
      </c>
      <c r="I105" s="9">
        <v>0.0</v>
      </c>
      <c r="J105" s="17">
        <v>16465.0</v>
      </c>
      <c r="K105" s="18">
        <v>14519.1</v>
      </c>
      <c r="L105" s="17">
        <v>15104.0</v>
      </c>
      <c r="M105" s="18">
        <v>15104.0</v>
      </c>
      <c r="N105" s="18">
        <v>0.0</v>
      </c>
      <c r="O105" s="18">
        <v>15.549</v>
      </c>
    </row>
    <row r="106">
      <c r="A106" s="8" t="s">
        <v>473</v>
      </c>
      <c r="B106" s="9">
        <v>25.0</v>
      </c>
      <c r="C106" s="9" t="s">
        <v>460</v>
      </c>
      <c r="D106" s="9">
        <v>25.0</v>
      </c>
      <c r="E106" s="10">
        <v>2.0</v>
      </c>
      <c r="F106" s="9">
        <v>4.0</v>
      </c>
      <c r="G106" s="9">
        <v>1.0</v>
      </c>
      <c r="H106" s="9">
        <v>0.0</v>
      </c>
      <c r="I106" s="9">
        <v>0.0</v>
      </c>
      <c r="J106" s="17">
        <v>17840.0</v>
      </c>
      <c r="K106" s="18">
        <v>15852.1</v>
      </c>
      <c r="L106" s="17">
        <v>16247.0</v>
      </c>
      <c r="M106" s="18">
        <v>16247.0</v>
      </c>
      <c r="N106" s="18">
        <v>0.0</v>
      </c>
      <c r="O106" s="18">
        <v>21.428</v>
      </c>
    </row>
    <row r="107">
      <c r="A107" s="8" t="s">
        <v>474</v>
      </c>
      <c r="B107" s="9">
        <v>25.0</v>
      </c>
      <c r="C107" s="9" t="s">
        <v>460</v>
      </c>
      <c r="D107" s="9">
        <v>25.0</v>
      </c>
      <c r="E107" s="10">
        <v>2.0</v>
      </c>
      <c r="F107" s="9">
        <v>5.0</v>
      </c>
      <c r="G107" s="9">
        <v>1.0</v>
      </c>
      <c r="H107" s="9">
        <v>0.0</v>
      </c>
      <c r="I107" s="9">
        <v>0.0</v>
      </c>
      <c r="J107" s="17">
        <v>20947.0</v>
      </c>
      <c r="K107" s="18">
        <v>18524.8</v>
      </c>
      <c r="L107" s="17">
        <v>19127.0</v>
      </c>
      <c r="M107" s="18">
        <v>19127.0</v>
      </c>
      <c r="N107" s="18">
        <v>0.0</v>
      </c>
      <c r="O107" s="18">
        <v>10.743</v>
      </c>
    </row>
    <row r="108">
      <c r="A108" s="8" t="s">
        <v>475</v>
      </c>
      <c r="B108" s="9">
        <v>25.0</v>
      </c>
      <c r="C108" s="9" t="s">
        <v>460</v>
      </c>
      <c r="D108" s="9">
        <v>50.0</v>
      </c>
      <c r="E108" s="10">
        <v>0.6</v>
      </c>
      <c r="F108" s="9">
        <v>1.0</v>
      </c>
      <c r="G108" s="9">
        <v>1.0</v>
      </c>
      <c r="H108" s="9">
        <v>0.0</v>
      </c>
      <c r="I108" s="9">
        <v>0.0</v>
      </c>
      <c r="J108" s="17">
        <v>-3.0</v>
      </c>
      <c r="K108" s="18">
        <v>-6560.07</v>
      </c>
      <c r="L108" s="17">
        <v>-3641.0</v>
      </c>
      <c r="M108" s="18">
        <v>-3641.0</v>
      </c>
      <c r="N108" s="18">
        <v>0.0</v>
      </c>
      <c r="O108" s="18">
        <v>3068.67</v>
      </c>
    </row>
    <row r="109">
      <c r="A109" s="8" t="s">
        <v>476</v>
      </c>
      <c r="B109" s="9">
        <v>25.0</v>
      </c>
      <c r="C109" s="9" t="s">
        <v>460</v>
      </c>
      <c r="D109" s="9">
        <v>50.0</v>
      </c>
      <c r="E109" s="10">
        <v>0.6</v>
      </c>
      <c r="F109" s="9">
        <v>2.0</v>
      </c>
      <c r="G109" s="9">
        <v>1.0</v>
      </c>
      <c r="H109" s="9">
        <v>0.0</v>
      </c>
      <c r="I109" s="9">
        <v>0.0</v>
      </c>
      <c r="J109" s="17">
        <v>-2431.0</v>
      </c>
      <c r="K109" s="18">
        <v>-6191.12</v>
      </c>
      <c r="L109" s="17">
        <v>-3462.0</v>
      </c>
      <c r="M109" s="18">
        <v>-3462.0</v>
      </c>
      <c r="N109" s="18">
        <v>0.0</v>
      </c>
      <c r="O109" s="18">
        <v>1520.53</v>
      </c>
    </row>
    <row r="110">
      <c r="A110" s="8" t="s">
        <v>477</v>
      </c>
      <c r="B110" s="9">
        <v>25.0</v>
      </c>
      <c r="C110" s="9" t="s">
        <v>460</v>
      </c>
      <c r="D110" s="9">
        <v>50.0</v>
      </c>
      <c r="E110" s="10">
        <v>0.6</v>
      </c>
      <c r="F110" s="9">
        <v>3.0</v>
      </c>
      <c r="G110" s="9">
        <v>1.0</v>
      </c>
      <c r="H110" s="9">
        <v>0.0</v>
      </c>
      <c r="I110" s="9">
        <v>0.0</v>
      </c>
      <c r="J110" s="17">
        <v>867.0</v>
      </c>
      <c r="K110" s="18">
        <v>-6011.38</v>
      </c>
      <c r="L110" s="17">
        <v>-3379.0</v>
      </c>
      <c r="M110" s="18">
        <v>-3379.0</v>
      </c>
      <c r="N110" s="18">
        <v>0.0</v>
      </c>
      <c r="O110" s="18">
        <v>1399.8</v>
      </c>
    </row>
    <row r="111">
      <c r="A111" s="8" t="s">
        <v>478</v>
      </c>
      <c r="B111" s="9">
        <v>25.0</v>
      </c>
      <c r="C111" s="9" t="s">
        <v>460</v>
      </c>
      <c r="D111" s="9">
        <v>50.0</v>
      </c>
      <c r="E111" s="10">
        <v>0.6</v>
      </c>
      <c r="F111" s="9">
        <v>4.0</v>
      </c>
      <c r="G111" s="9">
        <v>0.0</v>
      </c>
      <c r="H111" s="9">
        <v>1.0</v>
      </c>
      <c r="I111" s="9">
        <v>0.0</v>
      </c>
      <c r="J111" s="17">
        <v>-2036.0</v>
      </c>
      <c r="K111" s="18">
        <v>-6527.68</v>
      </c>
      <c r="L111" s="17">
        <v>-3428.0</v>
      </c>
      <c r="M111" s="18">
        <v>-3908.61</v>
      </c>
      <c r="N111" s="18">
        <v>14.02</v>
      </c>
      <c r="O111" s="18">
        <v>3600.0</v>
      </c>
    </row>
    <row r="112">
      <c r="A112" s="8" t="s">
        <v>479</v>
      </c>
      <c r="B112" s="9">
        <v>25.0</v>
      </c>
      <c r="C112" s="9" t="s">
        <v>460</v>
      </c>
      <c r="D112" s="9">
        <v>50.0</v>
      </c>
      <c r="E112" s="10">
        <v>0.6</v>
      </c>
      <c r="F112" s="9">
        <v>5.0</v>
      </c>
      <c r="G112" s="9">
        <v>0.0</v>
      </c>
      <c r="H112" s="9">
        <v>1.0</v>
      </c>
      <c r="I112" s="9">
        <v>0.0</v>
      </c>
      <c r="J112" s="17">
        <v>-2388.0</v>
      </c>
      <c r="K112" s="18">
        <v>-6862.28</v>
      </c>
      <c r="L112" s="17">
        <v>-3527.0</v>
      </c>
      <c r="M112" s="18">
        <v>-4106.14</v>
      </c>
      <c r="N112" s="18">
        <v>16.4201</v>
      </c>
      <c r="O112" s="18">
        <v>3600.0</v>
      </c>
    </row>
    <row r="113">
      <c r="A113" s="8" t="s">
        <v>480</v>
      </c>
      <c r="B113" s="9">
        <v>25.0</v>
      </c>
      <c r="C113" s="9" t="s">
        <v>460</v>
      </c>
      <c r="D113" s="9">
        <v>50.0</v>
      </c>
      <c r="E113" s="10">
        <v>1.0</v>
      </c>
      <c r="F113" s="9">
        <v>1.0</v>
      </c>
      <c r="G113" s="9">
        <v>0.0</v>
      </c>
      <c r="H113" s="9">
        <v>1.0</v>
      </c>
      <c r="I113" s="9">
        <v>0.0</v>
      </c>
      <c r="J113" s="17">
        <v>6185.0</v>
      </c>
      <c r="K113" s="18">
        <v>-3147.49</v>
      </c>
      <c r="L113" s="17">
        <v>161.0</v>
      </c>
      <c r="M113" s="18">
        <v>-1202.1</v>
      </c>
      <c r="N113" s="18">
        <v>846.646</v>
      </c>
      <c r="O113" s="18">
        <v>3600.0</v>
      </c>
    </row>
    <row r="114">
      <c r="A114" s="8" t="s">
        <v>481</v>
      </c>
      <c r="B114" s="9">
        <v>25.0</v>
      </c>
      <c r="C114" s="9" t="s">
        <v>460</v>
      </c>
      <c r="D114" s="9">
        <v>50.0</v>
      </c>
      <c r="E114" s="10">
        <v>1.0</v>
      </c>
      <c r="F114" s="9">
        <v>2.0</v>
      </c>
      <c r="G114" s="9">
        <v>0.0</v>
      </c>
      <c r="H114" s="9">
        <v>1.0</v>
      </c>
      <c r="I114" s="9">
        <v>0.0</v>
      </c>
      <c r="J114" s="17">
        <v>5849.0</v>
      </c>
      <c r="K114" s="18">
        <v>-2908.84</v>
      </c>
      <c r="L114" s="17">
        <v>261.0</v>
      </c>
      <c r="M114" s="18">
        <v>-762.645</v>
      </c>
      <c r="N114" s="18">
        <v>392.201</v>
      </c>
      <c r="O114" s="18">
        <v>3600.0</v>
      </c>
    </row>
    <row r="115">
      <c r="A115" s="8" t="s">
        <v>482</v>
      </c>
      <c r="B115" s="9">
        <v>25.0</v>
      </c>
      <c r="C115" s="9" t="s">
        <v>460</v>
      </c>
      <c r="D115" s="9">
        <v>50.0</v>
      </c>
      <c r="E115" s="10">
        <v>1.0</v>
      </c>
      <c r="F115" s="9">
        <v>3.0</v>
      </c>
      <c r="G115" s="9">
        <v>0.0</v>
      </c>
      <c r="H115" s="9">
        <v>1.0</v>
      </c>
      <c r="I115" s="9">
        <v>0.0</v>
      </c>
      <c r="J115" s="17">
        <v>5026.0</v>
      </c>
      <c r="K115" s="18">
        <v>-3036.41</v>
      </c>
      <c r="L115" s="17">
        <v>375.0</v>
      </c>
      <c r="M115" s="18">
        <v>-1130.84</v>
      </c>
      <c r="N115" s="18">
        <v>401.557</v>
      </c>
      <c r="O115" s="18">
        <v>3600.0</v>
      </c>
    </row>
    <row r="116">
      <c r="A116" s="8" t="s">
        <v>483</v>
      </c>
      <c r="B116" s="9">
        <v>25.0</v>
      </c>
      <c r="C116" s="9" t="s">
        <v>460</v>
      </c>
      <c r="D116" s="9">
        <v>50.0</v>
      </c>
      <c r="E116" s="10">
        <v>1.0</v>
      </c>
      <c r="F116" s="9">
        <v>4.0</v>
      </c>
      <c r="G116" s="9">
        <v>0.0</v>
      </c>
      <c r="H116" s="9">
        <v>1.0</v>
      </c>
      <c r="I116" s="9">
        <v>0.0</v>
      </c>
      <c r="J116" s="17">
        <v>6440.0</v>
      </c>
      <c r="K116" s="18">
        <v>-3323.26</v>
      </c>
      <c r="L116" s="17">
        <v>489.0</v>
      </c>
      <c r="M116" s="18">
        <v>-1489.27</v>
      </c>
      <c r="N116" s="18">
        <v>404.555</v>
      </c>
      <c r="O116" s="18">
        <v>3600.0</v>
      </c>
    </row>
    <row r="117">
      <c r="A117" s="8" t="s">
        <v>484</v>
      </c>
      <c r="B117" s="9">
        <v>25.0</v>
      </c>
      <c r="C117" s="9" t="s">
        <v>460</v>
      </c>
      <c r="D117" s="9">
        <v>50.0</v>
      </c>
      <c r="E117" s="10">
        <v>1.0</v>
      </c>
      <c r="F117" s="9">
        <v>5.0</v>
      </c>
      <c r="G117" s="9">
        <v>0.0</v>
      </c>
      <c r="H117" s="9">
        <v>1.0</v>
      </c>
      <c r="I117" s="9">
        <v>0.0</v>
      </c>
      <c r="J117" s="17">
        <v>6228.0</v>
      </c>
      <c r="K117" s="18">
        <v>-3693.77</v>
      </c>
      <c r="L117" s="17">
        <v>53.0</v>
      </c>
      <c r="M117" s="18">
        <v>-1536.2</v>
      </c>
      <c r="N117" s="18">
        <v>2998.5</v>
      </c>
      <c r="O117" s="18">
        <v>3600.0</v>
      </c>
    </row>
    <row r="118">
      <c r="A118" s="8" t="s">
        <v>485</v>
      </c>
      <c r="B118" s="9">
        <v>25.0</v>
      </c>
      <c r="C118" s="9" t="s">
        <v>460</v>
      </c>
      <c r="D118" s="9">
        <v>50.0</v>
      </c>
      <c r="E118" s="10">
        <v>2.0</v>
      </c>
      <c r="F118" s="9">
        <v>1.0</v>
      </c>
      <c r="G118" s="9">
        <v>1.0</v>
      </c>
      <c r="H118" s="9">
        <v>0.0</v>
      </c>
      <c r="I118" s="9">
        <v>0.0</v>
      </c>
      <c r="J118" s="17">
        <v>40340.0</v>
      </c>
      <c r="K118" s="18">
        <v>34921.8</v>
      </c>
      <c r="L118" s="17">
        <v>36116.0</v>
      </c>
      <c r="M118" s="18">
        <v>36116.0</v>
      </c>
      <c r="N118" s="18">
        <v>0.0</v>
      </c>
      <c r="O118" s="18">
        <v>66.677</v>
      </c>
    </row>
    <row r="119">
      <c r="A119" s="8" t="s">
        <v>486</v>
      </c>
      <c r="B119" s="9">
        <v>25.0</v>
      </c>
      <c r="C119" s="9" t="s">
        <v>460</v>
      </c>
      <c r="D119" s="9">
        <v>50.0</v>
      </c>
      <c r="E119" s="10">
        <v>2.0</v>
      </c>
      <c r="F119" s="9">
        <v>2.0</v>
      </c>
      <c r="G119" s="9">
        <v>1.0</v>
      </c>
      <c r="H119" s="9">
        <v>0.0</v>
      </c>
      <c r="I119" s="9">
        <v>0.0</v>
      </c>
      <c r="J119" s="17">
        <v>38239.0</v>
      </c>
      <c r="K119" s="18">
        <v>37210.6</v>
      </c>
      <c r="L119" s="17">
        <v>37996.0</v>
      </c>
      <c r="M119" s="18">
        <v>37996.0</v>
      </c>
      <c r="N119" s="18">
        <v>0.0</v>
      </c>
      <c r="O119" s="18">
        <v>29.281</v>
      </c>
    </row>
    <row r="120">
      <c r="A120" s="8" t="s">
        <v>487</v>
      </c>
      <c r="B120" s="9">
        <v>25.0</v>
      </c>
      <c r="C120" s="9" t="s">
        <v>460</v>
      </c>
      <c r="D120" s="9">
        <v>50.0</v>
      </c>
      <c r="E120" s="10">
        <v>2.0</v>
      </c>
      <c r="F120" s="9">
        <v>3.0</v>
      </c>
      <c r="G120" s="9">
        <v>0.0</v>
      </c>
      <c r="H120" s="9">
        <v>1.0</v>
      </c>
      <c r="I120" s="9">
        <v>0.0</v>
      </c>
      <c r="J120" s="17">
        <v>35847.0</v>
      </c>
      <c r="K120" s="18">
        <v>31886.7</v>
      </c>
      <c r="L120" s="17">
        <v>35467.0</v>
      </c>
      <c r="M120" s="18">
        <v>33465.2</v>
      </c>
      <c r="N120" s="18">
        <v>5.64405</v>
      </c>
      <c r="O120" s="18">
        <v>3600.0</v>
      </c>
    </row>
    <row r="121">
      <c r="A121" s="8" t="s">
        <v>488</v>
      </c>
      <c r="B121" s="9">
        <v>25.0</v>
      </c>
      <c r="C121" s="9" t="s">
        <v>460</v>
      </c>
      <c r="D121" s="9">
        <v>50.0</v>
      </c>
      <c r="E121" s="10">
        <v>2.0</v>
      </c>
      <c r="F121" s="9">
        <v>4.0</v>
      </c>
      <c r="G121" s="9">
        <v>1.0</v>
      </c>
      <c r="H121" s="9">
        <v>0.0</v>
      </c>
      <c r="I121" s="9">
        <v>0.0</v>
      </c>
      <c r="J121" s="17">
        <v>39366.0</v>
      </c>
      <c r="K121" s="18">
        <v>34937.9</v>
      </c>
      <c r="L121" s="17">
        <v>38535.0</v>
      </c>
      <c r="M121" s="18">
        <v>38535.0</v>
      </c>
      <c r="N121" s="18">
        <v>0.0</v>
      </c>
      <c r="O121" s="18">
        <v>2147.46</v>
      </c>
    </row>
    <row r="122">
      <c r="A122" s="8" t="s">
        <v>489</v>
      </c>
      <c r="B122" s="9">
        <v>25.0</v>
      </c>
      <c r="C122" s="9" t="s">
        <v>460</v>
      </c>
      <c r="D122" s="9">
        <v>50.0</v>
      </c>
      <c r="E122" s="10">
        <v>2.0</v>
      </c>
      <c r="F122" s="9">
        <v>5.0</v>
      </c>
      <c r="G122" s="9">
        <v>1.0</v>
      </c>
      <c r="H122" s="9">
        <v>0.0</v>
      </c>
      <c r="I122" s="9">
        <v>0.0</v>
      </c>
      <c r="J122" s="17">
        <v>39461.0</v>
      </c>
      <c r="K122" s="18">
        <v>34295.0</v>
      </c>
      <c r="L122" s="17">
        <v>35714.0</v>
      </c>
      <c r="M122" s="18">
        <v>35714.0</v>
      </c>
      <c r="N122" s="18">
        <v>0.0</v>
      </c>
      <c r="O122" s="18">
        <v>19.703</v>
      </c>
    </row>
    <row r="123">
      <c r="A123" s="8" t="s">
        <v>490</v>
      </c>
      <c r="B123" s="9">
        <v>25.0</v>
      </c>
      <c r="C123" s="9" t="s">
        <v>460</v>
      </c>
      <c r="D123" s="9">
        <v>75.0</v>
      </c>
      <c r="E123" s="10">
        <v>0.6</v>
      </c>
      <c r="F123" s="9">
        <v>1.0</v>
      </c>
      <c r="G123" s="9">
        <v>0.0</v>
      </c>
      <c r="H123" s="9">
        <v>1.0</v>
      </c>
      <c r="I123" s="9">
        <v>0.0</v>
      </c>
      <c r="J123" s="17">
        <v>-2626.0</v>
      </c>
      <c r="K123" s="18">
        <v>-9231.55</v>
      </c>
      <c r="L123" s="17">
        <v>-4215.0</v>
      </c>
      <c r="M123" s="18">
        <v>-5730.75</v>
      </c>
      <c r="N123" s="18">
        <v>35.9609</v>
      </c>
      <c r="O123" s="18">
        <v>3600.0</v>
      </c>
    </row>
    <row r="124">
      <c r="A124" s="8" t="s">
        <v>491</v>
      </c>
      <c r="B124" s="9">
        <v>25.0</v>
      </c>
      <c r="C124" s="9" t="s">
        <v>460</v>
      </c>
      <c r="D124" s="9">
        <v>75.0</v>
      </c>
      <c r="E124" s="10">
        <v>0.6</v>
      </c>
      <c r="F124" s="9">
        <v>2.0</v>
      </c>
      <c r="G124" s="9">
        <v>0.0</v>
      </c>
      <c r="H124" s="9">
        <v>1.0</v>
      </c>
      <c r="I124" s="9">
        <v>0.0</v>
      </c>
      <c r="J124" s="17">
        <v>-2482.0</v>
      </c>
      <c r="K124" s="18">
        <v>-8979.16</v>
      </c>
      <c r="L124" s="17">
        <v>-4286.0</v>
      </c>
      <c r="M124" s="18">
        <v>-5586.27</v>
      </c>
      <c r="N124" s="18">
        <v>30.3377</v>
      </c>
      <c r="O124" s="18">
        <v>3600.0</v>
      </c>
    </row>
    <row r="125">
      <c r="A125" s="8" t="s">
        <v>492</v>
      </c>
      <c r="B125" s="9">
        <v>25.0</v>
      </c>
      <c r="C125" s="9" t="s">
        <v>460</v>
      </c>
      <c r="D125" s="9">
        <v>75.0</v>
      </c>
      <c r="E125" s="10">
        <v>0.6</v>
      </c>
      <c r="F125" s="9">
        <v>3.0</v>
      </c>
      <c r="G125" s="9">
        <v>0.0</v>
      </c>
      <c r="H125" s="9">
        <v>1.0</v>
      </c>
      <c r="I125" s="9">
        <v>0.0</v>
      </c>
      <c r="J125" s="17">
        <v>-3036.0</v>
      </c>
      <c r="K125" s="18">
        <v>-9294.64</v>
      </c>
      <c r="L125" s="17">
        <v>-3916.0</v>
      </c>
      <c r="M125" s="18">
        <v>-5893.59</v>
      </c>
      <c r="N125" s="18">
        <v>50.5001</v>
      </c>
      <c r="O125" s="18">
        <v>3600.0</v>
      </c>
    </row>
    <row r="126">
      <c r="A126" s="8" t="s">
        <v>493</v>
      </c>
      <c r="B126" s="9">
        <v>25.0</v>
      </c>
      <c r="C126" s="9" t="s">
        <v>460</v>
      </c>
      <c r="D126" s="9">
        <v>75.0</v>
      </c>
      <c r="E126" s="10">
        <v>0.6</v>
      </c>
      <c r="F126" s="9">
        <v>4.0</v>
      </c>
      <c r="G126" s="9">
        <v>0.0</v>
      </c>
      <c r="H126" s="9">
        <v>1.0</v>
      </c>
      <c r="I126" s="9">
        <v>0.0</v>
      </c>
      <c r="J126" s="17">
        <v>-2988.0</v>
      </c>
      <c r="K126" s="18">
        <v>-10003.6</v>
      </c>
      <c r="L126" s="17">
        <v>-4519.0</v>
      </c>
      <c r="M126" s="18">
        <v>-6435.68</v>
      </c>
      <c r="N126" s="18">
        <v>42.4139</v>
      </c>
      <c r="O126" s="18">
        <v>3600.0</v>
      </c>
    </row>
    <row r="127">
      <c r="A127" s="8" t="s">
        <v>494</v>
      </c>
      <c r="B127" s="9">
        <v>25.0</v>
      </c>
      <c r="C127" s="9" t="s">
        <v>460</v>
      </c>
      <c r="D127" s="9">
        <v>75.0</v>
      </c>
      <c r="E127" s="10">
        <v>0.6</v>
      </c>
      <c r="F127" s="9">
        <v>5.0</v>
      </c>
      <c r="G127" s="9">
        <v>0.0</v>
      </c>
      <c r="H127" s="9">
        <v>1.0</v>
      </c>
      <c r="I127" s="9">
        <v>0.0</v>
      </c>
      <c r="J127" s="17">
        <v>-2940.0</v>
      </c>
      <c r="K127" s="18">
        <v>-9215.15</v>
      </c>
      <c r="L127" s="17">
        <v>-4396.0</v>
      </c>
      <c r="M127" s="18">
        <v>-5516.64</v>
      </c>
      <c r="N127" s="18">
        <v>25.4922</v>
      </c>
      <c r="O127" s="18">
        <v>3600.0</v>
      </c>
    </row>
    <row r="128">
      <c r="A128" s="8" t="s">
        <v>495</v>
      </c>
      <c r="B128" s="9">
        <v>25.0</v>
      </c>
      <c r="C128" s="9" t="s">
        <v>460</v>
      </c>
      <c r="D128" s="9">
        <v>75.0</v>
      </c>
      <c r="E128" s="10">
        <v>1.0</v>
      </c>
      <c r="F128" s="9">
        <v>1.0</v>
      </c>
      <c r="G128" s="9">
        <v>0.0</v>
      </c>
      <c r="H128" s="9">
        <v>1.0</v>
      </c>
      <c r="I128" s="9">
        <v>0.0</v>
      </c>
      <c r="J128" s="17">
        <v>6304.0</v>
      </c>
      <c r="K128" s="18">
        <v>-4622.34</v>
      </c>
      <c r="L128" s="17">
        <v>1008.0</v>
      </c>
      <c r="M128" s="18">
        <v>-2067.81</v>
      </c>
      <c r="N128" s="18">
        <v>305.139</v>
      </c>
      <c r="O128" s="18">
        <v>3600.0</v>
      </c>
    </row>
    <row r="129">
      <c r="A129" s="8" t="s">
        <v>496</v>
      </c>
      <c r="B129" s="9">
        <v>25.0</v>
      </c>
      <c r="C129" s="9" t="s">
        <v>460</v>
      </c>
      <c r="D129" s="9">
        <v>75.0</v>
      </c>
      <c r="E129" s="10">
        <v>1.0</v>
      </c>
      <c r="F129" s="9">
        <v>2.0</v>
      </c>
      <c r="G129" s="9">
        <v>0.0</v>
      </c>
      <c r="H129" s="9">
        <v>1.0</v>
      </c>
      <c r="I129" s="9">
        <v>0.0</v>
      </c>
      <c r="J129" s="17">
        <v>7686.0</v>
      </c>
      <c r="K129" s="18">
        <v>-4375.03</v>
      </c>
      <c r="L129" s="17">
        <v>892.0</v>
      </c>
      <c r="M129" s="18">
        <v>-2011.86</v>
      </c>
      <c r="N129" s="18">
        <v>325.545</v>
      </c>
      <c r="O129" s="18">
        <v>3600.0</v>
      </c>
    </row>
    <row r="130">
      <c r="A130" s="8" t="s">
        <v>497</v>
      </c>
      <c r="B130" s="9">
        <v>25.0</v>
      </c>
      <c r="C130" s="9" t="s">
        <v>460</v>
      </c>
      <c r="D130" s="9">
        <v>75.0</v>
      </c>
      <c r="E130" s="10">
        <v>1.0</v>
      </c>
      <c r="F130" s="9">
        <v>3.0</v>
      </c>
      <c r="G130" s="9">
        <v>0.0</v>
      </c>
      <c r="H130" s="9">
        <v>1.0</v>
      </c>
      <c r="I130" s="9">
        <v>0.0</v>
      </c>
      <c r="J130" s="17">
        <v>6481.0</v>
      </c>
      <c r="K130" s="18">
        <v>-4707.85</v>
      </c>
      <c r="L130" s="17">
        <v>836.0</v>
      </c>
      <c r="M130" s="18">
        <v>-2105.15</v>
      </c>
      <c r="N130" s="18">
        <v>351.812</v>
      </c>
      <c r="O130" s="18">
        <v>3600.0</v>
      </c>
    </row>
    <row r="131">
      <c r="A131" s="8" t="s">
        <v>498</v>
      </c>
      <c r="B131" s="9">
        <v>25.0</v>
      </c>
      <c r="C131" s="9" t="s">
        <v>460</v>
      </c>
      <c r="D131" s="9">
        <v>75.0</v>
      </c>
      <c r="E131" s="10">
        <v>1.0</v>
      </c>
      <c r="F131" s="9">
        <v>4.0</v>
      </c>
      <c r="G131" s="9">
        <v>0.0</v>
      </c>
      <c r="H131" s="9">
        <v>1.0</v>
      </c>
      <c r="I131" s="9">
        <v>0.0</v>
      </c>
      <c r="J131" s="17">
        <v>5821.0</v>
      </c>
      <c r="K131" s="18">
        <v>-4959.41</v>
      </c>
      <c r="L131" s="17">
        <v>1302.0</v>
      </c>
      <c r="M131" s="18">
        <v>-2338.26</v>
      </c>
      <c r="N131" s="18">
        <v>279.59</v>
      </c>
      <c r="O131" s="18">
        <v>3600.0</v>
      </c>
    </row>
    <row r="132">
      <c r="A132" s="8" t="s">
        <v>499</v>
      </c>
      <c r="B132" s="9">
        <v>25.0</v>
      </c>
      <c r="C132" s="9" t="s">
        <v>460</v>
      </c>
      <c r="D132" s="9">
        <v>75.0</v>
      </c>
      <c r="E132" s="10">
        <v>1.0</v>
      </c>
      <c r="F132" s="9">
        <v>5.0</v>
      </c>
      <c r="G132" s="9">
        <v>0.0</v>
      </c>
      <c r="H132" s="9">
        <v>1.0</v>
      </c>
      <c r="I132" s="9">
        <v>0.0</v>
      </c>
      <c r="J132" s="17">
        <v>8736.0</v>
      </c>
      <c r="K132" s="18">
        <v>-4451.85</v>
      </c>
      <c r="L132" s="17">
        <v>691.0</v>
      </c>
      <c r="M132" s="18">
        <v>-1953.23</v>
      </c>
      <c r="N132" s="18">
        <v>382.667</v>
      </c>
      <c r="O132" s="18">
        <v>3600.0</v>
      </c>
    </row>
    <row r="133">
      <c r="A133" s="8" t="s">
        <v>500</v>
      </c>
      <c r="B133" s="9">
        <v>25.0</v>
      </c>
      <c r="C133" s="9" t="s">
        <v>460</v>
      </c>
      <c r="D133" s="9">
        <v>75.0</v>
      </c>
      <c r="E133" s="10">
        <v>2.0</v>
      </c>
      <c r="F133" s="9">
        <v>1.0</v>
      </c>
      <c r="G133" s="9">
        <v>1.0</v>
      </c>
      <c r="H133" s="9">
        <v>0.0</v>
      </c>
      <c r="I133" s="9">
        <v>0.0</v>
      </c>
      <c r="J133" s="17">
        <v>55340.0</v>
      </c>
      <c r="K133" s="18">
        <v>53192.2</v>
      </c>
      <c r="L133" s="17">
        <v>54898.0</v>
      </c>
      <c r="M133" s="18">
        <v>54898.0</v>
      </c>
      <c r="N133" s="18">
        <v>0.0</v>
      </c>
      <c r="O133" s="18">
        <v>1334.77</v>
      </c>
    </row>
    <row r="134">
      <c r="A134" s="8" t="s">
        <v>501</v>
      </c>
      <c r="B134" s="9">
        <v>25.0</v>
      </c>
      <c r="C134" s="9" t="s">
        <v>460</v>
      </c>
      <c r="D134" s="9">
        <v>75.0</v>
      </c>
      <c r="E134" s="10">
        <v>2.0</v>
      </c>
      <c r="F134" s="9">
        <v>2.0</v>
      </c>
      <c r="G134" s="9">
        <v>1.0</v>
      </c>
      <c r="H134" s="9">
        <v>0.0</v>
      </c>
      <c r="I134" s="9">
        <v>0.0</v>
      </c>
      <c r="J134" s="17">
        <v>60523.0</v>
      </c>
      <c r="K134" s="18">
        <v>53483.1</v>
      </c>
      <c r="L134" s="17">
        <v>54977.0</v>
      </c>
      <c r="M134" s="18">
        <v>54977.0</v>
      </c>
      <c r="N134" s="18">
        <v>0.0</v>
      </c>
      <c r="O134" s="18">
        <v>1551.9</v>
      </c>
    </row>
    <row r="135">
      <c r="A135" s="8" t="s">
        <v>502</v>
      </c>
      <c r="B135" s="9">
        <v>25.0</v>
      </c>
      <c r="C135" s="9" t="s">
        <v>460</v>
      </c>
      <c r="D135" s="9">
        <v>75.0</v>
      </c>
      <c r="E135" s="10">
        <v>2.0</v>
      </c>
      <c r="F135" s="9">
        <v>3.0</v>
      </c>
      <c r="G135" s="9">
        <v>1.0</v>
      </c>
      <c r="H135" s="9">
        <v>0.0</v>
      </c>
      <c r="I135" s="9">
        <v>0.0</v>
      </c>
      <c r="J135" s="17">
        <v>56324.0</v>
      </c>
      <c r="K135" s="18">
        <v>49608.0</v>
      </c>
      <c r="L135" s="17">
        <v>55574.0</v>
      </c>
      <c r="M135" s="18">
        <v>55574.0</v>
      </c>
      <c r="N135" s="18">
        <v>0.0</v>
      </c>
      <c r="O135" s="18">
        <v>2023.46</v>
      </c>
    </row>
    <row r="136">
      <c r="A136" s="8" t="s">
        <v>503</v>
      </c>
      <c r="B136" s="9">
        <v>25.0</v>
      </c>
      <c r="C136" s="9" t="s">
        <v>460</v>
      </c>
      <c r="D136" s="9">
        <v>75.0</v>
      </c>
      <c r="E136" s="10">
        <v>2.0</v>
      </c>
      <c r="F136" s="9">
        <v>4.0</v>
      </c>
      <c r="G136" s="9">
        <v>0.0</v>
      </c>
      <c r="H136" s="9">
        <v>1.0</v>
      </c>
      <c r="I136" s="9">
        <v>0.0</v>
      </c>
      <c r="J136" s="17">
        <v>61857.0</v>
      </c>
      <c r="K136" s="18">
        <v>54515.0</v>
      </c>
      <c r="L136" s="17">
        <v>61230.0</v>
      </c>
      <c r="M136" s="18">
        <v>56181.8</v>
      </c>
      <c r="N136" s="18">
        <v>8.2447</v>
      </c>
      <c r="O136" s="18">
        <v>3600.0</v>
      </c>
    </row>
    <row r="137">
      <c r="A137" s="8" t="s">
        <v>504</v>
      </c>
      <c r="B137" s="9">
        <v>25.0</v>
      </c>
      <c r="C137" s="9" t="s">
        <v>460</v>
      </c>
      <c r="D137" s="9">
        <v>75.0</v>
      </c>
      <c r="E137" s="10">
        <v>2.0</v>
      </c>
      <c r="F137" s="9">
        <v>5.0</v>
      </c>
      <c r="G137" s="9">
        <v>1.0</v>
      </c>
      <c r="H137" s="9">
        <v>0.0</v>
      </c>
      <c r="I137" s="9">
        <v>0.0</v>
      </c>
      <c r="J137" s="17">
        <v>56991.0</v>
      </c>
      <c r="K137" s="18">
        <v>51714.4</v>
      </c>
      <c r="L137" s="17">
        <v>56606.0</v>
      </c>
      <c r="M137" s="18">
        <v>56606.0</v>
      </c>
      <c r="N137" s="18">
        <v>0.0</v>
      </c>
      <c r="O137" s="18">
        <v>1920.56</v>
      </c>
    </row>
    <row r="138">
      <c r="A138" s="4"/>
      <c r="B138" s="19"/>
      <c r="C138" s="19"/>
      <c r="D138" s="19"/>
      <c r="E138" s="15"/>
      <c r="F138" s="19"/>
      <c r="G138" s="19"/>
      <c r="H138" s="19"/>
      <c r="I138" s="19"/>
      <c r="J138" s="20"/>
      <c r="K138" s="13"/>
      <c r="L138" s="12"/>
      <c r="M138" s="13"/>
      <c r="N138" s="13"/>
      <c r="O138" s="13"/>
    </row>
    <row r="139">
      <c r="B139" s="19"/>
      <c r="C139" s="19"/>
      <c r="D139" s="19"/>
      <c r="E139" s="15"/>
      <c r="F139" s="11"/>
      <c r="G139" s="11"/>
      <c r="H139" s="11"/>
      <c r="I139" s="19"/>
      <c r="J139" s="20"/>
      <c r="K139" s="13"/>
      <c r="L139" s="12"/>
      <c r="M139" s="13"/>
      <c r="N139" s="13"/>
      <c r="O139" s="13"/>
    </row>
    <row r="140">
      <c r="B140" s="11"/>
      <c r="C140" s="11"/>
      <c r="D140" s="11"/>
      <c r="E140" s="15"/>
      <c r="F140" s="11"/>
      <c r="G140" s="11"/>
      <c r="H140" s="11"/>
      <c r="I140" s="11"/>
      <c r="J140" s="12"/>
      <c r="K140" s="13"/>
      <c r="L140" s="12"/>
      <c r="M140" s="13"/>
      <c r="N140" s="13"/>
      <c r="O140" s="13"/>
    </row>
    <row r="141">
      <c r="B141" s="11"/>
      <c r="C141" s="11"/>
      <c r="D141" s="11"/>
      <c r="E141" s="15"/>
      <c r="F141" s="11"/>
      <c r="G141" s="11"/>
      <c r="H141" s="11"/>
      <c r="I141" s="11"/>
      <c r="J141" s="12"/>
      <c r="K141" s="13"/>
      <c r="L141" s="12"/>
      <c r="M141" s="13"/>
      <c r="N141" s="13"/>
      <c r="O141" s="13"/>
    </row>
    <row r="142">
      <c r="B142" s="11"/>
      <c r="C142" s="11"/>
      <c r="D142" s="11"/>
      <c r="E142" s="15"/>
      <c r="F142" s="11"/>
      <c r="G142" s="11"/>
      <c r="H142" s="11"/>
      <c r="I142" s="11"/>
      <c r="J142" s="12"/>
      <c r="K142" s="13"/>
      <c r="L142" s="12"/>
      <c r="M142" s="13"/>
      <c r="N142" s="13"/>
      <c r="O142" s="13"/>
    </row>
    <row r="143">
      <c r="B143" s="11"/>
      <c r="C143" s="11"/>
      <c r="D143" s="11"/>
      <c r="E143" s="15"/>
      <c r="F143" s="11"/>
      <c r="G143" s="11"/>
      <c r="H143" s="11"/>
      <c r="I143" s="11"/>
      <c r="J143" s="12"/>
      <c r="K143" s="13"/>
      <c r="L143" s="12"/>
      <c r="M143" s="13"/>
      <c r="N143" s="13"/>
      <c r="O143" s="13"/>
    </row>
    <row r="144">
      <c r="B144" s="11"/>
      <c r="C144" s="11"/>
      <c r="D144" s="11"/>
      <c r="E144" s="15"/>
      <c r="F144" s="11"/>
      <c r="G144" s="11"/>
      <c r="H144" s="11"/>
      <c r="I144" s="11"/>
      <c r="J144" s="12"/>
      <c r="K144" s="13"/>
      <c r="L144" s="12"/>
      <c r="M144" s="13"/>
      <c r="N144" s="13"/>
      <c r="O144" s="13"/>
    </row>
    <row r="145">
      <c r="B145" s="11"/>
      <c r="C145" s="11"/>
      <c r="D145" s="11"/>
      <c r="E145" s="15"/>
      <c r="F145" s="11"/>
      <c r="G145" s="11"/>
      <c r="H145" s="11"/>
      <c r="I145" s="11"/>
      <c r="J145" s="12"/>
      <c r="K145" s="13"/>
      <c r="L145" s="12"/>
      <c r="M145" s="13"/>
      <c r="N145" s="13"/>
      <c r="O145" s="13"/>
    </row>
    <row r="146">
      <c r="B146" s="11"/>
      <c r="C146" s="11"/>
      <c r="D146" s="11"/>
      <c r="E146" s="15"/>
      <c r="F146" s="11"/>
      <c r="G146" s="11"/>
      <c r="H146" s="11"/>
      <c r="I146" s="11"/>
      <c r="J146" s="12"/>
      <c r="K146" s="13"/>
      <c r="L146" s="12"/>
      <c r="M146" s="13"/>
      <c r="N146" s="13"/>
      <c r="O146" s="13"/>
    </row>
    <row r="147">
      <c r="B147" s="11"/>
      <c r="C147" s="11"/>
      <c r="D147" s="11"/>
      <c r="E147" s="15"/>
      <c r="F147" s="11"/>
      <c r="G147" s="11"/>
      <c r="H147" s="11"/>
      <c r="I147" s="11"/>
      <c r="J147" s="12"/>
      <c r="K147" s="13"/>
      <c r="L147" s="12"/>
      <c r="M147" s="13"/>
      <c r="N147" s="13"/>
      <c r="O147" s="13"/>
    </row>
    <row r="148">
      <c r="B148" s="11"/>
      <c r="C148" s="11"/>
      <c r="D148" s="11"/>
      <c r="E148" s="15"/>
      <c r="F148" s="11"/>
      <c r="G148" s="11"/>
      <c r="H148" s="11"/>
      <c r="I148" s="11"/>
      <c r="J148" s="12"/>
      <c r="K148" s="13"/>
      <c r="L148" s="12"/>
      <c r="M148" s="13"/>
      <c r="N148" s="13"/>
      <c r="O148" s="13"/>
    </row>
    <row r="149">
      <c r="B149" s="11"/>
      <c r="C149" s="11"/>
      <c r="D149" s="11"/>
      <c r="E149" s="15"/>
      <c r="F149" s="11"/>
      <c r="G149" s="11"/>
      <c r="H149" s="11"/>
      <c r="I149" s="11"/>
      <c r="J149" s="12"/>
      <c r="K149" s="13"/>
      <c r="L149" s="12"/>
      <c r="M149" s="13"/>
      <c r="N149" s="13"/>
      <c r="O149" s="13"/>
    </row>
    <row r="150">
      <c r="B150" s="11"/>
      <c r="C150" s="11"/>
      <c r="D150" s="11"/>
      <c r="E150" s="15"/>
      <c r="F150" s="11"/>
      <c r="G150" s="11"/>
      <c r="H150" s="11"/>
      <c r="I150" s="11"/>
      <c r="J150" s="12"/>
      <c r="K150" s="13"/>
      <c r="L150" s="12"/>
      <c r="M150" s="13"/>
      <c r="N150" s="13"/>
      <c r="O150" s="13"/>
    </row>
    <row r="151">
      <c r="B151" s="11"/>
      <c r="C151" s="11"/>
      <c r="D151" s="11"/>
      <c r="E151" s="15"/>
      <c r="F151" s="11"/>
      <c r="G151" s="11"/>
      <c r="H151" s="11"/>
      <c r="I151" s="11"/>
      <c r="J151" s="12"/>
      <c r="K151" s="13"/>
      <c r="L151" s="12"/>
      <c r="M151" s="13"/>
      <c r="N151" s="13"/>
      <c r="O151" s="13"/>
    </row>
    <row r="152">
      <c r="B152" s="11"/>
      <c r="C152" s="11"/>
      <c r="D152" s="11"/>
      <c r="E152" s="15"/>
      <c r="F152" s="11"/>
      <c r="G152" s="11"/>
      <c r="H152" s="11"/>
      <c r="I152" s="11"/>
      <c r="J152" s="12"/>
      <c r="K152" s="13"/>
      <c r="L152" s="12"/>
      <c r="M152" s="13"/>
      <c r="N152" s="13"/>
      <c r="O152" s="13"/>
    </row>
    <row r="153">
      <c r="B153" s="11"/>
      <c r="C153" s="11"/>
      <c r="D153" s="11"/>
      <c r="E153" s="15"/>
      <c r="F153" s="11"/>
      <c r="G153" s="11"/>
      <c r="H153" s="11"/>
      <c r="I153" s="11"/>
      <c r="J153" s="12"/>
      <c r="K153" s="13"/>
      <c r="L153" s="12"/>
      <c r="M153" s="13"/>
      <c r="N153" s="13"/>
      <c r="O153" s="13"/>
    </row>
    <row r="154">
      <c r="B154" s="11"/>
      <c r="C154" s="11"/>
      <c r="D154" s="11"/>
      <c r="E154" s="15"/>
      <c r="F154" s="11"/>
      <c r="G154" s="11"/>
      <c r="H154" s="11"/>
      <c r="I154" s="11"/>
      <c r="J154" s="12"/>
      <c r="K154" s="13"/>
      <c r="L154" s="12"/>
      <c r="M154" s="13"/>
      <c r="N154" s="13"/>
      <c r="O154" s="13"/>
    </row>
    <row r="155">
      <c r="B155" s="11"/>
      <c r="C155" s="11"/>
      <c r="D155" s="11"/>
      <c r="E155" s="15"/>
      <c r="F155" s="11"/>
      <c r="G155" s="11"/>
      <c r="H155" s="11"/>
      <c r="I155" s="11"/>
      <c r="J155" s="12"/>
      <c r="K155" s="13"/>
      <c r="L155" s="12"/>
      <c r="M155" s="13"/>
      <c r="N155" s="13"/>
      <c r="O155" s="13"/>
    </row>
    <row r="156">
      <c r="B156" s="11"/>
      <c r="C156" s="11"/>
      <c r="D156" s="11"/>
      <c r="E156" s="15"/>
      <c r="F156" s="11"/>
      <c r="G156" s="11"/>
      <c r="H156" s="11"/>
      <c r="I156" s="11"/>
      <c r="J156" s="12"/>
      <c r="K156" s="13"/>
      <c r="L156" s="12"/>
      <c r="M156" s="13"/>
      <c r="N156" s="13"/>
      <c r="O156" s="13"/>
    </row>
    <row r="157">
      <c r="B157" s="11"/>
      <c r="C157" s="11"/>
      <c r="D157" s="11"/>
      <c r="E157" s="15"/>
      <c r="F157" s="11"/>
      <c r="G157" s="11"/>
      <c r="H157" s="11"/>
      <c r="I157" s="11"/>
      <c r="J157" s="12"/>
      <c r="K157" s="13"/>
      <c r="L157" s="12"/>
      <c r="M157" s="13"/>
      <c r="N157" s="13"/>
      <c r="O157" s="13"/>
    </row>
    <row r="158">
      <c r="B158" s="11"/>
      <c r="C158" s="11"/>
      <c r="D158" s="11"/>
      <c r="E158" s="15"/>
      <c r="F158" s="11"/>
      <c r="G158" s="11"/>
      <c r="H158" s="11"/>
      <c r="I158" s="11"/>
      <c r="J158" s="12"/>
      <c r="K158" s="13"/>
      <c r="L158" s="12"/>
      <c r="M158" s="13"/>
      <c r="N158" s="13"/>
      <c r="O158" s="13"/>
    </row>
    <row r="159">
      <c r="B159" s="11"/>
      <c r="C159" s="11"/>
      <c r="D159" s="11"/>
      <c r="E159" s="15"/>
      <c r="F159" s="11"/>
      <c r="G159" s="11"/>
      <c r="H159" s="11"/>
      <c r="I159" s="11"/>
      <c r="J159" s="12"/>
      <c r="K159" s="13"/>
      <c r="L159" s="12"/>
      <c r="M159" s="13"/>
      <c r="N159" s="13"/>
      <c r="O159" s="13"/>
    </row>
    <row r="160">
      <c r="B160" s="11"/>
      <c r="C160" s="11"/>
      <c r="D160" s="11"/>
      <c r="E160" s="15"/>
      <c r="F160" s="11"/>
      <c r="G160" s="11"/>
      <c r="H160" s="11"/>
      <c r="I160" s="11"/>
      <c r="J160" s="12"/>
      <c r="K160" s="13"/>
      <c r="L160" s="12"/>
      <c r="M160" s="13"/>
      <c r="N160" s="13"/>
      <c r="O160" s="13"/>
    </row>
    <row r="161">
      <c r="B161" s="11"/>
      <c r="C161" s="11"/>
      <c r="D161" s="11"/>
      <c r="E161" s="15"/>
      <c r="F161" s="11"/>
      <c r="G161" s="11"/>
      <c r="H161" s="11"/>
      <c r="I161" s="11"/>
      <c r="J161" s="12"/>
      <c r="K161" s="13"/>
      <c r="L161" s="12"/>
      <c r="M161" s="13"/>
      <c r="N161" s="13"/>
      <c r="O161" s="13"/>
    </row>
    <row r="162">
      <c r="B162" s="11"/>
      <c r="C162" s="11"/>
      <c r="D162" s="11"/>
      <c r="E162" s="15"/>
      <c r="F162" s="11"/>
      <c r="G162" s="11"/>
      <c r="H162" s="11"/>
      <c r="I162" s="11"/>
      <c r="J162" s="12"/>
      <c r="K162" s="13"/>
      <c r="L162" s="12"/>
      <c r="M162" s="13"/>
      <c r="N162" s="13"/>
      <c r="O162" s="13"/>
    </row>
    <row r="163">
      <c r="B163" s="11"/>
      <c r="C163" s="11"/>
      <c r="D163" s="11"/>
      <c r="E163" s="15"/>
      <c r="F163" s="11"/>
      <c r="G163" s="11"/>
      <c r="H163" s="11"/>
      <c r="I163" s="11"/>
      <c r="J163" s="12"/>
      <c r="K163" s="13"/>
      <c r="L163" s="12"/>
      <c r="M163" s="13"/>
      <c r="N163" s="13"/>
      <c r="O163" s="13"/>
    </row>
    <row r="164">
      <c r="B164" s="11"/>
      <c r="C164" s="11"/>
      <c r="D164" s="11"/>
      <c r="E164" s="15"/>
      <c r="F164" s="11"/>
      <c r="G164" s="11"/>
      <c r="H164" s="11"/>
      <c r="I164" s="11"/>
      <c r="J164" s="12"/>
      <c r="K164" s="13"/>
      <c r="L164" s="12"/>
      <c r="M164" s="13"/>
      <c r="N164" s="13"/>
      <c r="O164" s="13"/>
    </row>
    <row r="165">
      <c r="B165" s="11"/>
      <c r="C165" s="11"/>
      <c r="D165" s="11"/>
      <c r="E165" s="15"/>
      <c r="F165" s="11"/>
      <c r="G165" s="11"/>
      <c r="H165" s="11"/>
      <c r="I165" s="11"/>
      <c r="J165" s="12"/>
      <c r="K165" s="13"/>
      <c r="L165" s="12"/>
      <c r="M165" s="13"/>
      <c r="N165" s="13"/>
      <c r="O165" s="13"/>
    </row>
    <row r="166">
      <c r="B166" s="11"/>
      <c r="C166" s="11"/>
      <c r="D166" s="11"/>
      <c r="E166" s="15"/>
      <c r="F166" s="11"/>
      <c r="G166" s="11"/>
      <c r="H166" s="11"/>
      <c r="I166" s="11"/>
      <c r="J166" s="12"/>
      <c r="K166" s="13"/>
      <c r="L166" s="12"/>
      <c r="M166" s="13"/>
      <c r="N166" s="13"/>
      <c r="O166" s="13"/>
    </row>
    <row r="167">
      <c r="B167" s="11"/>
      <c r="C167" s="11"/>
      <c r="D167" s="11"/>
      <c r="E167" s="15"/>
      <c r="F167" s="11"/>
      <c r="G167" s="11"/>
      <c r="H167" s="11"/>
      <c r="I167" s="11"/>
      <c r="J167" s="12"/>
      <c r="K167" s="13"/>
      <c r="L167" s="12"/>
      <c r="M167" s="13"/>
      <c r="N167" s="13"/>
      <c r="O167" s="13"/>
    </row>
    <row r="168">
      <c r="B168" s="11"/>
      <c r="C168" s="11"/>
      <c r="D168" s="11"/>
      <c r="E168" s="15"/>
      <c r="F168" s="11"/>
      <c r="G168" s="11"/>
      <c r="H168" s="11"/>
      <c r="I168" s="11"/>
      <c r="J168" s="12"/>
      <c r="K168" s="13"/>
      <c r="L168" s="12"/>
      <c r="M168" s="13"/>
      <c r="N168" s="13"/>
      <c r="O168" s="13"/>
    </row>
    <row r="169">
      <c r="B169" s="11"/>
      <c r="C169" s="11"/>
      <c r="D169" s="11"/>
      <c r="E169" s="15"/>
      <c r="F169" s="11"/>
      <c r="G169" s="11"/>
      <c r="H169" s="11"/>
      <c r="I169" s="11"/>
      <c r="J169" s="12"/>
      <c r="K169" s="13"/>
      <c r="L169" s="12"/>
      <c r="M169" s="13"/>
      <c r="N169" s="13"/>
      <c r="O169" s="13"/>
    </row>
    <row r="170">
      <c r="B170" s="11"/>
      <c r="C170" s="11"/>
      <c r="D170" s="11"/>
      <c r="E170" s="15"/>
      <c r="F170" s="11"/>
      <c r="G170" s="11"/>
      <c r="H170" s="11"/>
      <c r="I170" s="11"/>
      <c r="J170" s="12"/>
      <c r="K170" s="13"/>
      <c r="L170" s="12"/>
      <c r="M170" s="13"/>
      <c r="N170" s="13"/>
      <c r="O170" s="13"/>
    </row>
    <row r="171">
      <c r="B171" s="11"/>
      <c r="C171" s="11"/>
      <c r="D171" s="11"/>
      <c r="E171" s="15"/>
      <c r="F171" s="11"/>
      <c r="G171" s="11"/>
      <c r="H171" s="11"/>
      <c r="I171" s="11"/>
      <c r="J171" s="12"/>
      <c r="K171" s="13"/>
      <c r="L171" s="12"/>
      <c r="M171" s="13"/>
      <c r="N171" s="13"/>
      <c r="O171" s="13"/>
    </row>
    <row r="172">
      <c r="B172" s="11"/>
      <c r="C172" s="11"/>
      <c r="D172" s="11"/>
      <c r="E172" s="15"/>
      <c r="F172" s="11"/>
      <c r="G172" s="11"/>
      <c r="H172" s="11"/>
      <c r="I172" s="11"/>
      <c r="J172" s="12"/>
      <c r="K172" s="13"/>
      <c r="L172" s="12"/>
      <c r="M172" s="13"/>
      <c r="N172" s="13"/>
      <c r="O172" s="13"/>
    </row>
    <row r="173">
      <c r="B173" s="11"/>
      <c r="C173" s="11"/>
      <c r="D173" s="11"/>
      <c r="E173" s="15"/>
      <c r="F173" s="11"/>
      <c r="G173" s="11"/>
      <c r="H173" s="11"/>
      <c r="I173" s="11"/>
      <c r="J173" s="12"/>
      <c r="K173" s="13"/>
      <c r="L173" s="12"/>
      <c r="M173" s="13"/>
      <c r="N173" s="13"/>
      <c r="O173" s="13"/>
    </row>
    <row r="174">
      <c r="B174" s="11"/>
      <c r="C174" s="11"/>
      <c r="D174" s="11"/>
      <c r="E174" s="15"/>
      <c r="F174" s="11"/>
      <c r="G174" s="11"/>
      <c r="H174" s="11"/>
      <c r="I174" s="11"/>
      <c r="J174" s="12"/>
      <c r="K174" s="13"/>
      <c r="L174" s="12"/>
      <c r="M174" s="13"/>
      <c r="N174" s="13"/>
      <c r="O174" s="13"/>
    </row>
    <row r="175">
      <c r="B175" s="11"/>
      <c r="C175" s="11"/>
      <c r="D175" s="11"/>
      <c r="E175" s="15"/>
      <c r="F175" s="11"/>
      <c r="G175" s="11"/>
      <c r="H175" s="11"/>
      <c r="I175" s="11"/>
      <c r="J175" s="12"/>
      <c r="K175" s="13"/>
      <c r="L175" s="12"/>
      <c r="M175" s="13"/>
      <c r="N175" s="13"/>
      <c r="O175" s="13"/>
    </row>
    <row r="176">
      <c r="B176" s="11"/>
      <c r="C176" s="11"/>
      <c r="D176" s="11"/>
      <c r="E176" s="15"/>
      <c r="F176" s="11"/>
      <c r="G176" s="11"/>
      <c r="H176" s="11"/>
      <c r="I176" s="11"/>
      <c r="J176" s="12"/>
      <c r="K176" s="13"/>
      <c r="L176" s="12"/>
      <c r="M176" s="13"/>
      <c r="N176" s="13"/>
      <c r="O176" s="13"/>
    </row>
    <row r="177">
      <c r="B177" s="11"/>
      <c r="C177" s="11"/>
      <c r="D177" s="11"/>
      <c r="E177" s="15"/>
      <c r="F177" s="11"/>
      <c r="G177" s="11"/>
      <c r="H177" s="11"/>
      <c r="I177" s="11"/>
      <c r="J177" s="12"/>
      <c r="K177" s="13"/>
      <c r="L177" s="12"/>
      <c r="M177" s="13"/>
      <c r="N177" s="13"/>
      <c r="O177" s="13"/>
    </row>
    <row r="178">
      <c r="B178" s="11"/>
      <c r="C178" s="11"/>
      <c r="D178" s="11"/>
      <c r="E178" s="15"/>
      <c r="F178" s="11"/>
      <c r="G178" s="11"/>
      <c r="H178" s="11"/>
      <c r="I178" s="11"/>
      <c r="J178" s="12"/>
      <c r="K178" s="13"/>
      <c r="L178" s="12"/>
      <c r="M178" s="13"/>
      <c r="N178" s="13"/>
      <c r="O178" s="13"/>
    </row>
    <row r="179">
      <c r="B179" s="11"/>
      <c r="C179" s="11"/>
      <c r="D179" s="11"/>
      <c r="E179" s="15"/>
      <c r="F179" s="11"/>
      <c r="G179" s="11"/>
      <c r="H179" s="11"/>
      <c r="I179" s="11"/>
      <c r="J179" s="12"/>
      <c r="K179" s="13"/>
      <c r="L179" s="12"/>
      <c r="M179" s="13"/>
      <c r="N179" s="13"/>
      <c r="O179" s="13"/>
    </row>
    <row r="180">
      <c r="B180" s="11"/>
      <c r="C180" s="11"/>
      <c r="D180" s="11"/>
      <c r="E180" s="15"/>
      <c r="F180" s="11"/>
      <c r="G180" s="11"/>
      <c r="H180" s="11"/>
      <c r="I180" s="11"/>
      <c r="J180" s="12"/>
      <c r="K180" s="13"/>
      <c r="L180" s="12"/>
      <c r="M180" s="13"/>
      <c r="N180" s="13"/>
      <c r="O180" s="13"/>
    </row>
    <row r="181">
      <c r="B181" s="11"/>
      <c r="C181" s="11"/>
      <c r="D181" s="11"/>
      <c r="E181" s="15"/>
      <c r="F181" s="11"/>
      <c r="G181" s="11"/>
      <c r="H181" s="11"/>
      <c r="I181" s="11"/>
      <c r="J181" s="12"/>
      <c r="K181" s="13"/>
      <c r="L181" s="12"/>
      <c r="M181" s="13"/>
      <c r="N181" s="13"/>
      <c r="O181" s="13"/>
    </row>
    <row r="182">
      <c r="B182" s="11"/>
      <c r="C182" s="11"/>
      <c r="D182" s="11"/>
      <c r="E182" s="15"/>
      <c r="F182" s="11"/>
      <c r="G182" s="11"/>
      <c r="H182" s="11"/>
      <c r="I182" s="11"/>
      <c r="J182" s="12"/>
      <c r="K182" s="13"/>
      <c r="L182" s="12"/>
      <c r="M182" s="13"/>
      <c r="N182" s="13"/>
      <c r="O182" s="13"/>
    </row>
    <row r="183">
      <c r="B183" s="11"/>
      <c r="C183" s="11"/>
      <c r="D183" s="11"/>
      <c r="E183" s="15"/>
      <c r="F183" s="11"/>
      <c r="G183" s="11"/>
      <c r="H183" s="11"/>
      <c r="I183" s="11"/>
      <c r="J183" s="12"/>
      <c r="K183" s="13"/>
      <c r="L183" s="12"/>
      <c r="M183" s="13"/>
      <c r="N183" s="13"/>
      <c r="O183" s="13"/>
    </row>
    <row r="184">
      <c r="B184" s="11"/>
      <c r="C184" s="11"/>
      <c r="D184" s="11"/>
      <c r="E184" s="15"/>
      <c r="F184" s="11"/>
      <c r="G184" s="11"/>
      <c r="H184" s="11"/>
      <c r="I184" s="11"/>
      <c r="J184" s="12"/>
      <c r="K184" s="13"/>
      <c r="L184" s="12"/>
      <c r="M184" s="13"/>
      <c r="N184" s="13"/>
      <c r="O184" s="13"/>
    </row>
    <row r="185">
      <c r="B185" s="11"/>
      <c r="C185" s="11"/>
      <c r="D185" s="11"/>
      <c r="E185" s="15"/>
      <c r="F185" s="11"/>
      <c r="G185" s="11"/>
      <c r="H185" s="11"/>
      <c r="I185" s="11"/>
      <c r="J185" s="12"/>
      <c r="K185" s="13"/>
      <c r="L185" s="12"/>
      <c r="M185" s="13"/>
      <c r="N185" s="13"/>
      <c r="O185" s="13"/>
    </row>
    <row r="186">
      <c r="B186" s="11"/>
      <c r="C186" s="11"/>
      <c r="D186" s="11"/>
      <c r="E186" s="15"/>
      <c r="F186" s="11"/>
      <c r="G186" s="11"/>
      <c r="H186" s="11"/>
      <c r="I186" s="11"/>
      <c r="J186" s="12"/>
      <c r="K186" s="13"/>
      <c r="L186" s="12"/>
      <c r="M186" s="13"/>
      <c r="N186" s="13"/>
      <c r="O186" s="13"/>
    </row>
    <row r="187">
      <c r="B187" s="11"/>
      <c r="C187" s="11"/>
      <c r="D187" s="11"/>
      <c r="E187" s="15"/>
      <c r="F187" s="11"/>
      <c r="G187" s="11"/>
      <c r="H187" s="11"/>
      <c r="I187" s="11"/>
      <c r="J187" s="12"/>
      <c r="K187" s="13"/>
      <c r="L187" s="12"/>
      <c r="M187" s="13"/>
      <c r="N187" s="13"/>
      <c r="O187" s="13"/>
    </row>
    <row r="188">
      <c r="B188" s="11"/>
      <c r="C188" s="11"/>
      <c r="D188" s="11"/>
      <c r="E188" s="15"/>
      <c r="F188" s="11"/>
      <c r="G188" s="11"/>
      <c r="H188" s="11"/>
      <c r="I188" s="11"/>
      <c r="J188" s="12"/>
      <c r="K188" s="13"/>
      <c r="L188" s="12"/>
      <c r="M188" s="13"/>
      <c r="N188" s="13"/>
      <c r="O188" s="13"/>
    </row>
    <row r="189">
      <c r="B189" s="11"/>
      <c r="C189" s="11"/>
      <c r="D189" s="11"/>
      <c r="E189" s="15"/>
      <c r="F189" s="11"/>
      <c r="G189" s="11"/>
      <c r="H189" s="11"/>
      <c r="I189" s="11"/>
      <c r="J189" s="12"/>
      <c r="K189" s="13"/>
      <c r="L189" s="12"/>
      <c r="M189" s="13"/>
      <c r="N189" s="13"/>
      <c r="O189" s="13"/>
    </row>
    <row r="190">
      <c r="B190" s="11"/>
      <c r="C190" s="11"/>
      <c r="D190" s="11"/>
      <c r="E190" s="15"/>
      <c r="F190" s="11"/>
      <c r="G190" s="11"/>
      <c r="H190" s="11"/>
      <c r="I190" s="11"/>
      <c r="J190" s="12"/>
      <c r="K190" s="13"/>
      <c r="L190" s="12"/>
      <c r="M190" s="13"/>
      <c r="N190" s="13"/>
      <c r="O190" s="13"/>
    </row>
    <row r="191">
      <c r="B191" s="11"/>
      <c r="C191" s="11"/>
      <c r="D191" s="11"/>
      <c r="E191" s="15"/>
      <c r="F191" s="11"/>
      <c r="G191" s="11"/>
      <c r="H191" s="11"/>
      <c r="I191" s="11"/>
      <c r="J191" s="12"/>
      <c r="K191" s="13"/>
      <c r="L191" s="12"/>
      <c r="M191" s="13"/>
      <c r="N191" s="13"/>
      <c r="O191" s="13"/>
    </row>
    <row r="192">
      <c r="B192" s="11"/>
      <c r="C192" s="11"/>
      <c r="D192" s="11"/>
      <c r="E192" s="15"/>
      <c r="F192" s="11"/>
      <c r="G192" s="11"/>
      <c r="H192" s="11"/>
      <c r="I192" s="11"/>
      <c r="J192" s="12"/>
      <c r="K192" s="13"/>
      <c r="L192" s="12"/>
      <c r="M192" s="13"/>
      <c r="N192" s="13"/>
      <c r="O192" s="13"/>
    </row>
    <row r="193">
      <c r="B193" s="11"/>
      <c r="C193" s="11"/>
      <c r="D193" s="11"/>
      <c r="E193" s="15"/>
      <c r="F193" s="11"/>
      <c r="G193" s="11"/>
      <c r="H193" s="11"/>
      <c r="I193" s="11"/>
      <c r="J193" s="12"/>
      <c r="K193" s="13"/>
      <c r="L193" s="12"/>
      <c r="M193" s="13"/>
      <c r="N193" s="13"/>
      <c r="O193" s="13"/>
    </row>
    <row r="194">
      <c r="B194" s="11"/>
      <c r="C194" s="11"/>
      <c r="D194" s="11"/>
      <c r="E194" s="15"/>
      <c r="F194" s="11"/>
      <c r="G194" s="11"/>
      <c r="H194" s="11"/>
      <c r="I194" s="11"/>
      <c r="J194" s="12"/>
      <c r="K194" s="13"/>
      <c r="L194" s="12"/>
      <c r="M194" s="13"/>
      <c r="N194" s="13"/>
      <c r="O194" s="13"/>
    </row>
    <row r="195">
      <c r="B195" s="11"/>
      <c r="C195" s="11"/>
      <c r="D195" s="11"/>
      <c r="E195" s="15"/>
      <c r="F195" s="11"/>
      <c r="G195" s="11"/>
      <c r="H195" s="11"/>
      <c r="I195" s="11"/>
      <c r="J195" s="12"/>
      <c r="K195" s="13"/>
      <c r="L195" s="12"/>
      <c r="M195" s="13"/>
      <c r="N195" s="13"/>
      <c r="O195" s="13"/>
    </row>
    <row r="196">
      <c r="B196" s="11"/>
      <c r="C196" s="11"/>
      <c r="D196" s="11"/>
      <c r="E196" s="15"/>
      <c r="F196" s="11"/>
      <c r="G196" s="11"/>
      <c r="H196" s="11"/>
      <c r="I196" s="11"/>
      <c r="J196" s="12"/>
      <c r="K196" s="13"/>
      <c r="L196" s="12"/>
      <c r="M196" s="13"/>
      <c r="N196" s="13"/>
      <c r="O196" s="13"/>
    </row>
    <row r="197">
      <c r="B197" s="11"/>
      <c r="C197" s="11"/>
      <c r="D197" s="11"/>
      <c r="E197" s="15"/>
      <c r="F197" s="11"/>
      <c r="G197" s="11"/>
      <c r="H197" s="11"/>
      <c r="I197" s="11"/>
      <c r="J197" s="12"/>
      <c r="K197" s="13"/>
      <c r="L197" s="12"/>
      <c r="M197" s="13"/>
      <c r="N197" s="13"/>
      <c r="O197" s="13"/>
    </row>
    <row r="198">
      <c r="B198" s="11"/>
      <c r="C198" s="11"/>
      <c r="D198" s="11"/>
      <c r="E198" s="15"/>
      <c r="F198" s="11"/>
      <c r="G198" s="11"/>
      <c r="H198" s="11"/>
      <c r="I198" s="11"/>
      <c r="J198" s="12"/>
      <c r="K198" s="13"/>
      <c r="L198" s="12"/>
      <c r="M198" s="13"/>
      <c r="N198" s="13"/>
      <c r="O198" s="13"/>
    </row>
    <row r="199">
      <c r="B199" s="11"/>
      <c r="C199" s="11"/>
      <c r="D199" s="11"/>
      <c r="E199" s="15"/>
      <c r="F199" s="11"/>
      <c r="G199" s="11"/>
      <c r="H199" s="11"/>
      <c r="I199" s="11"/>
      <c r="J199" s="12"/>
      <c r="K199" s="13"/>
      <c r="L199" s="12"/>
      <c r="M199" s="13"/>
      <c r="N199" s="13"/>
      <c r="O199" s="13"/>
    </row>
    <row r="200">
      <c r="B200" s="11"/>
      <c r="C200" s="11"/>
      <c r="D200" s="11"/>
      <c r="E200" s="15"/>
      <c r="F200" s="11"/>
      <c r="G200" s="11"/>
      <c r="H200" s="11"/>
      <c r="I200" s="11"/>
      <c r="J200" s="12"/>
      <c r="K200" s="13"/>
      <c r="L200" s="12"/>
      <c r="M200" s="13"/>
      <c r="N200" s="13"/>
      <c r="O200" s="13"/>
    </row>
    <row r="201">
      <c r="B201" s="11"/>
      <c r="C201" s="11"/>
      <c r="D201" s="11"/>
      <c r="E201" s="15"/>
      <c r="F201" s="11"/>
      <c r="G201" s="11"/>
      <c r="H201" s="11"/>
      <c r="I201" s="11"/>
      <c r="J201" s="12"/>
      <c r="K201" s="13"/>
      <c r="L201" s="12"/>
      <c r="M201" s="13"/>
      <c r="N201" s="13"/>
      <c r="O201" s="13"/>
    </row>
    <row r="202">
      <c r="B202" s="11"/>
      <c r="C202" s="11"/>
      <c r="D202" s="11"/>
      <c r="E202" s="15"/>
      <c r="F202" s="11"/>
      <c r="G202" s="11"/>
      <c r="H202" s="11"/>
      <c r="I202" s="11"/>
      <c r="J202" s="12"/>
      <c r="K202" s="13"/>
      <c r="L202" s="12"/>
      <c r="M202" s="13"/>
      <c r="N202" s="13"/>
      <c r="O202" s="13"/>
    </row>
    <row r="203">
      <c r="B203" s="11"/>
      <c r="C203" s="11"/>
      <c r="D203" s="11"/>
      <c r="E203" s="15"/>
      <c r="F203" s="11"/>
      <c r="G203" s="11"/>
      <c r="H203" s="11"/>
      <c r="I203" s="11"/>
      <c r="J203" s="12"/>
      <c r="K203" s="13"/>
      <c r="L203" s="12"/>
      <c r="M203" s="13"/>
      <c r="N203" s="13"/>
      <c r="O203" s="13"/>
    </row>
    <row r="204">
      <c r="B204" s="11"/>
      <c r="C204" s="11"/>
      <c r="D204" s="11"/>
      <c r="E204" s="15"/>
      <c r="F204" s="11"/>
      <c r="G204" s="11"/>
      <c r="H204" s="11"/>
      <c r="I204" s="11"/>
      <c r="J204" s="12"/>
      <c r="K204" s="13"/>
      <c r="L204" s="12"/>
      <c r="M204" s="13"/>
      <c r="N204" s="13"/>
      <c r="O204" s="13"/>
    </row>
    <row r="205">
      <c r="B205" s="11"/>
      <c r="C205" s="11"/>
      <c r="D205" s="11"/>
      <c r="E205" s="15"/>
      <c r="F205" s="11"/>
      <c r="G205" s="11"/>
      <c r="H205" s="11"/>
      <c r="I205" s="11"/>
      <c r="J205" s="12"/>
      <c r="K205" s="13"/>
      <c r="L205" s="12"/>
      <c r="M205" s="13"/>
      <c r="N205" s="13"/>
      <c r="O205" s="13"/>
    </row>
    <row r="206">
      <c r="B206" s="11"/>
      <c r="C206" s="11"/>
      <c r="D206" s="11"/>
      <c r="E206" s="15"/>
      <c r="F206" s="11"/>
      <c r="G206" s="11"/>
      <c r="H206" s="11"/>
      <c r="I206" s="11"/>
      <c r="J206" s="12"/>
      <c r="K206" s="13"/>
      <c r="L206" s="12"/>
      <c r="M206" s="13"/>
      <c r="N206" s="13"/>
      <c r="O206" s="13"/>
    </row>
    <row r="207">
      <c r="B207" s="11"/>
      <c r="C207" s="11"/>
      <c r="D207" s="11"/>
      <c r="E207" s="15"/>
      <c r="F207" s="11"/>
      <c r="G207" s="11"/>
      <c r="H207" s="11"/>
      <c r="I207" s="11"/>
      <c r="J207" s="12"/>
      <c r="K207" s="13"/>
      <c r="L207" s="12"/>
      <c r="M207" s="13"/>
      <c r="N207" s="13"/>
      <c r="O207" s="13"/>
    </row>
    <row r="208">
      <c r="B208" s="11"/>
      <c r="C208" s="11"/>
      <c r="D208" s="11"/>
      <c r="E208" s="15"/>
      <c r="F208" s="11"/>
      <c r="G208" s="11"/>
      <c r="H208" s="11"/>
      <c r="I208" s="11"/>
      <c r="J208" s="12"/>
      <c r="K208" s="13"/>
      <c r="L208" s="12"/>
      <c r="M208" s="13"/>
      <c r="N208" s="13"/>
      <c r="O208" s="13"/>
    </row>
    <row r="209">
      <c r="B209" s="11"/>
      <c r="C209" s="11"/>
      <c r="D209" s="11"/>
      <c r="E209" s="15"/>
      <c r="F209" s="11"/>
      <c r="G209" s="11"/>
      <c r="H209" s="11"/>
      <c r="I209" s="11"/>
      <c r="J209" s="12"/>
      <c r="K209" s="13"/>
      <c r="L209" s="12"/>
      <c r="M209" s="13"/>
      <c r="N209" s="13"/>
      <c r="O209" s="13"/>
    </row>
    <row r="210">
      <c r="B210" s="11"/>
      <c r="C210" s="11"/>
      <c r="D210" s="11"/>
      <c r="E210" s="15"/>
      <c r="F210" s="11"/>
      <c r="G210" s="11"/>
      <c r="H210" s="11"/>
      <c r="I210" s="11"/>
      <c r="J210" s="12"/>
      <c r="K210" s="13"/>
      <c r="L210" s="12"/>
      <c r="M210" s="13"/>
      <c r="N210" s="13"/>
      <c r="O210" s="13"/>
    </row>
    <row r="211">
      <c r="B211" s="11"/>
      <c r="C211" s="11"/>
      <c r="D211" s="11"/>
      <c r="E211" s="15"/>
      <c r="F211" s="11"/>
      <c r="G211" s="11"/>
      <c r="H211" s="11"/>
      <c r="I211" s="11"/>
      <c r="J211" s="12"/>
      <c r="K211" s="13"/>
      <c r="L211" s="12"/>
      <c r="M211" s="13"/>
      <c r="N211" s="13"/>
      <c r="O211" s="13"/>
    </row>
    <row r="212">
      <c r="B212" s="11"/>
      <c r="C212" s="11"/>
      <c r="D212" s="11"/>
      <c r="E212" s="15"/>
      <c r="F212" s="11"/>
      <c r="G212" s="11"/>
      <c r="H212" s="11"/>
      <c r="I212" s="11"/>
      <c r="J212" s="12"/>
      <c r="K212" s="13"/>
      <c r="L212" s="12"/>
      <c r="M212" s="13"/>
      <c r="N212" s="13"/>
      <c r="O212" s="13"/>
    </row>
    <row r="213">
      <c r="B213" s="11"/>
      <c r="C213" s="11"/>
      <c r="D213" s="11"/>
      <c r="E213" s="15"/>
      <c r="F213" s="11"/>
      <c r="G213" s="11"/>
      <c r="H213" s="11"/>
      <c r="I213" s="11"/>
      <c r="J213" s="12"/>
      <c r="K213" s="13"/>
      <c r="L213" s="12"/>
      <c r="M213" s="13"/>
      <c r="N213" s="13"/>
      <c r="O213" s="13"/>
    </row>
    <row r="214">
      <c r="B214" s="11"/>
      <c r="C214" s="11"/>
      <c r="D214" s="11"/>
      <c r="E214" s="15"/>
      <c r="F214" s="11"/>
      <c r="G214" s="11"/>
      <c r="H214" s="11"/>
      <c r="I214" s="11"/>
      <c r="J214" s="12"/>
      <c r="K214" s="13"/>
      <c r="L214" s="12"/>
      <c r="M214" s="13"/>
      <c r="N214" s="13"/>
      <c r="O214" s="13"/>
    </row>
    <row r="215">
      <c r="B215" s="11"/>
      <c r="C215" s="11"/>
      <c r="D215" s="11"/>
      <c r="E215" s="15"/>
      <c r="F215" s="11"/>
      <c r="G215" s="11"/>
      <c r="H215" s="11"/>
      <c r="I215" s="11"/>
      <c r="J215" s="12"/>
      <c r="K215" s="13"/>
      <c r="L215" s="12"/>
      <c r="M215" s="13"/>
      <c r="N215" s="13"/>
      <c r="O215" s="13"/>
    </row>
    <row r="216">
      <c r="B216" s="11"/>
      <c r="C216" s="11"/>
      <c r="D216" s="11"/>
      <c r="E216" s="15"/>
      <c r="F216" s="11"/>
      <c r="G216" s="11"/>
      <c r="H216" s="11"/>
      <c r="I216" s="11"/>
      <c r="J216" s="12"/>
      <c r="K216" s="13"/>
      <c r="L216" s="12"/>
      <c r="M216" s="13"/>
      <c r="N216" s="13"/>
      <c r="O216" s="13"/>
    </row>
    <row r="217">
      <c r="B217" s="11"/>
      <c r="C217" s="11"/>
      <c r="D217" s="11"/>
      <c r="E217" s="15"/>
      <c r="F217" s="11"/>
      <c r="G217" s="11"/>
      <c r="H217" s="11"/>
      <c r="I217" s="11"/>
      <c r="J217" s="12"/>
      <c r="K217" s="13"/>
      <c r="L217" s="12"/>
      <c r="M217" s="13"/>
      <c r="N217" s="13"/>
      <c r="O217" s="13"/>
    </row>
    <row r="218">
      <c r="B218" s="11"/>
      <c r="C218" s="11"/>
      <c r="D218" s="11"/>
      <c r="E218" s="15"/>
      <c r="F218" s="11"/>
      <c r="G218" s="11"/>
      <c r="H218" s="11"/>
      <c r="I218" s="11"/>
      <c r="J218" s="12"/>
      <c r="K218" s="13"/>
      <c r="L218" s="12"/>
      <c r="M218" s="13"/>
      <c r="N218" s="13"/>
      <c r="O218" s="13"/>
    </row>
    <row r="219">
      <c r="B219" s="11"/>
      <c r="C219" s="11"/>
      <c r="D219" s="11"/>
      <c r="E219" s="15"/>
      <c r="F219" s="11"/>
      <c r="G219" s="11"/>
      <c r="H219" s="11"/>
      <c r="I219" s="11"/>
      <c r="J219" s="12"/>
      <c r="K219" s="13"/>
      <c r="L219" s="12"/>
      <c r="M219" s="13"/>
      <c r="N219" s="13"/>
      <c r="O219" s="13"/>
    </row>
    <row r="220">
      <c r="B220" s="11"/>
      <c r="C220" s="11"/>
      <c r="D220" s="11"/>
      <c r="E220" s="15"/>
      <c r="F220" s="11"/>
      <c r="G220" s="11"/>
      <c r="H220" s="11"/>
      <c r="I220" s="11"/>
      <c r="J220" s="12"/>
      <c r="K220" s="13"/>
      <c r="L220" s="12"/>
      <c r="M220" s="13"/>
      <c r="N220" s="13"/>
      <c r="O220" s="13"/>
    </row>
    <row r="221">
      <c r="B221" s="11"/>
      <c r="C221" s="11"/>
      <c r="D221" s="11"/>
      <c r="E221" s="15"/>
      <c r="F221" s="11"/>
      <c r="G221" s="11"/>
      <c r="H221" s="11"/>
      <c r="I221" s="11"/>
      <c r="J221" s="12"/>
      <c r="K221" s="13"/>
      <c r="L221" s="12"/>
      <c r="M221" s="13"/>
      <c r="N221" s="13"/>
      <c r="O221" s="13"/>
    </row>
    <row r="222">
      <c r="B222" s="11"/>
      <c r="C222" s="11"/>
      <c r="D222" s="11"/>
      <c r="E222" s="15"/>
      <c r="F222" s="11"/>
      <c r="G222" s="11"/>
      <c r="H222" s="11"/>
      <c r="I222" s="11"/>
      <c r="J222" s="12"/>
      <c r="K222" s="13"/>
      <c r="L222" s="12"/>
      <c r="M222" s="13"/>
      <c r="N222" s="13"/>
      <c r="O222" s="13"/>
    </row>
    <row r="223">
      <c r="B223" s="11"/>
      <c r="C223" s="11"/>
      <c r="D223" s="11"/>
      <c r="E223" s="15"/>
      <c r="F223" s="11"/>
      <c r="G223" s="11"/>
      <c r="H223" s="11"/>
      <c r="I223" s="11"/>
      <c r="J223" s="12"/>
      <c r="K223" s="13"/>
      <c r="L223" s="12"/>
      <c r="M223" s="13"/>
      <c r="N223" s="13"/>
      <c r="O223" s="13"/>
    </row>
    <row r="224">
      <c r="B224" s="11"/>
      <c r="C224" s="11"/>
      <c r="D224" s="11"/>
      <c r="E224" s="15"/>
      <c r="F224" s="11"/>
      <c r="G224" s="11"/>
      <c r="H224" s="11"/>
      <c r="I224" s="11"/>
      <c r="J224" s="12"/>
      <c r="K224" s="13"/>
      <c r="L224" s="12"/>
      <c r="M224" s="13"/>
      <c r="N224" s="13"/>
      <c r="O224" s="13"/>
    </row>
    <row r="225">
      <c r="B225" s="11"/>
      <c r="C225" s="11"/>
      <c r="D225" s="11"/>
      <c r="E225" s="15"/>
      <c r="F225" s="11"/>
      <c r="G225" s="11"/>
      <c r="H225" s="11"/>
      <c r="I225" s="11"/>
      <c r="J225" s="12"/>
      <c r="K225" s="13"/>
      <c r="L225" s="12"/>
      <c r="M225" s="13"/>
      <c r="N225" s="13"/>
      <c r="O225" s="13"/>
    </row>
    <row r="226">
      <c r="B226" s="11"/>
      <c r="C226" s="11"/>
      <c r="D226" s="11"/>
      <c r="E226" s="15"/>
      <c r="F226" s="11"/>
      <c r="G226" s="11"/>
      <c r="H226" s="11"/>
      <c r="I226" s="11"/>
      <c r="J226" s="12"/>
      <c r="K226" s="13"/>
      <c r="L226" s="12"/>
      <c r="M226" s="13"/>
      <c r="N226" s="13"/>
      <c r="O226" s="13"/>
    </row>
    <row r="227">
      <c r="B227" s="11"/>
      <c r="C227" s="11"/>
      <c r="D227" s="11"/>
      <c r="E227" s="15"/>
      <c r="F227" s="11"/>
      <c r="G227" s="11"/>
      <c r="H227" s="11"/>
      <c r="I227" s="11"/>
      <c r="J227" s="12"/>
      <c r="K227" s="13"/>
      <c r="L227" s="12"/>
      <c r="M227" s="13"/>
      <c r="N227" s="13"/>
      <c r="O227" s="13"/>
    </row>
    <row r="228">
      <c r="B228" s="11"/>
      <c r="C228" s="11"/>
      <c r="D228" s="11"/>
      <c r="E228" s="15"/>
      <c r="F228" s="11"/>
      <c r="G228" s="11"/>
      <c r="H228" s="11"/>
      <c r="I228" s="11"/>
      <c r="J228" s="12"/>
      <c r="K228" s="13"/>
      <c r="L228" s="12"/>
      <c r="M228" s="13"/>
      <c r="N228" s="13"/>
      <c r="O228" s="13"/>
    </row>
    <row r="229">
      <c r="B229" s="11"/>
      <c r="C229" s="11"/>
      <c r="D229" s="11"/>
      <c r="E229" s="15"/>
      <c r="F229" s="11"/>
      <c r="G229" s="11"/>
      <c r="H229" s="11"/>
      <c r="I229" s="11"/>
      <c r="J229" s="12"/>
      <c r="K229" s="13"/>
      <c r="L229" s="12"/>
      <c r="M229" s="13"/>
      <c r="N229" s="13"/>
      <c r="O229" s="13"/>
    </row>
    <row r="230">
      <c r="B230" s="11"/>
      <c r="C230" s="11"/>
      <c r="D230" s="11"/>
      <c r="E230" s="15"/>
      <c r="F230" s="11"/>
      <c r="G230" s="11"/>
      <c r="H230" s="11"/>
      <c r="I230" s="11"/>
      <c r="J230" s="12"/>
      <c r="K230" s="13"/>
      <c r="L230" s="12"/>
      <c r="M230" s="13"/>
      <c r="N230" s="13"/>
      <c r="O230" s="13"/>
    </row>
    <row r="231">
      <c r="B231" s="11"/>
      <c r="C231" s="11"/>
      <c r="D231" s="11"/>
      <c r="E231" s="15"/>
      <c r="F231" s="11"/>
      <c r="G231" s="11"/>
      <c r="H231" s="11"/>
      <c r="I231" s="11"/>
      <c r="J231" s="12"/>
      <c r="K231" s="13"/>
      <c r="L231" s="12"/>
      <c r="M231" s="13"/>
      <c r="N231" s="13"/>
      <c r="O231" s="13"/>
    </row>
    <row r="232">
      <c r="B232" s="11"/>
      <c r="C232" s="11"/>
      <c r="D232" s="11"/>
      <c r="E232" s="15"/>
      <c r="F232" s="11"/>
      <c r="G232" s="11"/>
      <c r="H232" s="11"/>
      <c r="I232" s="11"/>
      <c r="J232" s="12"/>
      <c r="K232" s="13"/>
      <c r="L232" s="12"/>
      <c r="M232" s="13"/>
      <c r="N232" s="13"/>
      <c r="O232" s="13"/>
    </row>
    <row r="233">
      <c r="B233" s="11"/>
      <c r="C233" s="11"/>
      <c r="D233" s="11"/>
      <c r="E233" s="15"/>
      <c r="F233" s="11"/>
      <c r="G233" s="11"/>
      <c r="H233" s="11"/>
      <c r="I233" s="11"/>
      <c r="J233" s="12"/>
      <c r="K233" s="13"/>
      <c r="L233" s="12"/>
      <c r="M233" s="13"/>
      <c r="N233" s="13"/>
      <c r="O233" s="13"/>
    </row>
    <row r="234">
      <c r="B234" s="11"/>
      <c r="C234" s="11"/>
      <c r="D234" s="11"/>
      <c r="E234" s="15"/>
      <c r="F234" s="11"/>
      <c r="G234" s="11"/>
      <c r="H234" s="11"/>
      <c r="I234" s="11"/>
      <c r="J234" s="12"/>
      <c r="K234" s="13"/>
      <c r="L234" s="12"/>
      <c r="M234" s="13"/>
      <c r="N234" s="13"/>
      <c r="O234" s="13"/>
    </row>
    <row r="235">
      <c r="B235" s="11"/>
      <c r="C235" s="11"/>
      <c r="D235" s="11"/>
      <c r="E235" s="15"/>
      <c r="F235" s="11"/>
      <c r="G235" s="11"/>
      <c r="H235" s="11"/>
      <c r="I235" s="11"/>
      <c r="J235" s="12"/>
      <c r="K235" s="13"/>
      <c r="L235" s="12"/>
      <c r="M235" s="13"/>
      <c r="N235" s="13"/>
      <c r="O235" s="13"/>
    </row>
    <row r="236">
      <c r="B236" s="11"/>
      <c r="C236" s="11"/>
      <c r="D236" s="11"/>
      <c r="E236" s="15"/>
      <c r="F236" s="11"/>
      <c r="G236" s="11"/>
      <c r="H236" s="11"/>
      <c r="I236" s="11"/>
      <c r="J236" s="12"/>
      <c r="K236" s="13"/>
      <c r="L236" s="12"/>
      <c r="M236" s="13"/>
      <c r="N236" s="13"/>
      <c r="O236" s="13"/>
    </row>
    <row r="237">
      <c r="B237" s="11"/>
      <c r="C237" s="11"/>
      <c r="D237" s="11"/>
      <c r="E237" s="15"/>
      <c r="F237" s="11"/>
      <c r="G237" s="11"/>
      <c r="H237" s="11"/>
      <c r="I237" s="11"/>
      <c r="J237" s="12"/>
      <c r="K237" s="13"/>
      <c r="L237" s="12"/>
      <c r="M237" s="13"/>
      <c r="N237" s="13"/>
      <c r="O237" s="13"/>
    </row>
    <row r="238">
      <c r="B238" s="11"/>
      <c r="C238" s="11"/>
      <c r="D238" s="11"/>
      <c r="E238" s="15"/>
      <c r="F238" s="11"/>
      <c r="G238" s="11"/>
      <c r="H238" s="11"/>
      <c r="I238" s="11"/>
      <c r="J238" s="12"/>
      <c r="K238" s="13"/>
      <c r="L238" s="12"/>
      <c r="M238" s="13"/>
      <c r="N238" s="13"/>
      <c r="O238" s="13"/>
    </row>
    <row r="239">
      <c r="B239" s="11"/>
      <c r="C239" s="11"/>
      <c r="D239" s="11"/>
      <c r="E239" s="15"/>
      <c r="F239" s="11"/>
      <c r="G239" s="11"/>
      <c r="H239" s="11"/>
      <c r="I239" s="11"/>
      <c r="J239" s="12"/>
      <c r="K239" s="13"/>
      <c r="L239" s="12"/>
      <c r="M239" s="13"/>
      <c r="N239" s="13"/>
      <c r="O239" s="13"/>
    </row>
    <row r="240">
      <c r="B240" s="11"/>
      <c r="C240" s="11"/>
      <c r="D240" s="11"/>
      <c r="E240" s="15"/>
      <c r="F240" s="11"/>
      <c r="G240" s="11"/>
      <c r="H240" s="11"/>
      <c r="I240" s="11"/>
      <c r="J240" s="12"/>
      <c r="K240" s="13"/>
      <c r="L240" s="12"/>
      <c r="M240" s="13"/>
      <c r="N240" s="13"/>
      <c r="O240" s="13"/>
    </row>
    <row r="241">
      <c r="B241" s="11"/>
      <c r="C241" s="11"/>
      <c r="D241" s="11"/>
      <c r="E241" s="15"/>
      <c r="F241" s="11"/>
      <c r="G241" s="11"/>
      <c r="H241" s="11"/>
      <c r="I241" s="11"/>
      <c r="J241" s="12"/>
      <c r="K241" s="13"/>
      <c r="L241" s="12"/>
      <c r="M241" s="13"/>
      <c r="N241" s="13"/>
      <c r="O241" s="13"/>
    </row>
    <row r="242">
      <c r="B242" s="11"/>
      <c r="C242" s="11"/>
      <c r="D242" s="11"/>
      <c r="E242" s="15"/>
      <c r="F242" s="11"/>
      <c r="G242" s="11"/>
      <c r="H242" s="11"/>
      <c r="I242" s="11"/>
      <c r="J242" s="12"/>
      <c r="K242" s="13"/>
      <c r="L242" s="12"/>
      <c r="M242" s="13"/>
      <c r="N242" s="13"/>
      <c r="O242" s="13"/>
    </row>
    <row r="243">
      <c r="B243" s="11"/>
      <c r="C243" s="11"/>
      <c r="D243" s="11"/>
      <c r="E243" s="15"/>
      <c r="F243" s="11"/>
      <c r="G243" s="11"/>
      <c r="H243" s="11"/>
      <c r="I243" s="11"/>
      <c r="J243" s="12"/>
      <c r="K243" s="13"/>
      <c r="L243" s="12"/>
      <c r="M243" s="13"/>
      <c r="N243" s="13"/>
      <c r="O243" s="13"/>
    </row>
    <row r="244">
      <c r="B244" s="11"/>
      <c r="C244" s="11"/>
      <c r="D244" s="11"/>
      <c r="E244" s="15"/>
      <c r="F244" s="11"/>
      <c r="G244" s="11"/>
      <c r="H244" s="11"/>
      <c r="I244" s="11"/>
      <c r="J244" s="12"/>
      <c r="K244" s="13"/>
      <c r="L244" s="12"/>
      <c r="M244" s="13"/>
      <c r="N244" s="13"/>
      <c r="O244" s="13"/>
    </row>
    <row r="245">
      <c r="B245" s="11"/>
      <c r="C245" s="11"/>
      <c r="D245" s="11"/>
      <c r="E245" s="15"/>
      <c r="F245" s="11"/>
      <c r="G245" s="11"/>
      <c r="H245" s="11"/>
      <c r="I245" s="11"/>
      <c r="J245" s="12"/>
      <c r="K245" s="13"/>
      <c r="L245" s="12"/>
      <c r="M245" s="13"/>
      <c r="N245" s="13"/>
      <c r="O245" s="13"/>
    </row>
    <row r="246">
      <c r="B246" s="11"/>
      <c r="C246" s="11"/>
      <c r="D246" s="11"/>
      <c r="E246" s="15"/>
      <c r="F246" s="11"/>
      <c r="G246" s="11"/>
      <c r="H246" s="11"/>
      <c r="I246" s="11"/>
      <c r="J246" s="12"/>
      <c r="K246" s="13"/>
      <c r="L246" s="12"/>
      <c r="M246" s="13"/>
      <c r="N246" s="13"/>
      <c r="O246" s="13"/>
    </row>
    <row r="247">
      <c r="B247" s="11"/>
      <c r="C247" s="11"/>
      <c r="D247" s="11"/>
      <c r="E247" s="15"/>
      <c r="F247" s="11"/>
      <c r="G247" s="11"/>
      <c r="H247" s="11"/>
      <c r="I247" s="11"/>
      <c r="J247" s="12"/>
      <c r="K247" s="13"/>
      <c r="L247" s="12"/>
      <c r="M247" s="13"/>
      <c r="N247" s="13"/>
      <c r="O247" s="13"/>
    </row>
    <row r="248">
      <c r="B248" s="11"/>
      <c r="C248" s="11"/>
      <c r="D248" s="11"/>
      <c r="E248" s="15"/>
      <c r="F248" s="11"/>
      <c r="G248" s="11"/>
      <c r="H248" s="11"/>
      <c r="I248" s="11"/>
      <c r="J248" s="12"/>
      <c r="K248" s="13"/>
      <c r="L248" s="12"/>
      <c r="M248" s="13"/>
      <c r="N248" s="13"/>
      <c r="O248" s="13"/>
    </row>
    <row r="249">
      <c r="B249" s="11"/>
      <c r="C249" s="11"/>
      <c r="D249" s="11"/>
      <c r="E249" s="15"/>
      <c r="F249" s="11"/>
      <c r="G249" s="11"/>
      <c r="H249" s="11"/>
      <c r="I249" s="11"/>
      <c r="J249" s="12"/>
      <c r="K249" s="13"/>
      <c r="L249" s="12"/>
      <c r="M249" s="13"/>
      <c r="N249" s="13"/>
      <c r="O249" s="13"/>
    </row>
    <row r="250">
      <c r="B250" s="11"/>
      <c r="C250" s="11"/>
      <c r="D250" s="11"/>
      <c r="E250" s="15"/>
      <c r="F250" s="11"/>
      <c r="G250" s="11"/>
      <c r="H250" s="11"/>
      <c r="I250" s="11"/>
      <c r="J250" s="12"/>
      <c r="K250" s="13"/>
      <c r="L250" s="12"/>
      <c r="M250" s="13"/>
      <c r="N250" s="13"/>
      <c r="O250" s="13"/>
    </row>
    <row r="251">
      <c r="B251" s="11"/>
      <c r="C251" s="11"/>
      <c r="D251" s="11"/>
      <c r="E251" s="15"/>
      <c r="F251" s="11"/>
      <c r="G251" s="11"/>
      <c r="H251" s="11"/>
      <c r="I251" s="11"/>
      <c r="J251" s="12"/>
      <c r="K251" s="13"/>
      <c r="L251" s="12"/>
      <c r="M251" s="13"/>
      <c r="N251" s="13"/>
      <c r="O251" s="13"/>
    </row>
    <row r="252">
      <c r="B252" s="11"/>
      <c r="C252" s="11"/>
      <c r="D252" s="11"/>
      <c r="E252" s="15"/>
      <c r="F252" s="11"/>
      <c r="G252" s="11"/>
      <c r="H252" s="11"/>
      <c r="I252" s="11"/>
      <c r="J252" s="12"/>
      <c r="K252" s="13"/>
      <c r="L252" s="12"/>
      <c r="M252" s="13"/>
      <c r="N252" s="13"/>
      <c r="O252" s="13"/>
    </row>
    <row r="253">
      <c r="B253" s="11"/>
      <c r="C253" s="11"/>
      <c r="D253" s="11"/>
      <c r="E253" s="15"/>
      <c r="F253" s="11"/>
      <c r="G253" s="11"/>
      <c r="H253" s="11"/>
      <c r="I253" s="11"/>
      <c r="J253" s="12"/>
      <c r="K253" s="13"/>
      <c r="L253" s="12"/>
      <c r="M253" s="13"/>
      <c r="N253" s="13"/>
      <c r="O253" s="13"/>
    </row>
    <row r="254">
      <c r="B254" s="11"/>
      <c r="C254" s="11"/>
      <c r="D254" s="11"/>
      <c r="E254" s="15"/>
      <c r="F254" s="11"/>
      <c r="G254" s="11"/>
      <c r="H254" s="11"/>
      <c r="I254" s="11"/>
      <c r="J254" s="12"/>
      <c r="K254" s="13"/>
      <c r="L254" s="12"/>
      <c r="M254" s="13"/>
      <c r="N254" s="13"/>
      <c r="O254" s="13"/>
    </row>
    <row r="255">
      <c r="B255" s="11"/>
      <c r="C255" s="11"/>
      <c r="D255" s="11"/>
      <c r="E255" s="15"/>
      <c r="F255" s="11"/>
      <c r="G255" s="11"/>
      <c r="H255" s="11"/>
      <c r="I255" s="11"/>
      <c r="J255" s="12"/>
      <c r="K255" s="13"/>
      <c r="L255" s="12"/>
      <c r="M255" s="13"/>
      <c r="N255" s="13"/>
      <c r="O255" s="13"/>
    </row>
    <row r="256">
      <c r="B256" s="11"/>
      <c r="C256" s="11"/>
      <c r="D256" s="11"/>
      <c r="E256" s="15"/>
      <c r="F256" s="11"/>
      <c r="G256" s="11"/>
      <c r="H256" s="11"/>
      <c r="I256" s="11"/>
      <c r="J256" s="12"/>
      <c r="K256" s="13"/>
      <c r="L256" s="12"/>
      <c r="M256" s="13"/>
      <c r="N256" s="13"/>
      <c r="O256" s="13"/>
    </row>
    <row r="257">
      <c r="B257" s="11"/>
      <c r="C257" s="11"/>
      <c r="D257" s="11"/>
      <c r="E257" s="15"/>
      <c r="F257" s="11"/>
      <c r="G257" s="11"/>
      <c r="H257" s="11"/>
      <c r="I257" s="11"/>
      <c r="J257" s="12"/>
      <c r="K257" s="13"/>
      <c r="L257" s="12"/>
      <c r="M257" s="13"/>
      <c r="N257" s="13"/>
      <c r="O257" s="13"/>
    </row>
    <row r="258">
      <c r="B258" s="11"/>
      <c r="C258" s="11"/>
      <c r="D258" s="11"/>
      <c r="E258" s="15"/>
      <c r="F258" s="11"/>
      <c r="G258" s="11"/>
      <c r="H258" s="11"/>
      <c r="I258" s="11"/>
      <c r="J258" s="12"/>
      <c r="K258" s="13"/>
      <c r="L258" s="12"/>
      <c r="M258" s="13"/>
      <c r="N258" s="13"/>
      <c r="O258" s="13"/>
    </row>
    <row r="259">
      <c r="B259" s="11"/>
      <c r="C259" s="11"/>
      <c r="D259" s="11"/>
      <c r="E259" s="15"/>
      <c r="F259" s="11"/>
      <c r="G259" s="11"/>
      <c r="H259" s="11"/>
      <c r="I259" s="11"/>
      <c r="J259" s="12"/>
      <c r="K259" s="13"/>
      <c r="L259" s="12"/>
      <c r="M259" s="13"/>
      <c r="N259" s="13"/>
      <c r="O259" s="13"/>
    </row>
    <row r="260">
      <c r="B260" s="11"/>
      <c r="C260" s="11"/>
      <c r="D260" s="11"/>
      <c r="E260" s="15"/>
      <c r="F260" s="11"/>
      <c r="G260" s="11"/>
      <c r="H260" s="11"/>
      <c r="I260" s="11"/>
      <c r="J260" s="12"/>
      <c r="K260" s="13"/>
      <c r="L260" s="12"/>
      <c r="M260" s="13"/>
      <c r="N260" s="13"/>
      <c r="O260" s="13"/>
    </row>
    <row r="261">
      <c r="B261" s="11"/>
      <c r="C261" s="11"/>
      <c r="D261" s="11"/>
      <c r="E261" s="15"/>
      <c r="F261" s="11"/>
      <c r="G261" s="11"/>
      <c r="H261" s="11"/>
      <c r="I261" s="11"/>
      <c r="J261" s="12"/>
      <c r="K261" s="13"/>
      <c r="L261" s="12"/>
      <c r="M261" s="13"/>
      <c r="N261" s="13"/>
      <c r="O261" s="13"/>
    </row>
    <row r="262">
      <c r="B262" s="11"/>
      <c r="C262" s="11"/>
      <c r="D262" s="11"/>
      <c r="E262" s="15"/>
      <c r="F262" s="11"/>
      <c r="G262" s="11"/>
      <c r="H262" s="11"/>
      <c r="I262" s="11"/>
      <c r="J262" s="12"/>
      <c r="K262" s="13"/>
      <c r="L262" s="12"/>
      <c r="M262" s="13"/>
      <c r="N262" s="13"/>
      <c r="O262" s="13"/>
    </row>
    <row r="263">
      <c r="B263" s="11"/>
      <c r="C263" s="11"/>
      <c r="D263" s="11"/>
      <c r="E263" s="15"/>
      <c r="F263" s="11"/>
      <c r="G263" s="11"/>
      <c r="H263" s="11"/>
      <c r="I263" s="11"/>
      <c r="J263" s="12"/>
      <c r="K263" s="13"/>
      <c r="L263" s="12"/>
      <c r="M263" s="13"/>
      <c r="N263" s="13"/>
      <c r="O263" s="13"/>
    </row>
    <row r="264">
      <c r="B264" s="11"/>
      <c r="C264" s="11"/>
      <c r="D264" s="11"/>
      <c r="E264" s="15"/>
      <c r="F264" s="11"/>
      <c r="G264" s="11"/>
      <c r="H264" s="11"/>
      <c r="I264" s="11"/>
      <c r="J264" s="12"/>
      <c r="K264" s="13"/>
      <c r="L264" s="12"/>
      <c r="M264" s="13"/>
      <c r="N264" s="13"/>
      <c r="O264" s="13"/>
    </row>
    <row r="265">
      <c r="B265" s="11"/>
      <c r="C265" s="11"/>
      <c r="D265" s="11"/>
      <c r="E265" s="15"/>
      <c r="F265" s="11"/>
      <c r="G265" s="11"/>
      <c r="H265" s="11"/>
      <c r="I265" s="11"/>
      <c r="J265" s="12"/>
      <c r="K265" s="13"/>
      <c r="L265" s="12"/>
      <c r="M265" s="13"/>
      <c r="N265" s="13"/>
      <c r="O265" s="13"/>
    </row>
    <row r="266">
      <c r="B266" s="11"/>
      <c r="C266" s="11"/>
      <c r="D266" s="11"/>
      <c r="E266" s="15"/>
      <c r="F266" s="11"/>
      <c r="G266" s="11"/>
      <c r="H266" s="11"/>
      <c r="I266" s="11"/>
      <c r="J266" s="12"/>
      <c r="K266" s="13"/>
      <c r="L266" s="12"/>
      <c r="M266" s="13"/>
      <c r="N266" s="13"/>
      <c r="O266" s="13"/>
    </row>
    <row r="267">
      <c r="B267" s="11"/>
      <c r="C267" s="11"/>
      <c r="D267" s="11"/>
      <c r="E267" s="15"/>
      <c r="F267" s="11"/>
      <c r="G267" s="11"/>
      <c r="H267" s="11"/>
      <c r="I267" s="11"/>
      <c r="J267" s="12"/>
      <c r="K267" s="13"/>
      <c r="L267" s="12"/>
      <c r="M267" s="13"/>
      <c r="N267" s="13"/>
      <c r="O267" s="13"/>
    </row>
    <row r="268">
      <c r="B268" s="11"/>
      <c r="C268" s="11"/>
      <c r="D268" s="11"/>
      <c r="E268" s="15"/>
      <c r="F268" s="11"/>
      <c r="G268" s="11"/>
      <c r="H268" s="11"/>
      <c r="I268" s="11"/>
      <c r="J268" s="12"/>
      <c r="K268" s="13"/>
      <c r="L268" s="12"/>
      <c r="M268" s="13"/>
      <c r="N268" s="13"/>
      <c r="O268" s="13"/>
    </row>
    <row r="269">
      <c r="B269" s="11"/>
      <c r="C269" s="11"/>
      <c r="D269" s="11"/>
      <c r="E269" s="15"/>
      <c r="F269" s="11"/>
      <c r="G269" s="11"/>
      <c r="H269" s="11"/>
      <c r="I269" s="11"/>
      <c r="J269" s="12"/>
      <c r="K269" s="13"/>
      <c r="L269" s="12"/>
      <c r="M269" s="13"/>
      <c r="N269" s="13"/>
      <c r="O269" s="13"/>
    </row>
    <row r="270">
      <c r="B270" s="11"/>
      <c r="C270" s="11"/>
      <c r="D270" s="11"/>
      <c r="E270" s="15"/>
      <c r="F270" s="11"/>
      <c r="G270" s="11"/>
      <c r="H270" s="11"/>
      <c r="I270" s="11"/>
      <c r="J270" s="12"/>
      <c r="K270" s="13"/>
      <c r="L270" s="12"/>
      <c r="M270" s="13"/>
      <c r="N270" s="13"/>
      <c r="O270" s="13"/>
    </row>
    <row r="271">
      <c r="B271" s="11"/>
      <c r="C271" s="11"/>
      <c r="D271" s="11"/>
      <c r="E271" s="15"/>
      <c r="F271" s="11"/>
      <c r="G271" s="11"/>
      <c r="H271" s="11"/>
      <c r="I271" s="11"/>
      <c r="J271" s="12"/>
      <c r="K271" s="13"/>
      <c r="L271" s="12"/>
      <c r="M271" s="13"/>
      <c r="N271" s="13"/>
      <c r="O271" s="13"/>
    </row>
    <row r="272">
      <c r="B272" s="11"/>
      <c r="C272" s="11"/>
      <c r="D272" s="11"/>
      <c r="E272" s="15"/>
      <c r="F272" s="11"/>
      <c r="G272" s="11"/>
      <c r="H272" s="11"/>
      <c r="I272" s="11"/>
      <c r="J272" s="12"/>
      <c r="K272" s="13"/>
      <c r="L272" s="12"/>
      <c r="M272" s="13"/>
      <c r="N272" s="13"/>
      <c r="O272" s="13"/>
    </row>
    <row r="273">
      <c r="B273" s="11"/>
      <c r="C273" s="11"/>
      <c r="D273" s="11"/>
      <c r="E273" s="15"/>
      <c r="F273" s="11"/>
      <c r="G273" s="11"/>
      <c r="H273" s="11"/>
      <c r="I273" s="11"/>
      <c r="J273" s="12"/>
      <c r="K273" s="13"/>
      <c r="L273" s="12"/>
      <c r="M273" s="13"/>
      <c r="N273" s="13"/>
      <c r="O273" s="13"/>
    </row>
    <row r="274">
      <c r="B274" s="11"/>
      <c r="C274" s="11"/>
      <c r="D274" s="11"/>
      <c r="E274" s="15"/>
      <c r="F274" s="11"/>
      <c r="G274" s="11"/>
      <c r="H274" s="11"/>
      <c r="I274" s="11"/>
      <c r="J274" s="12"/>
      <c r="K274" s="13"/>
      <c r="L274" s="12"/>
      <c r="M274" s="13"/>
      <c r="N274" s="13"/>
      <c r="O274" s="13"/>
    </row>
    <row r="275">
      <c r="B275" s="11"/>
      <c r="C275" s="11"/>
      <c r="D275" s="11"/>
      <c r="E275" s="15"/>
      <c r="F275" s="11"/>
      <c r="G275" s="11"/>
      <c r="H275" s="11"/>
      <c r="I275" s="11"/>
      <c r="J275" s="12"/>
      <c r="K275" s="13"/>
      <c r="L275" s="12"/>
      <c r="M275" s="13"/>
      <c r="N275" s="13"/>
      <c r="O275" s="13"/>
    </row>
    <row r="276">
      <c r="B276" s="11"/>
      <c r="C276" s="11"/>
      <c r="D276" s="11"/>
      <c r="E276" s="15"/>
      <c r="F276" s="11"/>
      <c r="G276" s="11"/>
      <c r="H276" s="11"/>
      <c r="I276" s="11"/>
      <c r="J276" s="12"/>
      <c r="K276" s="13"/>
      <c r="L276" s="12"/>
      <c r="M276" s="13"/>
      <c r="N276" s="13"/>
      <c r="O276" s="13"/>
    </row>
    <row r="277">
      <c r="B277" s="11"/>
      <c r="C277" s="11"/>
      <c r="D277" s="11"/>
      <c r="E277" s="15"/>
      <c r="F277" s="11"/>
      <c r="G277" s="11"/>
      <c r="H277" s="11"/>
      <c r="I277" s="11"/>
      <c r="J277" s="12"/>
      <c r="K277" s="13"/>
      <c r="L277" s="12"/>
      <c r="M277" s="13"/>
      <c r="N277" s="13"/>
      <c r="O277" s="13"/>
    </row>
    <row r="278">
      <c r="B278" s="11"/>
      <c r="C278" s="11"/>
      <c r="D278" s="11"/>
      <c r="E278" s="15"/>
      <c r="F278" s="11"/>
      <c r="G278" s="11"/>
      <c r="H278" s="11"/>
      <c r="I278" s="11"/>
      <c r="J278" s="12"/>
      <c r="K278" s="13"/>
      <c r="L278" s="12"/>
      <c r="M278" s="13"/>
      <c r="N278" s="13"/>
      <c r="O278" s="13"/>
    </row>
    <row r="279">
      <c r="B279" s="11"/>
      <c r="C279" s="11"/>
      <c r="D279" s="11"/>
      <c r="E279" s="15"/>
      <c r="F279" s="11"/>
      <c r="G279" s="11"/>
      <c r="H279" s="11"/>
      <c r="I279" s="11"/>
      <c r="J279" s="12"/>
      <c r="K279" s="13"/>
      <c r="L279" s="12"/>
      <c r="M279" s="13"/>
      <c r="N279" s="13"/>
      <c r="O279" s="13"/>
    </row>
    <row r="280">
      <c r="B280" s="11"/>
      <c r="C280" s="11"/>
      <c r="D280" s="11"/>
      <c r="E280" s="15"/>
      <c r="F280" s="11"/>
      <c r="G280" s="11"/>
      <c r="H280" s="11"/>
      <c r="I280" s="11"/>
      <c r="J280" s="12"/>
      <c r="K280" s="13"/>
      <c r="L280" s="12"/>
      <c r="M280" s="13"/>
      <c r="N280" s="13"/>
      <c r="O280" s="13"/>
    </row>
    <row r="281">
      <c r="B281" s="11"/>
      <c r="C281" s="11"/>
      <c r="D281" s="11"/>
      <c r="E281" s="15"/>
      <c r="F281" s="11"/>
      <c r="G281" s="11"/>
      <c r="H281" s="11"/>
      <c r="I281" s="11"/>
      <c r="J281" s="12"/>
      <c r="K281" s="13"/>
      <c r="L281" s="12"/>
      <c r="M281" s="13"/>
      <c r="N281" s="13"/>
      <c r="O281" s="13"/>
    </row>
    <row r="282">
      <c r="B282" s="11"/>
      <c r="C282" s="11"/>
      <c r="D282" s="11"/>
      <c r="E282" s="15"/>
      <c r="F282" s="11"/>
      <c r="G282" s="11"/>
      <c r="H282" s="11"/>
      <c r="I282" s="11"/>
      <c r="J282" s="12"/>
      <c r="K282" s="13"/>
      <c r="L282" s="12"/>
      <c r="M282" s="13"/>
      <c r="N282" s="13"/>
      <c r="O282" s="13"/>
    </row>
    <row r="283">
      <c r="B283" s="11"/>
      <c r="C283" s="11"/>
      <c r="D283" s="11"/>
      <c r="E283" s="15"/>
      <c r="F283" s="11"/>
      <c r="G283" s="11"/>
      <c r="H283" s="11"/>
      <c r="I283" s="11"/>
      <c r="J283" s="12"/>
      <c r="K283" s="13"/>
      <c r="L283" s="12"/>
      <c r="M283" s="13"/>
      <c r="N283" s="13"/>
      <c r="O283" s="13"/>
    </row>
    <row r="284">
      <c r="B284" s="11"/>
      <c r="C284" s="11"/>
      <c r="D284" s="11"/>
      <c r="E284" s="15"/>
      <c r="F284" s="11"/>
      <c r="G284" s="11"/>
      <c r="H284" s="11"/>
      <c r="I284" s="11"/>
      <c r="J284" s="12"/>
      <c r="K284" s="13"/>
      <c r="L284" s="12"/>
      <c r="M284" s="13"/>
      <c r="N284" s="13"/>
      <c r="O284" s="13"/>
    </row>
    <row r="285">
      <c r="B285" s="11"/>
      <c r="C285" s="11"/>
      <c r="D285" s="11"/>
      <c r="E285" s="15"/>
      <c r="F285" s="11"/>
      <c r="G285" s="11"/>
      <c r="H285" s="11"/>
      <c r="I285" s="11"/>
      <c r="J285" s="12"/>
      <c r="K285" s="13"/>
      <c r="L285" s="12"/>
      <c r="M285" s="13"/>
      <c r="N285" s="13"/>
      <c r="O285" s="13"/>
    </row>
    <row r="286">
      <c r="B286" s="11"/>
      <c r="C286" s="11"/>
      <c r="D286" s="11"/>
      <c r="E286" s="15"/>
      <c r="F286" s="11"/>
      <c r="G286" s="11"/>
      <c r="H286" s="11"/>
      <c r="I286" s="11"/>
      <c r="J286" s="12"/>
      <c r="K286" s="13"/>
      <c r="L286" s="12"/>
      <c r="M286" s="13"/>
      <c r="N286" s="13"/>
      <c r="O286" s="13"/>
    </row>
    <row r="287">
      <c r="B287" s="11"/>
      <c r="C287" s="11"/>
      <c r="D287" s="11"/>
      <c r="E287" s="15"/>
      <c r="F287" s="11"/>
      <c r="G287" s="11"/>
      <c r="H287" s="11"/>
      <c r="I287" s="11"/>
      <c r="J287" s="12"/>
      <c r="K287" s="13"/>
      <c r="L287" s="12"/>
      <c r="M287" s="13"/>
      <c r="N287" s="13"/>
      <c r="O287" s="13"/>
    </row>
    <row r="288">
      <c r="B288" s="11"/>
      <c r="C288" s="11"/>
      <c r="D288" s="11"/>
      <c r="E288" s="15"/>
      <c r="F288" s="11"/>
      <c r="G288" s="11"/>
      <c r="H288" s="11"/>
      <c r="I288" s="11"/>
      <c r="J288" s="12"/>
      <c r="K288" s="13"/>
      <c r="L288" s="12"/>
      <c r="M288" s="13"/>
      <c r="N288" s="13"/>
      <c r="O288" s="13"/>
    </row>
    <row r="289">
      <c r="B289" s="11"/>
      <c r="C289" s="11"/>
      <c r="D289" s="11"/>
      <c r="E289" s="15"/>
      <c r="F289" s="11"/>
      <c r="G289" s="11"/>
      <c r="H289" s="11"/>
      <c r="I289" s="11"/>
      <c r="J289" s="12"/>
      <c r="K289" s="13"/>
      <c r="L289" s="12"/>
      <c r="M289" s="13"/>
      <c r="N289" s="13"/>
      <c r="O289" s="13"/>
    </row>
    <row r="290">
      <c r="B290" s="11"/>
      <c r="C290" s="11"/>
      <c r="D290" s="11"/>
      <c r="E290" s="15"/>
      <c r="F290" s="11"/>
      <c r="G290" s="11"/>
      <c r="H290" s="11"/>
      <c r="I290" s="11"/>
      <c r="J290" s="12"/>
      <c r="K290" s="13"/>
      <c r="L290" s="12"/>
      <c r="M290" s="13"/>
      <c r="N290" s="13"/>
      <c r="O290" s="13"/>
    </row>
    <row r="291">
      <c r="B291" s="11"/>
      <c r="C291" s="11"/>
      <c r="D291" s="11"/>
      <c r="E291" s="15"/>
      <c r="F291" s="11"/>
      <c r="G291" s="11"/>
      <c r="H291" s="11"/>
      <c r="I291" s="11"/>
      <c r="J291" s="12"/>
      <c r="K291" s="13"/>
      <c r="L291" s="12"/>
      <c r="M291" s="13"/>
      <c r="N291" s="13"/>
      <c r="O291" s="13"/>
    </row>
    <row r="292">
      <c r="B292" s="11"/>
      <c r="C292" s="11"/>
      <c r="D292" s="11"/>
      <c r="E292" s="15"/>
      <c r="F292" s="11"/>
      <c r="G292" s="11"/>
      <c r="H292" s="11"/>
      <c r="I292" s="11"/>
      <c r="J292" s="12"/>
      <c r="K292" s="13"/>
      <c r="L292" s="12"/>
      <c r="M292" s="13"/>
      <c r="N292" s="13"/>
      <c r="O292" s="13"/>
    </row>
    <row r="293">
      <c r="B293" s="11"/>
      <c r="C293" s="11"/>
      <c r="D293" s="11"/>
      <c r="E293" s="15"/>
      <c r="F293" s="11"/>
      <c r="G293" s="11"/>
      <c r="H293" s="11"/>
      <c r="I293" s="11"/>
      <c r="J293" s="12"/>
      <c r="K293" s="13"/>
      <c r="L293" s="12"/>
      <c r="M293" s="13"/>
      <c r="N293" s="13"/>
      <c r="O293" s="13"/>
    </row>
    <row r="294">
      <c r="B294" s="11"/>
      <c r="C294" s="11"/>
      <c r="D294" s="11"/>
      <c r="E294" s="15"/>
      <c r="F294" s="11"/>
      <c r="G294" s="11"/>
      <c r="H294" s="11"/>
      <c r="I294" s="11"/>
      <c r="J294" s="12"/>
      <c r="K294" s="13"/>
      <c r="L294" s="12"/>
      <c r="M294" s="13"/>
      <c r="N294" s="13"/>
      <c r="O294" s="13"/>
    </row>
    <row r="295">
      <c r="B295" s="11"/>
      <c r="C295" s="11"/>
      <c r="D295" s="11"/>
      <c r="E295" s="15"/>
      <c r="F295" s="11"/>
      <c r="G295" s="11"/>
      <c r="H295" s="11"/>
      <c r="I295" s="11"/>
      <c r="J295" s="12"/>
      <c r="K295" s="13"/>
      <c r="L295" s="12"/>
      <c r="M295" s="13"/>
      <c r="N295" s="13"/>
      <c r="O295" s="13"/>
    </row>
    <row r="296">
      <c r="B296" s="11"/>
      <c r="C296" s="11"/>
      <c r="D296" s="11"/>
      <c r="E296" s="15"/>
      <c r="F296" s="11"/>
      <c r="G296" s="11"/>
      <c r="H296" s="11"/>
      <c r="I296" s="11"/>
      <c r="J296" s="12"/>
      <c r="K296" s="13"/>
      <c r="L296" s="12"/>
      <c r="M296" s="13"/>
      <c r="N296" s="13"/>
      <c r="O296" s="13"/>
    </row>
    <row r="297">
      <c r="B297" s="11"/>
      <c r="C297" s="11"/>
      <c r="D297" s="11"/>
      <c r="E297" s="15"/>
      <c r="F297" s="11"/>
      <c r="G297" s="11"/>
      <c r="H297" s="11"/>
      <c r="I297" s="11"/>
      <c r="J297" s="12"/>
      <c r="K297" s="13"/>
      <c r="L297" s="12"/>
      <c r="M297" s="13"/>
      <c r="N297" s="13"/>
      <c r="O297" s="13"/>
    </row>
    <row r="298">
      <c r="B298" s="11"/>
      <c r="C298" s="11"/>
      <c r="D298" s="11"/>
      <c r="E298" s="15"/>
      <c r="F298" s="11"/>
      <c r="G298" s="11"/>
      <c r="H298" s="11"/>
      <c r="I298" s="11"/>
      <c r="J298" s="12"/>
      <c r="K298" s="13"/>
      <c r="L298" s="12"/>
      <c r="M298" s="13"/>
      <c r="N298" s="13"/>
      <c r="O298" s="13"/>
    </row>
    <row r="299">
      <c r="B299" s="11"/>
      <c r="C299" s="11"/>
      <c r="D299" s="11"/>
      <c r="E299" s="15"/>
      <c r="F299" s="11"/>
      <c r="G299" s="11"/>
      <c r="H299" s="11"/>
      <c r="I299" s="11"/>
      <c r="J299" s="12"/>
      <c r="K299" s="13"/>
      <c r="L299" s="12"/>
      <c r="M299" s="13"/>
      <c r="N299" s="13"/>
      <c r="O299" s="13"/>
    </row>
    <row r="300">
      <c r="B300" s="11"/>
      <c r="C300" s="11"/>
      <c r="D300" s="11"/>
      <c r="E300" s="15"/>
      <c r="F300" s="11"/>
      <c r="G300" s="11"/>
      <c r="H300" s="11"/>
      <c r="I300" s="11"/>
      <c r="J300" s="12"/>
      <c r="K300" s="13"/>
      <c r="L300" s="12"/>
      <c r="M300" s="13"/>
      <c r="N300" s="13"/>
      <c r="O300" s="13"/>
    </row>
    <row r="301">
      <c r="B301" s="11"/>
      <c r="C301" s="11"/>
      <c r="D301" s="11"/>
      <c r="E301" s="15"/>
      <c r="F301" s="11"/>
      <c r="G301" s="11"/>
      <c r="H301" s="11"/>
      <c r="I301" s="11"/>
      <c r="J301" s="12"/>
      <c r="K301" s="13"/>
      <c r="L301" s="12"/>
      <c r="M301" s="13"/>
      <c r="N301" s="13"/>
      <c r="O301" s="13"/>
    </row>
    <row r="302">
      <c r="B302" s="11"/>
      <c r="C302" s="11"/>
      <c r="D302" s="11"/>
      <c r="E302" s="15"/>
      <c r="F302" s="11"/>
      <c r="G302" s="11"/>
      <c r="H302" s="11"/>
      <c r="I302" s="11"/>
      <c r="J302" s="12"/>
      <c r="K302" s="13"/>
      <c r="L302" s="12"/>
      <c r="M302" s="13"/>
      <c r="N302" s="13"/>
      <c r="O302" s="13"/>
    </row>
    <row r="303">
      <c r="B303" s="11"/>
      <c r="C303" s="11"/>
      <c r="D303" s="11"/>
      <c r="E303" s="15"/>
      <c r="F303" s="11"/>
      <c r="G303" s="11"/>
      <c r="H303" s="11"/>
      <c r="I303" s="11"/>
      <c r="J303" s="12"/>
      <c r="K303" s="13"/>
      <c r="L303" s="12"/>
      <c r="M303" s="13"/>
      <c r="N303" s="13"/>
      <c r="O303" s="13"/>
    </row>
    <row r="304">
      <c r="B304" s="11"/>
      <c r="C304" s="11"/>
      <c r="D304" s="11"/>
      <c r="E304" s="15"/>
      <c r="F304" s="11"/>
      <c r="G304" s="11"/>
      <c r="H304" s="11"/>
      <c r="I304" s="11"/>
      <c r="J304" s="12"/>
      <c r="K304" s="13"/>
      <c r="L304" s="12"/>
      <c r="M304" s="13"/>
      <c r="N304" s="13"/>
      <c r="O304" s="13"/>
    </row>
    <row r="305">
      <c r="B305" s="11"/>
      <c r="C305" s="11"/>
      <c r="D305" s="11"/>
      <c r="E305" s="15"/>
      <c r="F305" s="11"/>
      <c r="G305" s="11"/>
      <c r="H305" s="11"/>
      <c r="I305" s="11"/>
      <c r="J305" s="12"/>
      <c r="K305" s="13"/>
      <c r="L305" s="12"/>
      <c r="M305" s="13"/>
      <c r="N305" s="13"/>
      <c r="O305" s="13"/>
    </row>
    <row r="306">
      <c r="B306" s="11"/>
      <c r="C306" s="11"/>
      <c r="D306" s="11"/>
      <c r="E306" s="15"/>
      <c r="F306" s="11"/>
      <c r="G306" s="11"/>
      <c r="H306" s="11"/>
      <c r="I306" s="11"/>
      <c r="J306" s="12"/>
      <c r="K306" s="13"/>
      <c r="L306" s="12"/>
      <c r="M306" s="13"/>
      <c r="N306" s="13"/>
      <c r="O306" s="13"/>
    </row>
    <row r="307">
      <c r="B307" s="11"/>
      <c r="C307" s="11"/>
      <c r="D307" s="11"/>
      <c r="E307" s="15"/>
      <c r="F307" s="11"/>
      <c r="G307" s="11"/>
      <c r="H307" s="11"/>
      <c r="I307" s="11"/>
      <c r="J307" s="12"/>
      <c r="K307" s="13"/>
      <c r="L307" s="12"/>
      <c r="M307" s="13"/>
      <c r="N307" s="13"/>
      <c r="O307" s="13"/>
    </row>
    <row r="308">
      <c r="B308" s="11"/>
      <c r="C308" s="11"/>
      <c r="D308" s="11"/>
      <c r="E308" s="15"/>
      <c r="F308" s="11"/>
      <c r="G308" s="11"/>
      <c r="H308" s="11"/>
      <c r="I308" s="11"/>
      <c r="J308" s="12"/>
      <c r="K308" s="13"/>
      <c r="L308" s="12"/>
      <c r="M308" s="13"/>
      <c r="N308" s="13"/>
      <c r="O308" s="13"/>
    </row>
    <row r="309">
      <c r="B309" s="11"/>
      <c r="C309" s="11"/>
      <c r="D309" s="11"/>
      <c r="E309" s="15"/>
      <c r="F309" s="11"/>
      <c r="G309" s="11"/>
      <c r="H309" s="11"/>
      <c r="I309" s="11"/>
      <c r="J309" s="12"/>
      <c r="K309" s="13"/>
      <c r="L309" s="12"/>
      <c r="M309" s="13"/>
      <c r="N309" s="13"/>
      <c r="O309" s="13"/>
    </row>
    <row r="310">
      <c r="B310" s="11"/>
      <c r="C310" s="11"/>
      <c r="D310" s="11"/>
      <c r="E310" s="15"/>
      <c r="F310" s="11"/>
      <c r="G310" s="11"/>
      <c r="H310" s="11"/>
      <c r="I310" s="11"/>
      <c r="J310" s="12"/>
      <c r="K310" s="13"/>
      <c r="L310" s="12"/>
      <c r="M310" s="13"/>
      <c r="N310" s="13"/>
      <c r="O310" s="13"/>
    </row>
    <row r="311">
      <c r="B311" s="11"/>
      <c r="C311" s="11"/>
      <c r="D311" s="11"/>
      <c r="E311" s="15"/>
      <c r="F311" s="11"/>
      <c r="G311" s="11"/>
      <c r="H311" s="11"/>
      <c r="I311" s="11"/>
      <c r="J311" s="12"/>
      <c r="K311" s="13"/>
      <c r="L311" s="12"/>
      <c r="M311" s="13"/>
      <c r="N311" s="13"/>
      <c r="O311" s="13"/>
    </row>
    <row r="312">
      <c r="B312" s="11"/>
      <c r="C312" s="11"/>
      <c r="D312" s="11"/>
      <c r="E312" s="15"/>
      <c r="F312" s="11"/>
      <c r="G312" s="11"/>
      <c r="H312" s="11"/>
      <c r="I312" s="11"/>
      <c r="J312" s="12"/>
      <c r="K312" s="13"/>
      <c r="L312" s="12"/>
      <c r="M312" s="13"/>
      <c r="N312" s="13"/>
      <c r="O312" s="13"/>
    </row>
    <row r="313">
      <c r="B313" s="11"/>
      <c r="C313" s="11"/>
      <c r="D313" s="11"/>
      <c r="E313" s="15"/>
      <c r="F313" s="11"/>
      <c r="G313" s="11"/>
      <c r="H313" s="11"/>
      <c r="I313" s="11"/>
      <c r="J313" s="12"/>
      <c r="K313" s="13"/>
      <c r="L313" s="12"/>
      <c r="M313" s="13"/>
      <c r="N313" s="13"/>
      <c r="O313" s="13"/>
    </row>
    <row r="314">
      <c r="B314" s="11"/>
      <c r="C314" s="11"/>
      <c r="D314" s="11"/>
      <c r="E314" s="15"/>
      <c r="F314" s="11"/>
      <c r="G314" s="11"/>
      <c r="H314" s="11"/>
      <c r="I314" s="11"/>
      <c r="J314" s="12"/>
      <c r="K314" s="13"/>
      <c r="L314" s="12"/>
      <c r="M314" s="13"/>
      <c r="N314" s="13"/>
      <c r="O314" s="13"/>
    </row>
    <row r="315">
      <c r="B315" s="11"/>
      <c r="C315" s="11"/>
      <c r="D315" s="11"/>
      <c r="E315" s="15"/>
      <c r="F315" s="11"/>
      <c r="G315" s="11"/>
      <c r="H315" s="11"/>
      <c r="I315" s="11"/>
      <c r="J315" s="12"/>
      <c r="K315" s="13"/>
      <c r="L315" s="12"/>
      <c r="M315" s="13"/>
      <c r="N315" s="13"/>
      <c r="O315" s="13"/>
    </row>
    <row r="316">
      <c r="B316" s="11"/>
      <c r="C316" s="11"/>
      <c r="D316" s="11"/>
      <c r="E316" s="15"/>
      <c r="F316" s="11"/>
      <c r="G316" s="11"/>
      <c r="H316" s="11"/>
      <c r="I316" s="11"/>
      <c r="J316" s="12"/>
      <c r="K316" s="13"/>
      <c r="L316" s="12"/>
      <c r="M316" s="13"/>
      <c r="N316" s="13"/>
      <c r="O316" s="13"/>
    </row>
    <row r="317">
      <c r="B317" s="11"/>
      <c r="C317" s="11"/>
      <c r="D317" s="11"/>
      <c r="E317" s="15"/>
      <c r="F317" s="11"/>
      <c r="G317" s="11"/>
      <c r="H317" s="11"/>
      <c r="I317" s="11"/>
      <c r="J317" s="12"/>
      <c r="K317" s="13"/>
      <c r="L317" s="12"/>
      <c r="M317" s="13"/>
      <c r="N317" s="13"/>
      <c r="O317" s="13"/>
    </row>
    <row r="318">
      <c r="B318" s="11"/>
      <c r="C318" s="11"/>
      <c r="D318" s="11"/>
      <c r="E318" s="15"/>
      <c r="F318" s="11"/>
      <c r="G318" s="11"/>
      <c r="H318" s="11"/>
      <c r="I318" s="11"/>
      <c r="J318" s="12"/>
      <c r="K318" s="13"/>
      <c r="L318" s="12"/>
      <c r="M318" s="13"/>
      <c r="N318" s="13"/>
      <c r="O318" s="13"/>
    </row>
    <row r="319">
      <c r="B319" s="11"/>
      <c r="C319" s="11"/>
      <c r="D319" s="11"/>
      <c r="E319" s="15"/>
      <c r="F319" s="11"/>
      <c r="G319" s="11"/>
      <c r="H319" s="11"/>
      <c r="I319" s="11"/>
      <c r="J319" s="12"/>
      <c r="K319" s="13"/>
      <c r="L319" s="12"/>
      <c r="M319" s="13"/>
      <c r="N319" s="13"/>
      <c r="O319" s="13"/>
    </row>
    <row r="320">
      <c r="B320" s="11"/>
      <c r="C320" s="11"/>
      <c r="D320" s="11"/>
      <c r="E320" s="15"/>
      <c r="F320" s="11"/>
      <c r="G320" s="11"/>
      <c r="H320" s="11"/>
      <c r="I320" s="11"/>
      <c r="J320" s="12"/>
      <c r="K320" s="13"/>
      <c r="L320" s="12"/>
      <c r="M320" s="13"/>
      <c r="N320" s="13"/>
      <c r="O320" s="13"/>
    </row>
    <row r="321">
      <c r="B321" s="11"/>
      <c r="C321" s="11"/>
      <c r="D321" s="11"/>
      <c r="E321" s="15"/>
      <c r="F321" s="11"/>
      <c r="G321" s="11"/>
      <c r="H321" s="11"/>
      <c r="I321" s="11"/>
      <c r="J321" s="12"/>
      <c r="K321" s="13"/>
      <c r="L321" s="12"/>
      <c r="M321" s="13"/>
      <c r="N321" s="13"/>
      <c r="O321" s="13"/>
    </row>
    <row r="322">
      <c r="B322" s="11"/>
      <c r="C322" s="11"/>
      <c r="D322" s="11"/>
      <c r="E322" s="15"/>
      <c r="F322" s="11"/>
      <c r="G322" s="11"/>
      <c r="H322" s="11"/>
      <c r="I322" s="11"/>
      <c r="J322" s="12"/>
      <c r="K322" s="13"/>
      <c r="L322" s="12"/>
      <c r="M322" s="13"/>
      <c r="N322" s="13"/>
      <c r="O322" s="13"/>
    </row>
    <row r="323">
      <c r="B323" s="11"/>
      <c r="C323" s="11"/>
      <c r="D323" s="11"/>
      <c r="E323" s="15"/>
      <c r="F323" s="11"/>
      <c r="G323" s="11"/>
      <c r="H323" s="11"/>
      <c r="I323" s="11"/>
      <c r="J323" s="12"/>
      <c r="K323" s="13"/>
      <c r="L323" s="12"/>
      <c r="M323" s="13"/>
      <c r="N323" s="13"/>
      <c r="O323" s="13"/>
    </row>
    <row r="324">
      <c r="B324" s="11"/>
      <c r="C324" s="11"/>
      <c r="D324" s="11"/>
      <c r="E324" s="15"/>
      <c r="F324" s="11"/>
      <c r="G324" s="11"/>
      <c r="H324" s="11"/>
      <c r="I324" s="11"/>
      <c r="J324" s="12"/>
      <c r="K324" s="13"/>
      <c r="L324" s="12"/>
      <c r="M324" s="13"/>
      <c r="N324" s="13"/>
      <c r="O324" s="13"/>
    </row>
    <row r="325">
      <c r="B325" s="11"/>
      <c r="C325" s="11"/>
      <c r="D325" s="11"/>
      <c r="E325" s="15"/>
      <c r="F325" s="11"/>
      <c r="G325" s="11"/>
      <c r="H325" s="11"/>
      <c r="I325" s="11"/>
      <c r="J325" s="12"/>
      <c r="K325" s="13"/>
      <c r="L325" s="12"/>
      <c r="M325" s="13"/>
      <c r="N325" s="13"/>
      <c r="O325" s="13"/>
    </row>
    <row r="326">
      <c r="B326" s="11"/>
      <c r="C326" s="11"/>
      <c r="D326" s="11"/>
      <c r="E326" s="15"/>
      <c r="F326" s="11"/>
      <c r="G326" s="11"/>
      <c r="H326" s="11"/>
      <c r="I326" s="11"/>
      <c r="J326" s="12"/>
      <c r="K326" s="13"/>
      <c r="L326" s="12"/>
      <c r="M326" s="13"/>
      <c r="N326" s="13"/>
      <c r="O326" s="13"/>
    </row>
    <row r="327">
      <c r="B327" s="11"/>
      <c r="C327" s="11"/>
      <c r="D327" s="11"/>
      <c r="E327" s="15"/>
      <c r="F327" s="11"/>
      <c r="G327" s="11"/>
      <c r="H327" s="11"/>
      <c r="I327" s="11"/>
      <c r="J327" s="12"/>
      <c r="K327" s="13"/>
      <c r="L327" s="12"/>
      <c r="M327" s="13"/>
      <c r="N327" s="13"/>
      <c r="O327" s="13"/>
    </row>
    <row r="328">
      <c r="B328" s="11"/>
      <c r="C328" s="11"/>
      <c r="D328" s="11"/>
      <c r="E328" s="15"/>
      <c r="F328" s="11"/>
      <c r="G328" s="11"/>
      <c r="H328" s="11"/>
      <c r="I328" s="11"/>
      <c r="J328" s="12"/>
      <c r="K328" s="13"/>
      <c r="L328" s="12"/>
      <c r="M328" s="13"/>
      <c r="N328" s="13"/>
      <c r="O328" s="13"/>
    </row>
    <row r="329">
      <c r="B329" s="11"/>
      <c r="C329" s="11"/>
      <c r="D329" s="11"/>
      <c r="E329" s="15"/>
      <c r="F329" s="11"/>
      <c r="G329" s="11"/>
      <c r="H329" s="11"/>
      <c r="I329" s="11"/>
      <c r="J329" s="12"/>
      <c r="K329" s="13"/>
      <c r="L329" s="12"/>
      <c r="M329" s="13"/>
      <c r="N329" s="13"/>
      <c r="O329" s="13"/>
    </row>
    <row r="330">
      <c r="B330" s="11"/>
      <c r="C330" s="11"/>
      <c r="D330" s="11"/>
      <c r="E330" s="15"/>
      <c r="F330" s="11"/>
      <c r="G330" s="11"/>
      <c r="H330" s="11"/>
      <c r="I330" s="11"/>
      <c r="J330" s="12"/>
      <c r="K330" s="13"/>
      <c r="L330" s="12"/>
      <c r="M330" s="13"/>
      <c r="N330" s="13"/>
      <c r="O330" s="13"/>
    </row>
    <row r="331">
      <c r="B331" s="11"/>
      <c r="C331" s="11"/>
      <c r="D331" s="11"/>
      <c r="E331" s="15"/>
      <c r="F331" s="11"/>
      <c r="G331" s="11"/>
      <c r="H331" s="11"/>
      <c r="I331" s="11"/>
      <c r="J331" s="12"/>
      <c r="K331" s="13"/>
      <c r="L331" s="12"/>
      <c r="M331" s="13"/>
      <c r="N331" s="13"/>
      <c r="O331" s="13"/>
    </row>
    <row r="332">
      <c r="B332" s="11"/>
      <c r="C332" s="11"/>
      <c r="D332" s="11"/>
      <c r="E332" s="15"/>
      <c r="F332" s="11"/>
      <c r="G332" s="11"/>
      <c r="H332" s="11"/>
      <c r="I332" s="11"/>
      <c r="J332" s="12"/>
      <c r="K332" s="13"/>
      <c r="L332" s="12"/>
      <c r="M332" s="13"/>
      <c r="N332" s="13"/>
      <c r="O332" s="13"/>
    </row>
    <row r="333">
      <c r="B333" s="11"/>
      <c r="C333" s="11"/>
      <c r="D333" s="11"/>
      <c r="E333" s="15"/>
      <c r="F333" s="11"/>
      <c r="G333" s="11"/>
      <c r="H333" s="11"/>
      <c r="I333" s="11"/>
      <c r="J333" s="12"/>
      <c r="K333" s="13"/>
      <c r="L333" s="12"/>
      <c r="M333" s="13"/>
      <c r="N333" s="13"/>
      <c r="O333" s="13"/>
    </row>
    <row r="334">
      <c r="B334" s="11"/>
      <c r="C334" s="11"/>
      <c r="D334" s="11"/>
      <c r="E334" s="15"/>
      <c r="F334" s="11"/>
      <c r="G334" s="11"/>
      <c r="H334" s="11"/>
      <c r="I334" s="11"/>
      <c r="J334" s="12"/>
      <c r="K334" s="13"/>
      <c r="L334" s="12"/>
      <c r="M334" s="13"/>
      <c r="N334" s="13"/>
      <c r="O334" s="13"/>
    </row>
    <row r="335">
      <c r="B335" s="11"/>
      <c r="C335" s="11"/>
      <c r="D335" s="11"/>
      <c r="E335" s="15"/>
      <c r="F335" s="11"/>
      <c r="G335" s="11"/>
      <c r="H335" s="11"/>
      <c r="I335" s="11"/>
      <c r="J335" s="12"/>
      <c r="K335" s="13"/>
      <c r="L335" s="12"/>
      <c r="M335" s="13"/>
      <c r="N335" s="13"/>
      <c r="O335" s="13"/>
    </row>
    <row r="336">
      <c r="B336" s="11"/>
      <c r="C336" s="11"/>
      <c r="D336" s="11"/>
      <c r="E336" s="15"/>
      <c r="F336" s="11"/>
      <c r="G336" s="11"/>
      <c r="H336" s="11"/>
      <c r="I336" s="11"/>
      <c r="J336" s="12"/>
      <c r="K336" s="13"/>
      <c r="L336" s="12"/>
      <c r="M336" s="13"/>
      <c r="N336" s="13"/>
      <c r="O336" s="13"/>
    </row>
    <row r="337">
      <c r="B337" s="11"/>
      <c r="C337" s="11"/>
      <c r="D337" s="11"/>
      <c r="E337" s="15"/>
      <c r="F337" s="11"/>
      <c r="G337" s="11"/>
      <c r="H337" s="11"/>
      <c r="I337" s="11"/>
      <c r="J337" s="12"/>
      <c r="K337" s="13"/>
      <c r="L337" s="12"/>
      <c r="M337" s="13"/>
      <c r="N337" s="13"/>
      <c r="O337" s="13"/>
    </row>
    <row r="338">
      <c r="B338" s="11"/>
      <c r="C338" s="11"/>
      <c r="D338" s="11"/>
      <c r="E338" s="15"/>
      <c r="F338" s="11"/>
      <c r="G338" s="11"/>
      <c r="H338" s="11"/>
      <c r="I338" s="11"/>
      <c r="J338" s="12"/>
      <c r="K338" s="13"/>
      <c r="L338" s="12"/>
      <c r="M338" s="13"/>
      <c r="N338" s="13"/>
      <c r="O338" s="13"/>
    </row>
    <row r="339">
      <c r="B339" s="11"/>
      <c r="C339" s="11"/>
      <c r="D339" s="11"/>
      <c r="E339" s="15"/>
      <c r="F339" s="11"/>
      <c r="G339" s="11"/>
      <c r="H339" s="11"/>
      <c r="I339" s="11"/>
      <c r="J339" s="12"/>
      <c r="K339" s="13"/>
      <c r="L339" s="12"/>
      <c r="M339" s="13"/>
      <c r="N339" s="13"/>
      <c r="O339" s="13"/>
    </row>
    <row r="340">
      <c r="B340" s="11"/>
      <c r="C340" s="11"/>
      <c r="D340" s="11"/>
      <c r="E340" s="15"/>
      <c r="F340" s="11"/>
      <c r="G340" s="11"/>
      <c r="H340" s="11"/>
      <c r="I340" s="11"/>
      <c r="J340" s="12"/>
      <c r="K340" s="13"/>
      <c r="L340" s="12"/>
      <c r="M340" s="13"/>
      <c r="N340" s="13"/>
      <c r="O340" s="13"/>
    </row>
    <row r="341">
      <c r="B341" s="11"/>
      <c r="C341" s="11"/>
      <c r="D341" s="11"/>
      <c r="E341" s="15"/>
      <c r="F341" s="11"/>
      <c r="G341" s="11"/>
      <c r="H341" s="11"/>
      <c r="I341" s="11"/>
      <c r="J341" s="12"/>
      <c r="K341" s="13"/>
      <c r="L341" s="12"/>
      <c r="M341" s="13"/>
      <c r="N341" s="13"/>
      <c r="O341" s="13"/>
    </row>
    <row r="342">
      <c r="B342" s="11"/>
      <c r="C342" s="11"/>
      <c r="D342" s="11"/>
      <c r="E342" s="15"/>
      <c r="F342" s="11"/>
      <c r="G342" s="11"/>
      <c r="H342" s="11"/>
      <c r="I342" s="11"/>
      <c r="J342" s="12"/>
      <c r="K342" s="13"/>
      <c r="L342" s="12"/>
      <c r="M342" s="13"/>
      <c r="N342" s="13"/>
      <c r="O342" s="13"/>
    </row>
    <row r="343">
      <c r="B343" s="11"/>
      <c r="C343" s="11"/>
      <c r="D343" s="11"/>
      <c r="E343" s="15"/>
      <c r="F343" s="11"/>
      <c r="G343" s="11"/>
      <c r="H343" s="11"/>
      <c r="I343" s="11"/>
      <c r="J343" s="12"/>
      <c r="K343" s="13"/>
      <c r="L343" s="12"/>
      <c r="M343" s="13"/>
      <c r="N343" s="13"/>
      <c r="O343" s="13"/>
    </row>
    <row r="344">
      <c r="B344" s="11"/>
      <c r="C344" s="11"/>
      <c r="D344" s="11"/>
      <c r="E344" s="15"/>
      <c r="F344" s="11"/>
      <c r="G344" s="11"/>
      <c r="H344" s="11"/>
      <c r="I344" s="11"/>
      <c r="J344" s="12"/>
      <c r="K344" s="13"/>
      <c r="L344" s="12"/>
      <c r="M344" s="13"/>
      <c r="N344" s="13"/>
      <c r="O344" s="13"/>
    </row>
    <row r="345">
      <c r="B345" s="11"/>
      <c r="C345" s="11"/>
      <c r="D345" s="11"/>
      <c r="E345" s="15"/>
      <c r="F345" s="11"/>
      <c r="G345" s="11"/>
      <c r="H345" s="11"/>
      <c r="I345" s="11"/>
      <c r="J345" s="12"/>
      <c r="K345" s="13"/>
      <c r="L345" s="12"/>
      <c r="M345" s="13"/>
      <c r="N345" s="13"/>
      <c r="O345" s="13"/>
    </row>
    <row r="346">
      <c r="B346" s="11"/>
      <c r="C346" s="11"/>
      <c r="D346" s="11"/>
      <c r="E346" s="15"/>
      <c r="F346" s="11"/>
      <c r="G346" s="11"/>
      <c r="H346" s="11"/>
      <c r="I346" s="11"/>
      <c r="J346" s="12"/>
      <c r="K346" s="13"/>
      <c r="L346" s="12"/>
      <c r="M346" s="13"/>
      <c r="N346" s="13"/>
      <c r="O346" s="13"/>
    </row>
    <row r="347">
      <c r="B347" s="11"/>
      <c r="C347" s="11"/>
      <c r="D347" s="11"/>
      <c r="E347" s="15"/>
      <c r="F347" s="11"/>
      <c r="G347" s="11"/>
      <c r="H347" s="11"/>
      <c r="I347" s="11"/>
      <c r="J347" s="12"/>
      <c r="K347" s="13"/>
      <c r="L347" s="12"/>
      <c r="M347" s="13"/>
      <c r="N347" s="13"/>
      <c r="O347" s="13"/>
    </row>
    <row r="348">
      <c r="B348" s="11"/>
      <c r="C348" s="11"/>
      <c r="D348" s="11"/>
      <c r="E348" s="15"/>
      <c r="F348" s="11"/>
      <c r="G348" s="11"/>
      <c r="H348" s="11"/>
      <c r="I348" s="11"/>
      <c r="J348" s="12"/>
      <c r="K348" s="13"/>
      <c r="L348" s="12"/>
      <c r="M348" s="13"/>
      <c r="N348" s="13"/>
      <c r="O348" s="13"/>
    </row>
    <row r="349">
      <c r="B349" s="11"/>
      <c r="C349" s="11"/>
      <c r="D349" s="11"/>
      <c r="E349" s="15"/>
      <c r="F349" s="11"/>
      <c r="G349" s="11"/>
      <c r="H349" s="11"/>
      <c r="I349" s="11"/>
      <c r="J349" s="12"/>
      <c r="K349" s="13"/>
      <c r="L349" s="12"/>
      <c r="M349" s="13"/>
      <c r="N349" s="13"/>
      <c r="O349" s="13"/>
    </row>
    <row r="350">
      <c r="B350" s="11"/>
      <c r="C350" s="11"/>
      <c r="D350" s="11"/>
      <c r="E350" s="15"/>
      <c r="F350" s="11"/>
      <c r="G350" s="11"/>
      <c r="H350" s="11"/>
      <c r="I350" s="11"/>
      <c r="J350" s="12"/>
      <c r="K350" s="13"/>
      <c r="L350" s="12"/>
      <c r="M350" s="13"/>
      <c r="N350" s="13"/>
      <c r="O350" s="13"/>
    </row>
    <row r="351">
      <c r="B351" s="11"/>
      <c r="C351" s="11"/>
      <c r="D351" s="11"/>
      <c r="E351" s="15"/>
      <c r="F351" s="11"/>
      <c r="G351" s="11"/>
      <c r="H351" s="11"/>
      <c r="I351" s="11"/>
      <c r="J351" s="12"/>
      <c r="K351" s="13"/>
      <c r="L351" s="12"/>
      <c r="M351" s="13"/>
      <c r="N351" s="13"/>
      <c r="O351" s="13"/>
    </row>
    <row r="352">
      <c r="B352" s="11"/>
      <c r="C352" s="11"/>
      <c r="D352" s="11"/>
      <c r="E352" s="15"/>
      <c r="F352" s="11"/>
      <c r="G352" s="11"/>
      <c r="H352" s="11"/>
      <c r="I352" s="11"/>
      <c r="J352" s="12"/>
      <c r="K352" s="13"/>
      <c r="L352" s="12"/>
      <c r="M352" s="13"/>
      <c r="N352" s="13"/>
      <c r="O352" s="13"/>
    </row>
    <row r="353">
      <c r="B353" s="11"/>
      <c r="C353" s="11"/>
      <c r="D353" s="11"/>
      <c r="E353" s="15"/>
      <c r="F353" s="11"/>
      <c r="G353" s="11"/>
      <c r="H353" s="11"/>
      <c r="I353" s="11"/>
      <c r="J353" s="12"/>
      <c r="K353" s="13"/>
      <c r="L353" s="12"/>
      <c r="M353" s="13"/>
      <c r="N353" s="13"/>
      <c r="O353" s="13"/>
    </row>
    <row r="354">
      <c r="B354" s="11"/>
      <c r="C354" s="11"/>
      <c r="D354" s="11"/>
      <c r="E354" s="15"/>
      <c r="F354" s="11"/>
      <c r="G354" s="11"/>
      <c r="H354" s="11"/>
      <c r="I354" s="11"/>
      <c r="J354" s="12"/>
      <c r="K354" s="13"/>
      <c r="L354" s="12"/>
      <c r="M354" s="13"/>
      <c r="N354" s="13"/>
      <c r="O354" s="13"/>
    </row>
    <row r="355">
      <c r="B355" s="11"/>
      <c r="C355" s="11"/>
      <c r="D355" s="11"/>
      <c r="E355" s="15"/>
      <c r="F355" s="11"/>
      <c r="G355" s="11"/>
      <c r="H355" s="11"/>
      <c r="I355" s="11"/>
      <c r="J355" s="12"/>
      <c r="K355" s="13"/>
      <c r="L355" s="12"/>
      <c r="M355" s="13"/>
      <c r="N355" s="13"/>
      <c r="O355" s="13"/>
    </row>
    <row r="356">
      <c r="B356" s="11"/>
      <c r="C356" s="11"/>
      <c r="D356" s="11"/>
      <c r="E356" s="15"/>
      <c r="F356" s="11"/>
      <c r="G356" s="11"/>
      <c r="H356" s="11"/>
      <c r="I356" s="11"/>
      <c r="J356" s="12"/>
      <c r="K356" s="13"/>
      <c r="L356" s="12"/>
      <c r="M356" s="13"/>
      <c r="N356" s="13"/>
      <c r="O356" s="13"/>
    </row>
    <row r="357">
      <c r="B357" s="11"/>
      <c r="C357" s="11"/>
      <c r="D357" s="11"/>
      <c r="E357" s="15"/>
      <c r="F357" s="11"/>
      <c r="G357" s="11"/>
      <c r="H357" s="11"/>
      <c r="I357" s="11"/>
      <c r="J357" s="12"/>
      <c r="K357" s="13"/>
      <c r="L357" s="12"/>
      <c r="M357" s="13"/>
      <c r="N357" s="13"/>
      <c r="O357" s="13"/>
    </row>
    <row r="358">
      <c r="B358" s="11"/>
      <c r="C358" s="11"/>
      <c r="D358" s="11"/>
      <c r="E358" s="15"/>
      <c r="F358" s="11"/>
      <c r="G358" s="11"/>
      <c r="H358" s="11"/>
      <c r="I358" s="11"/>
      <c r="J358" s="12"/>
      <c r="K358" s="13"/>
      <c r="L358" s="12"/>
      <c r="M358" s="13"/>
      <c r="N358" s="13"/>
      <c r="O358" s="13"/>
    </row>
    <row r="359">
      <c r="B359" s="11"/>
      <c r="C359" s="11"/>
      <c r="D359" s="11"/>
      <c r="E359" s="15"/>
      <c r="F359" s="11"/>
      <c r="G359" s="11"/>
      <c r="H359" s="11"/>
      <c r="I359" s="11"/>
      <c r="J359" s="12"/>
      <c r="K359" s="13"/>
      <c r="L359" s="12"/>
      <c r="M359" s="13"/>
      <c r="N359" s="13"/>
      <c r="O359" s="13"/>
    </row>
    <row r="360">
      <c r="B360" s="11"/>
      <c r="C360" s="11"/>
      <c r="D360" s="11"/>
      <c r="E360" s="15"/>
      <c r="F360" s="11"/>
      <c r="G360" s="11"/>
      <c r="H360" s="11"/>
      <c r="I360" s="11"/>
      <c r="J360" s="12"/>
      <c r="K360" s="13"/>
      <c r="L360" s="12"/>
      <c r="M360" s="13"/>
      <c r="N360" s="13"/>
      <c r="O360" s="13"/>
    </row>
    <row r="361">
      <c r="B361" s="11"/>
      <c r="C361" s="11"/>
      <c r="D361" s="11"/>
      <c r="E361" s="15"/>
      <c r="F361" s="11"/>
      <c r="G361" s="11"/>
      <c r="H361" s="11"/>
      <c r="I361" s="11"/>
      <c r="J361" s="12"/>
      <c r="K361" s="13"/>
      <c r="L361" s="12"/>
      <c r="M361" s="13"/>
      <c r="N361" s="13"/>
      <c r="O361" s="13"/>
    </row>
    <row r="362">
      <c r="B362" s="11"/>
      <c r="C362" s="11"/>
      <c r="D362" s="11"/>
      <c r="E362" s="15"/>
      <c r="F362" s="11"/>
      <c r="G362" s="11"/>
      <c r="H362" s="11"/>
      <c r="I362" s="11"/>
      <c r="J362" s="12"/>
      <c r="K362" s="13"/>
      <c r="L362" s="12"/>
      <c r="M362" s="13"/>
      <c r="N362" s="13"/>
      <c r="O362" s="13"/>
    </row>
    <row r="363">
      <c r="B363" s="11"/>
      <c r="C363" s="11"/>
      <c r="D363" s="11"/>
      <c r="E363" s="15"/>
      <c r="F363" s="11"/>
      <c r="G363" s="11"/>
      <c r="H363" s="11"/>
      <c r="I363" s="11"/>
      <c r="J363" s="12"/>
      <c r="K363" s="13"/>
      <c r="L363" s="12"/>
      <c r="M363" s="13"/>
      <c r="N363" s="13"/>
      <c r="O363" s="13"/>
    </row>
    <row r="364">
      <c r="B364" s="11"/>
      <c r="C364" s="11"/>
      <c r="D364" s="11"/>
      <c r="E364" s="15"/>
      <c r="F364" s="11"/>
      <c r="G364" s="11"/>
      <c r="H364" s="11"/>
      <c r="I364" s="11"/>
      <c r="J364" s="12"/>
      <c r="K364" s="13"/>
      <c r="L364" s="12"/>
      <c r="M364" s="13"/>
      <c r="N364" s="13"/>
      <c r="O364" s="13"/>
    </row>
    <row r="365">
      <c r="B365" s="11"/>
      <c r="C365" s="11"/>
      <c r="D365" s="11"/>
      <c r="E365" s="15"/>
      <c r="F365" s="11"/>
      <c r="G365" s="11"/>
      <c r="H365" s="11"/>
      <c r="I365" s="11"/>
      <c r="J365" s="12"/>
      <c r="K365" s="13"/>
      <c r="L365" s="12"/>
      <c r="M365" s="13"/>
      <c r="N365" s="13"/>
      <c r="O365" s="13"/>
    </row>
    <row r="366">
      <c r="B366" s="11"/>
      <c r="C366" s="11"/>
      <c r="D366" s="11"/>
      <c r="E366" s="15"/>
      <c r="F366" s="11"/>
      <c r="G366" s="11"/>
      <c r="H366" s="11"/>
      <c r="I366" s="11"/>
      <c r="J366" s="12"/>
      <c r="K366" s="13"/>
      <c r="L366" s="12"/>
      <c r="M366" s="13"/>
      <c r="N366" s="13"/>
      <c r="O366" s="13"/>
    </row>
    <row r="367">
      <c r="B367" s="11"/>
      <c r="C367" s="11"/>
      <c r="D367" s="11"/>
      <c r="E367" s="15"/>
      <c r="F367" s="11"/>
      <c r="G367" s="11"/>
      <c r="H367" s="11"/>
      <c r="I367" s="11"/>
      <c r="J367" s="12"/>
      <c r="K367" s="13"/>
      <c r="L367" s="12"/>
      <c r="M367" s="13"/>
      <c r="N367" s="13"/>
      <c r="O367" s="13"/>
    </row>
    <row r="368">
      <c r="B368" s="11"/>
      <c r="C368" s="11"/>
      <c r="D368" s="11"/>
      <c r="E368" s="15"/>
      <c r="F368" s="11"/>
      <c r="G368" s="11"/>
      <c r="H368" s="11"/>
      <c r="I368" s="11"/>
      <c r="J368" s="12"/>
      <c r="K368" s="13"/>
      <c r="L368" s="12"/>
      <c r="M368" s="13"/>
      <c r="N368" s="13"/>
      <c r="O368" s="13"/>
    </row>
    <row r="369">
      <c r="B369" s="11"/>
      <c r="C369" s="11"/>
      <c r="D369" s="11"/>
      <c r="E369" s="15"/>
      <c r="F369" s="11"/>
      <c r="G369" s="11"/>
      <c r="H369" s="11"/>
      <c r="I369" s="11"/>
      <c r="J369" s="12"/>
      <c r="K369" s="13"/>
      <c r="L369" s="12"/>
      <c r="M369" s="13"/>
      <c r="N369" s="13"/>
      <c r="O369" s="13"/>
    </row>
    <row r="370">
      <c r="B370" s="11"/>
      <c r="C370" s="11"/>
      <c r="D370" s="11"/>
      <c r="E370" s="15"/>
      <c r="F370" s="11"/>
      <c r="G370" s="11"/>
      <c r="H370" s="11"/>
      <c r="I370" s="11"/>
      <c r="J370" s="12"/>
      <c r="K370" s="13"/>
      <c r="L370" s="12"/>
      <c r="M370" s="13"/>
      <c r="N370" s="13"/>
      <c r="O370" s="13"/>
    </row>
    <row r="371">
      <c r="B371" s="11"/>
      <c r="C371" s="11"/>
      <c r="D371" s="11"/>
      <c r="E371" s="15"/>
      <c r="F371" s="11"/>
      <c r="G371" s="11"/>
      <c r="H371" s="11"/>
      <c r="I371" s="11"/>
      <c r="J371" s="12"/>
      <c r="K371" s="13"/>
      <c r="L371" s="12"/>
      <c r="M371" s="13"/>
      <c r="N371" s="13"/>
      <c r="O371" s="13"/>
    </row>
    <row r="372">
      <c r="B372" s="11"/>
      <c r="C372" s="11"/>
      <c r="D372" s="11"/>
      <c r="E372" s="15"/>
      <c r="F372" s="11"/>
      <c r="G372" s="11"/>
      <c r="H372" s="11"/>
      <c r="I372" s="11"/>
      <c r="J372" s="12"/>
      <c r="K372" s="13"/>
      <c r="L372" s="12"/>
      <c r="M372" s="13"/>
      <c r="N372" s="13"/>
      <c r="O372" s="13"/>
    </row>
    <row r="373">
      <c r="B373" s="11"/>
      <c r="C373" s="11"/>
      <c r="D373" s="11"/>
      <c r="E373" s="15"/>
      <c r="F373" s="11"/>
      <c r="G373" s="11"/>
      <c r="H373" s="11"/>
      <c r="I373" s="11"/>
      <c r="J373" s="12"/>
      <c r="K373" s="13"/>
      <c r="L373" s="12"/>
      <c r="M373" s="13"/>
      <c r="N373" s="13"/>
      <c r="O373" s="13"/>
    </row>
    <row r="374">
      <c r="B374" s="11"/>
      <c r="C374" s="11"/>
      <c r="D374" s="11"/>
      <c r="E374" s="15"/>
      <c r="F374" s="11"/>
      <c r="G374" s="11"/>
      <c r="H374" s="11"/>
      <c r="I374" s="11"/>
      <c r="J374" s="12"/>
      <c r="K374" s="13"/>
      <c r="L374" s="12"/>
      <c r="M374" s="13"/>
      <c r="N374" s="13"/>
      <c r="O374" s="13"/>
    </row>
    <row r="375">
      <c r="B375" s="11"/>
      <c r="C375" s="11"/>
      <c r="D375" s="11"/>
      <c r="E375" s="15"/>
      <c r="F375" s="11"/>
      <c r="G375" s="11"/>
      <c r="H375" s="11"/>
      <c r="I375" s="11"/>
      <c r="J375" s="12"/>
      <c r="K375" s="13"/>
      <c r="L375" s="12"/>
      <c r="M375" s="13"/>
      <c r="N375" s="13"/>
      <c r="O375" s="13"/>
    </row>
    <row r="376">
      <c r="B376" s="11"/>
      <c r="C376" s="11"/>
      <c r="D376" s="11"/>
      <c r="E376" s="15"/>
      <c r="F376" s="11"/>
      <c r="G376" s="11"/>
      <c r="H376" s="11"/>
      <c r="I376" s="11"/>
      <c r="J376" s="12"/>
      <c r="K376" s="13"/>
      <c r="L376" s="12"/>
      <c r="M376" s="13"/>
      <c r="N376" s="13"/>
      <c r="O376" s="13"/>
    </row>
    <row r="377">
      <c r="B377" s="11"/>
      <c r="C377" s="11"/>
      <c r="D377" s="11"/>
      <c r="E377" s="15"/>
      <c r="F377" s="11"/>
      <c r="G377" s="11"/>
      <c r="H377" s="11"/>
      <c r="I377" s="11"/>
      <c r="J377" s="12"/>
      <c r="K377" s="13"/>
      <c r="L377" s="12"/>
      <c r="M377" s="13"/>
      <c r="N377" s="13"/>
      <c r="O377" s="13"/>
    </row>
    <row r="378">
      <c r="B378" s="11"/>
      <c r="C378" s="11"/>
      <c r="D378" s="11"/>
      <c r="E378" s="15"/>
      <c r="F378" s="11"/>
      <c r="G378" s="11"/>
      <c r="H378" s="11"/>
      <c r="I378" s="11"/>
      <c r="J378" s="12"/>
      <c r="K378" s="13"/>
      <c r="L378" s="12"/>
      <c r="M378" s="13"/>
      <c r="N378" s="13"/>
      <c r="O378" s="13"/>
    </row>
    <row r="379">
      <c r="B379" s="11"/>
      <c r="C379" s="11"/>
      <c r="D379" s="11"/>
      <c r="E379" s="15"/>
      <c r="F379" s="11"/>
      <c r="G379" s="11"/>
      <c r="H379" s="11"/>
      <c r="I379" s="11"/>
      <c r="J379" s="12"/>
      <c r="K379" s="13"/>
      <c r="L379" s="12"/>
      <c r="M379" s="13"/>
      <c r="N379" s="13"/>
      <c r="O379" s="13"/>
    </row>
    <row r="380">
      <c r="B380" s="11"/>
      <c r="C380" s="11"/>
      <c r="D380" s="11"/>
      <c r="E380" s="15"/>
      <c r="F380" s="11"/>
      <c r="G380" s="11"/>
      <c r="H380" s="11"/>
      <c r="I380" s="11"/>
      <c r="J380" s="12"/>
      <c r="K380" s="13"/>
      <c r="L380" s="12"/>
      <c r="M380" s="13"/>
      <c r="N380" s="13"/>
      <c r="O380" s="13"/>
    </row>
    <row r="381">
      <c r="B381" s="11"/>
      <c r="C381" s="11"/>
      <c r="D381" s="11"/>
      <c r="E381" s="15"/>
      <c r="F381" s="11"/>
      <c r="G381" s="11"/>
      <c r="H381" s="11"/>
      <c r="I381" s="11"/>
      <c r="J381" s="12"/>
      <c r="K381" s="13"/>
      <c r="L381" s="12"/>
      <c r="M381" s="13"/>
      <c r="N381" s="13"/>
      <c r="O381" s="13"/>
    </row>
    <row r="382">
      <c r="B382" s="11"/>
      <c r="C382" s="11"/>
      <c r="D382" s="11"/>
      <c r="E382" s="15"/>
      <c r="F382" s="11"/>
      <c r="G382" s="11"/>
      <c r="H382" s="11"/>
      <c r="I382" s="11"/>
      <c r="J382" s="12"/>
      <c r="K382" s="13"/>
      <c r="L382" s="12"/>
      <c r="M382" s="13"/>
      <c r="N382" s="13"/>
      <c r="O382" s="13"/>
    </row>
    <row r="383">
      <c r="B383" s="11"/>
      <c r="C383" s="11"/>
      <c r="D383" s="11"/>
      <c r="E383" s="15"/>
      <c r="F383" s="11"/>
      <c r="G383" s="11"/>
      <c r="H383" s="11"/>
      <c r="I383" s="11"/>
      <c r="J383" s="12"/>
      <c r="K383" s="13"/>
      <c r="L383" s="12"/>
      <c r="M383" s="13"/>
      <c r="N383" s="13"/>
      <c r="O383" s="13"/>
    </row>
    <row r="384">
      <c r="B384" s="11"/>
      <c r="C384" s="11"/>
      <c r="D384" s="11"/>
      <c r="E384" s="15"/>
      <c r="F384" s="11"/>
      <c r="G384" s="11"/>
      <c r="H384" s="11"/>
      <c r="I384" s="11"/>
      <c r="J384" s="12"/>
      <c r="K384" s="13"/>
      <c r="L384" s="12"/>
      <c r="M384" s="13"/>
      <c r="N384" s="13"/>
      <c r="O384" s="13"/>
    </row>
    <row r="385">
      <c r="B385" s="11"/>
      <c r="C385" s="11"/>
      <c r="D385" s="11"/>
      <c r="E385" s="15"/>
      <c r="F385" s="11"/>
      <c r="G385" s="11"/>
      <c r="H385" s="11"/>
      <c r="I385" s="11"/>
      <c r="J385" s="12"/>
      <c r="K385" s="13"/>
      <c r="L385" s="12"/>
      <c r="M385" s="13"/>
      <c r="N385" s="13"/>
      <c r="O385" s="13"/>
    </row>
    <row r="386">
      <c r="B386" s="11"/>
      <c r="C386" s="11"/>
      <c r="D386" s="11"/>
      <c r="E386" s="15"/>
      <c r="F386" s="11"/>
      <c r="G386" s="11"/>
      <c r="H386" s="11"/>
      <c r="I386" s="11"/>
      <c r="J386" s="12"/>
      <c r="K386" s="13"/>
      <c r="L386" s="12"/>
      <c r="M386" s="13"/>
      <c r="N386" s="13"/>
      <c r="O386" s="13"/>
    </row>
    <row r="387">
      <c r="B387" s="11"/>
      <c r="C387" s="11"/>
      <c r="D387" s="11"/>
      <c r="E387" s="15"/>
      <c r="F387" s="11"/>
      <c r="G387" s="11"/>
      <c r="H387" s="11"/>
      <c r="I387" s="11"/>
      <c r="J387" s="12"/>
      <c r="K387" s="13"/>
      <c r="L387" s="12"/>
      <c r="M387" s="13"/>
      <c r="N387" s="13"/>
      <c r="O387" s="13"/>
    </row>
    <row r="388">
      <c r="B388" s="11"/>
      <c r="C388" s="11"/>
      <c r="D388" s="11"/>
      <c r="E388" s="15"/>
      <c r="F388" s="11"/>
      <c r="G388" s="11"/>
      <c r="H388" s="11"/>
      <c r="I388" s="11"/>
      <c r="J388" s="12"/>
      <c r="K388" s="13"/>
      <c r="L388" s="12"/>
      <c r="M388" s="13"/>
      <c r="N388" s="13"/>
      <c r="O388" s="13"/>
    </row>
    <row r="389">
      <c r="B389" s="11"/>
      <c r="C389" s="11"/>
      <c r="D389" s="11"/>
      <c r="E389" s="15"/>
      <c r="F389" s="11"/>
      <c r="G389" s="11"/>
      <c r="H389" s="11"/>
      <c r="I389" s="11"/>
      <c r="J389" s="12"/>
      <c r="K389" s="13"/>
      <c r="L389" s="12"/>
      <c r="M389" s="13"/>
      <c r="N389" s="13"/>
      <c r="O389" s="13"/>
    </row>
    <row r="390">
      <c r="B390" s="11"/>
      <c r="C390" s="11"/>
      <c r="D390" s="11"/>
      <c r="E390" s="15"/>
      <c r="F390" s="11"/>
      <c r="G390" s="11"/>
      <c r="H390" s="11"/>
      <c r="I390" s="11"/>
      <c r="J390" s="12"/>
      <c r="K390" s="13"/>
      <c r="L390" s="12"/>
      <c r="M390" s="13"/>
      <c r="N390" s="13"/>
      <c r="O390" s="13"/>
    </row>
    <row r="391">
      <c r="B391" s="11"/>
      <c r="C391" s="11"/>
      <c r="D391" s="11"/>
      <c r="E391" s="15"/>
      <c r="F391" s="11"/>
      <c r="G391" s="11"/>
      <c r="H391" s="11"/>
      <c r="I391" s="11"/>
      <c r="J391" s="12"/>
      <c r="K391" s="13"/>
      <c r="L391" s="12"/>
      <c r="M391" s="13"/>
      <c r="N391" s="13"/>
      <c r="O391" s="13"/>
    </row>
    <row r="392">
      <c r="B392" s="11"/>
      <c r="C392" s="11"/>
      <c r="D392" s="11"/>
      <c r="E392" s="15"/>
      <c r="F392" s="11"/>
      <c r="G392" s="11"/>
      <c r="H392" s="11"/>
      <c r="I392" s="11"/>
      <c r="J392" s="12"/>
      <c r="K392" s="13"/>
      <c r="L392" s="12"/>
      <c r="M392" s="13"/>
      <c r="N392" s="13"/>
      <c r="O392" s="13"/>
    </row>
    <row r="393">
      <c r="B393" s="11"/>
      <c r="C393" s="11"/>
      <c r="D393" s="11"/>
      <c r="E393" s="15"/>
      <c r="F393" s="11"/>
      <c r="G393" s="11"/>
      <c r="H393" s="11"/>
      <c r="I393" s="11"/>
      <c r="J393" s="12"/>
      <c r="K393" s="13"/>
      <c r="L393" s="12"/>
      <c r="M393" s="13"/>
      <c r="N393" s="13"/>
      <c r="O393" s="13"/>
    </row>
    <row r="394">
      <c r="B394" s="11"/>
      <c r="C394" s="11"/>
      <c r="D394" s="11"/>
      <c r="E394" s="15"/>
      <c r="F394" s="11"/>
      <c r="G394" s="11"/>
      <c r="H394" s="11"/>
      <c r="I394" s="11"/>
      <c r="J394" s="12"/>
      <c r="K394" s="13"/>
      <c r="L394" s="12"/>
      <c r="M394" s="13"/>
      <c r="N394" s="13"/>
      <c r="O394" s="13"/>
    </row>
    <row r="395">
      <c r="B395" s="11"/>
      <c r="C395" s="11"/>
      <c r="D395" s="11"/>
      <c r="E395" s="15"/>
      <c r="F395" s="11"/>
      <c r="G395" s="11"/>
      <c r="H395" s="11"/>
      <c r="I395" s="11"/>
      <c r="J395" s="12"/>
      <c r="K395" s="13"/>
      <c r="L395" s="12"/>
      <c r="M395" s="13"/>
      <c r="N395" s="13"/>
      <c r="O395" s="13"/>
    </row>
    <row r="396">
      <c r="B396" s="11"/>
      <c r="C396" s="11"/>
      <c r="D396" s="11"/>
      <c r="E396" s="15"/>
      <c r="F396" s="11"/>
      <c r="G396" s="11"/>
      <c r="H396" s="11"/>
      <c r="I396" s="11"/>
      <c r="J396" s="12"/>
      <c r="K396" s="13"/>
      <c r="L396" s="12"/>
      <c r="M396" s="13"/>
      <c r="N396" s="13"/>
      <c r="O396" s="13"/>
    </row>
    <row r="397">
      <c r="B397" s="11"/>
      <c r="C397" s="11"/>
      <c r="D397" s="11"/>
      <c r="E397" s="15"/>
      <c r="F397" s="11"/>
      <c r="G397" s="11"/>
      <c r="H397" s="11"/>
      <c r="I397" s="11"/>
      <c r="J397" s="12"/>
      <c r="K397" s="13"/>
      <c r="L397" s="12"/>
      <c r="M397" s="13"/>
      <c r="N397" s="13"/>
      <c r="O397" s="13"/>
    </row>
    <row r="398">
      <c r="B398" s="11"/>
      <c r="C398" s="11"/>
      <c r="D398" s="11"/>
      <c r="E398" s="15"/>
      <c r="F398" s="11"/>
      <c r="G398" s="11"/>
      <c r="H398" s="11"/>
      <c r="I398" s="11"/>
      <c r="J398" s="12"/>
      <c r="K398" s="13"/>
      <c r="L398" s="12"/>
      <c r="M398" s="13"/>
      <c r="N398" s="13"/>
      <c r="O398" s="13"/>
    </row>
    <row r="399">
      <c r="B399" s="11"/>
      <c r="C399" s="11"/>
      <c r="D399" s="11"/>
      <c r="E399" s="15"/>
      <c r="F399" s="11"/>
      <c r="G399" s="11"/>
      <c r="H399" s="11"/>
      <c r="I399" s="11"/>
      <c r="J399" s="12"/>
      <c r="K399" s="13"/>
      <c r="L399" s="12"/>
      <c r="M399" s="13"/>
      <c r="N399" s="13"/>
      <c r="O399" s="13"/>
    </row>
    <row r="400">
      <c r="B400" s="11"/>
      <c r="C400" s="11"/>
      <c r="D400" s="11"/>
      <c r="E400" s="15"/>
      <c r="F400" s="11"/>
      <c r="G400" s="11"/>
      <c r="H400" s="11"/>
      <c r="I400" s="11"/>
      <c r="J400" s="12"/>
      <c r="K400" s="13"/>
      <c r="L400" s="12"/>
      <c r="M400" s="13"/>
      <c r="N400" s="13"/>
      <c r="O400" s="13"/>
    </row>
    <row r="401">
      <c r="B401" s="11"/>
      <c r="C401" s="11"/>
      <c r="D401" s="11"/>
      <c r="E401" s="15"/>
      <c r="F401" s="11"/>
      <c r="G401" s="11"/>
      <c r="H401" s="11"/>
      <c r="I401" s="11"/>
      <c r="J401" s="12"/>
      <c r="K401" s="13"/>
      <c r="L401" s="12"/>
      <c r="M401" s="13"/>
      <c r="N401" s="13"/>
      <c r="O401" s="13"/>
    </row>
    <row r="402">
      <c r="B402" s="11"/>
      <c r="C402" s="11"/>
      <c r="D402" s="11"/>
      <c r="E402" s="15"/>
      <c r="F402" s="11"/>
      <c r="G402" s="11"/>
      <c r="H402" s="11"/>
      <c r="I402" s="11"/>
      <c r="J402" s="12"/>
      <c r="K402" s="13"/>
      <c r="L402" s="12"/>
      <c r="M402" s="13"/>
      <c r="N402" s="13"/>
      <c r="O402" s="13"/>
    </row>
    <row r="403">
      <c r="B403" s="11"/>
      <c r="C403" s="11"/>
      <c r="D403" s="11"/>
      <c r="E403" s="15"/>
      <c r="F403" s="11"/>
      <c r="G403" s="11"/>
      <c r="H403" s="11"/>
      <c r="I403" s="11"/>
      <c r="J403" s="12"/>
      <c r="K403" s="13"/>
      <c r="L403" s="12"/>
      <c r="M403" s="13"/>
      <c r="N403" s="13"/>
      <c r="O403" s="13"/>
    </row>
    <row r="404">
      <c r="B404" s="11"/>
      <c r="C404" s="11"/>
      <c r="D404" s="11"/>
      <c r="E404" s="15"/>
      <c r="F404" s="11"/>
      <c r="G404" s="11"/>
      <c r="H404" s="11"/>
      <c r="I404" s="11"/>
      <c r="J404" s="12"/>
      <c r="K404" s="13"/>
      <c r="L404" s="12"/>
      <c r="M404" s="13"/>
      <c r="N404" s="13"/>
      <c r="O404" s="13"/>
    </row>
    <row r="405">
      <c r="B405" s="11"/>
      <c r="C405" s="11"/>
      <c r="D405" s="11"/>
      <c r="E405" s="15"/>
      <c r="F405" s="11"/>
      <c r="G405" s="11"/>
      <c r="H405" s="11"/>
      <c r="I405" s="11"/>
      <c r="J405" s="12"/>
      <c r="K405" s="13"/>
      <c r="L405" s="12"/>
      <c r="M405" s="13"/>
      <c r="N405" s="13"/>
      <c r="O405" s="13"/>
    </row>
    <row r="406">
      <c r="B406" s="11"/>
      <c r="C406" s="11"/>
      <c r="D406" s="11"/>
      <c r="E406" s="15"/>
      <c r="F406" s="11"/>
      <c r="G406" s="11"/>
      <c r="H406" s="11"/>
      <c r="I406" s="11"/>
      <c r="J406" s="12"/>
      <c r="K406" s="13"/>
      <c r="L406" s="12"/>
      <c r="M406" s="13"/>
      <c r="N406" s="13"/>
      <c r="O406" s="13"/>
    </row>
    <row r="407">
      <c r="B407" s="11"/>
      <c r="C407" s="11"/>
      <c r="D407" s="11"/>
      <c r="E407" s="15"/>
      <c r="F407" s="11"/>
      <c r="G407" s="11"/>
      <c r="H407" s="11"/>
      <c r="I407" s="11"/>
      <c r="J407" s="12"/>
      <c r="K407" s="13"/>
      <c r="L407" s="12"/>
      <c r="M407" s="13"/>
      <c r="N407" s="13"/>
      <c r="O407" s="13"/>
    </row>
    <row r="408">
      <c r="B408" s="11"/>
      <c r="C408" s="11"/>
      <c r="D408" s="11"/>
      <c r="E408" s="15"/>
      <c r="F408" s="11"/>
      <c r="G408" s="11"/>
      <c r="H408" s="11"/>
      <c r="I408" s="11"/>
      <c r="J408" s="12"/>
      <c r="K408" s="13"/>
      <c r="L408" s="12"/>
      <c r="M408" s="13"/>
      <c r="N408" s="13"/>
      <c r="O408" s="13"/>
    </row>
    <row r="409">
      <c r="B409" s="11"/>
      <c r="C409" s="11"/>
      <c r="D409" s="11"/>
      <c r="E409" s="15"/>
      <c r="F409" s="11"/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B410" s="11"/>
      <c r="C410" s="11"/>
      <c r="D410" s="11"/>
      <c r="E410" s="15"/>
      <c r="F410" s="11"/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B411" s="11"/>
      <c r="C411" s="11"/>
      <c r="D411" s="11"/>
      <c r="E411" s="15"/>
      <c r="F411" s="11"/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B412" s="11"/>
      <c r="C412" s="11"/>
      <c r="D412" s="11"/>
      <c r="E412" s="15"/>
      <c r="F412" s="11"/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B413" s="11"/>
      <c r="C413" s="11"/>
      <c r="D413" s="11"/>
      <c r="E413" s="15"/>
      <c r="F413" s="11"/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B414" s="11"/>
      <c r="C414" s="11"/>
      <c r="D414" s="11"/>
      <c r="E414" s="15"/>
      <c r="F414" s="11"/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B415" s="11"/>
      <c r="C415" s="11"/>
      <c r="D415" s="11"/>
      <c r="E415" s="15"/>
      <c r="F415" s="11"/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B416" s="11"/>
      <c r="C416" s="11"/>
      <c r="D416" s="11"/>
      <c r="E416" s="15"/>
      <c r="F416" s="11"/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B417" s="11"/>
      <c r="C417" s="11"/>
      <c r="D417" s="11"/>
      <c r="E417" s="15"/>
      <c r="F417" s="11"/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B418" s="11"/>
      <c r="C418" s="11"/>
      <c r="D418" s="11"/>
      <c r="E418" s="15"/>
      <c r="F418" s="11"/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B419" s="11"/>
      <c r="C419" s="11"/>
      <c r="D419" s="11"/>
      <c r="E419" s="15"/>
      <c r="F419" s="11"/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B420" s="11"/>
      <c r="C420" s="11"/>
      <c r="D420" s="11"/>
      <c r="E420" s="15"/>
      <c r="F420" s="11"/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B421" s="11"/>
      <c r="C421" s="11"/>
      <c r="D421" s="11"/>
      <c r="E421" s="15"/>
      <c r="F421" s="11"/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B422" s="11"/>
      <c r="C422" s="11"/>
      <c r="D422" s="11"/>
      <c r="E422" s="15"/>
      <c r="F422" s="11"/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B423" s="11"/>
      <c r="C423" s="11"/>
      <c r="D423" s="11"/>
      <c r="E423" s="15"/>
      <c r="F423" s="11"/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B424" s="11"/>
      <c r="C424" s="11"/>
      <c r="D424" s="11"/>
      <c r="E424" s="15"/>
      <c r="F424" s="11"/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B425" s="11"/>
      <c r="C425" s="11"/>
      <c r="D425" s="11"/>
      <c r="E425" s="15"/>
      <c r="F425" s="11"/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B426" s="11"/>
      <c r="C426" s="11"/>
      <c r="D426" s="11"/>
      <c r="E426" s="15"/>
      <c r="F426" s="11"/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B427" s="11"/>
      <c r="C427" s="11"/>
      <c r="D427" s="11"/>
      <c r="E427" s="15"/>
      <c r="F427" s="11"/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B428" s="11"/>
      <c r="C428" s="11"/>
      <c r="D428" s="11"/>
      <c r="E428" s="15"/>
      <c r="F428" s="11"/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B429" s="11"/>
      <c r="C429" s="11"/>
      <c r="D429" s="11"/>
      <c r="E429" s="15"/>
      <c r="F429" s="11"/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B430" s="11"/>
      <c r="C430" s="11"/>
      <c r="D430" s="11"/>
      <c r="E430" s="15"/>
      <c r="F430" s="11"/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B431" s="11"/>
      <c r="C431" s="11"/>
      <c r="D431" s="11"/>
      <c r="E431" s="15"/>
      <c r="F431" s="11"/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B432" s="11"/>
      <c r="C432" s="11"/>
      <c r="D432" s="11"/>
      <c r="E432" s="15"/>
      <c r="F432" s="11"/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B433" s="11"/>
      <c r="C433" s="11"/>
      <c r="D433" s="11"/>
      <c r="E433" s="15"/>
      <c r="F433" s="11"/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B434" s="11"/>
      <c r="C434" s="11"/>
      <c r="D434" s="11"/>
      <c r="E434" s="15"/>
      <c r="F434" s="11"/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B435" s="11"/>
      <c r="C435" s="11"/>
      <c r="D435" s="11"/>
      <c r="E435" s="15"/>
      <c r="F435" s="11"/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B436" s="11"/>
      <c r="C436" s="11"/>
      <c r="D436" s="11"/>
      <c r="E436" s="15"/>
      <c r="F436" s="11"/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B437" s="11"/>
      <c r="C437" s="11"/>
      <c r="D437" s="11"/>
      <c r="E437" s="15"/>
      <c r="F437" s="11"/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B438" s="11"/>
      <c r="C438" s="11"/>
      <c r="D438" s="11"/>
      <c r="E438" s="15"/>
      <c r="F438" s="11"/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B439" s="11"/>
      <c r="C439" s="11"/>
      <c r="D439" s="11"/>
      <c r="E439" s="15"/>
      <c r="F439" s="11"/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B440" s="11"/>
      <c r="C440" s="11"/>
      <c r="D440" s="11"/>
      <c r="E440" s="15"/>
      <c r="F440" s="11"/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B441" s="11"/>
      <c r="C441" s="11"/>
      <c r="D441" s="11"/>
      <c r="E441" s="15"/>
      <c r="F441" s="11"/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B442" s="11"/>
      <c r="C442" s="11"/>
      <c r="D442" s="11"/>
      <c r="E442" s="15"/>
      <c r="F442" s="11"/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B443" s="11"/>
      <c r="C443" s="11"/>
      <c r="D443" s="11"/>
      <c r="E443" s="15"/>
      <c r="F443" s="11"/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B444" s="11"/>
      <c r="C444" s="11"/>
      <c r="D444" s="11"/>
      <c r="E444" s="15"/>
      <c r="F444" s="11"/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B445" s="11"/>
      <c r="C445" s="11"/>
      <c r="D445" s="11"/>
      <c r="E445" s="15"/>
      <c r="F445" s="11"/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B446" s="11"/>
      <c r="C446" s="11"/>
      <c r="D446" s="11"/>
      <c r="E446" s="15"/>
      <c r="F446" s="11"/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B447" s="11"/>
      <c r="C447" s="11"/>
      <c r="D447" s="11"/>
      <c r="E447" s="15"/>
      <c r="F447" s="11"/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B448" s="11"/>
      <c r="C448" s="11"/>
      <c r="D448" s="11"/>
      <c r="E448" s="15"/>
      <c r="F448" s="11"/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B449" s="11"/>
      <c r="C449" s="11"/>
      <c r="D449" s="11"/>
      <c r="E449" s="15"/>
      <c r="F449" s="11"/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B450" s="11"/>
      <c r="C450" s="11"/>
      <c r="D450" s="11"/>
      <c r="E450" s="15"/>
      <c r="F450" s="11"/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B451" s="11"/>
      <c r="C451" s="11"/>
      <c r="D451" s="11"/>
      <c r="E451" s="15"/>
      <c r="F451" s="11"/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B452" s="11"/>
      <c r="C452" s="11"/>
      <c r="D452" s="11"/>
      <c r="E452" s="15"/>
      <c r="F452" s="11"/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B453" s="11"/>
      <c r="C453" s="11"/>
      <c r="D453" s="11"/>
      <c r="E453" s="15"/>
      <c r="F453" s="11"/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B454" s="11"/>
      <c r="C454" s="11"/>
      <c r="D454" s="11"/>
      <c r="E454" s="15"/>
      <c r="F454" s="11"/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B455" s="11"/>
      <c r="C455" s="11"/>
      <c r="D455" s="11"/>
      <c r="E455" s="15"/>
      <c r="F455" s="11"/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B456" s="11"/>
      <c r="C456" s="11"/>
      <c r="D456" s="11"/>
      <c r="E456" s="15"/>
      <c r="F456" s="11"/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B457" s="11"/>
      <c r="C457" s="11"/>
      <c r="D457" s="11"/>
      <c r="E457" s="15"/>
      <c r="F457" s="11"/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B458" s="11"/>
      <c r="C458" s="11"/>
      <c r="D458" s="11"/>
      <c r="E458" s="15"/>
      <c r="F458" s="11"/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B459" s="11"/>
      <c r="C459" s="11"/>
      <c r="D459" s="11"/>
      <c r="E459" s="15"/>
      <c r="F459" s="11"/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B460" s="11"/>
      <c r="C460" s="11"/>
      <c r="D460" s="11"/>
      <c r="E460" s="15"/>
      <c r="F460" s="11"/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B461" s="11"/>
      <c r="C461" s="11"/>
      <c r="D461" s="11"/>
      <c r="E461" s="15"/>
      <c r="F461" s="11"/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B462" s="11"/>
      <c r="C462" s="11"/>
      <c r="D462" s="11"/>
      <c r="E462" s="15"/>
      <c r="F462" s="11"/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B463" s="11"/>
      <c r="C463" s="11"/>
      <c r="D463" s="11"/>
      <c r="E463" s="15"/>
      <c r="F463" s="11"/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B464" s="11"/>
      <c r="C464" s="11"/>
      <c r="D464" s="11"/>
      <c r="E464" s="15"/>
      <c r="F464" s="11"/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B465" s="11"/>
      <c r="C465" s="11"/>
      <c r="D465" s="11"/>
      <c r="E465" s="15"/>
      <c r="F465" s="11"/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B466" s="11"/>
      <c r="C466" s="11"/>
      <c r="D466" s="11"/>
      <c r="E466" s="15"/>
      <c r="F466" s="11"/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B467" s="11"/>
      <c r="C467" s="11"/>
      <c r="D467" s="11"/>
      <c r="E467" s="15"/>
      <c r="F467" s="11"/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B468" s="11"/>
      <c r="C468" s="11"/>
      <c r="D468" s="11"/>
      <c r="E468" s="15"/>
      <c r="F468" s="11"/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B469" s="11"/>
      <c r="C469" s="11"/>
      <c r="D469" s="11"/>
      <c r="E469" s="15"/>
      <c r="F469" s="11"/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B470" s="11"/>
      <c r="C470" s="11"/>
      <c r="D470" s="11"/>
      <c r="E470" s="15"/>
      <c r="F470" s="11"/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B471" s="11"/>
      <c r="C471" s="11"/>
      <c r="D471" s="11"/>
      <c r="E471" s="15"/>
      <c r="F471" s="11"/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B472" s="11"/>
      <c r="C472" s="11"/>
      <c r="D472" s="11"/>
      <c r="E472" s="15"/>
      <c r="F472" s="11"/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B473" s="11"/>
      <c r="C473" s="11"/>
      <c r="D473" s="11"/>
      <c r="E473" s="15"/>
      <c r="F473" s="11"/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B474" s="11"/>
      <c r="C474" s="11"/>
      <c r="D474" s="11"/>
      <c r="E474" s="15"/>
      <c r="F474" s="11"/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B475" s="11"/>
      <c r="C475" s="11"/>
      <c r="D475" s="11"/>
      <c r="E475" s="15"/>
      <c r="F475" s="11"/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B476" s="11"/>
      <c r="C476" s="11"/>
      <c r="D476" s="11"/>
      <c r="E476" s="15"/>
      <c r="F476" s="11"/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B477" s="11"/>
      <c r="C477" s="11"/>
      <c r="D477" s="11"/>
      <c r="E477" s="15"/>
      <c r="F477" s="11"/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B478" s="11"/>
      <c r="C478" s="11"/>
      <c r="D478" s="11"/>
      <c r="E478" s="15"/>
      <c r="F478" s="11"/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B479" s="11"/>
      <c r="C479" s="11"/>
      <c r="D479" s="11"/>
      <c r="E479" s="15"/>
      <c r="F479" s="11"/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B480" s="11"/>
      <c r="C480" s="11"/>
      <c r="D480" s="11"/>
      <c r="E480" s="15"/>
      <c r="F480" s="11"/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B481" s="11"/>
      <c r="C481" s="11"/>
      <c r="D481" s="11"/>
      <c r="E481" s="15"/>
      <c r="F481" s="11"/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B482" s="11"/>
      <c r="C482" s="11"/>
      <c r="D482" s="11"/>
      <c r="E482" s="15"/>
      <c r="F482" s="11"/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B483" s="11"/>
      <c r="C483" s="11"/>
      <c r="D483" s="11"/>
      <c r="E483" s="15"/>
      <c r="F483" s="11"/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B484" s="11"/>
      <c r="C484" s="11"/>
      <c r="D484" s="11"/>
      <c r="E484" s="15"/>
      <c r="F484" s="11"/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B485" s="11"/>
      <c r="C485" s="11"/>
      <c r="D485" s="11"/>
      <c r="E485" s="15"/>
      <c r="F485" s="11"/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B486" s="11"/>
      <c r="C486" s="11"/>
      <c r="D486" s="11"/>
      <c r="E486" s="15"/>
      <c r="F486" s="11"/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B487" s="11"/>
      <c r="C487" s="11"/>
      <c r="D487" s="11"/>
      <c r="E487" s="15"/>
      <c r="F487" s="11"/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B488" s="11"/>
      <c r="C488" s="11"/>
      <c r="D488" s="11"/>
      <c r="E488" s="15"/>
      <c r="F488" s="11"/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B489" s="11"/>
      <c r="C489" s="11"/>
      <c r="D489" s="11"/>
      <c r="E489" s="15"/>
      <c r="F489" s="11"/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B490" s="11"/>
      <c r="C490" s="11"/>
      <c r="D490" s="11"/>
      <c r="E490" s="15"/>
      <c r="F490" s="11"/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B491" s="11"/>
      <c r="C491" s="11"/>
      <c r="D491" s="11"/>
      <c r="E491" s="15"/>
      <c r="F491" s="11"/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B492" s="11"/>
      <c r="C492" s="11"/>
      <c r="D492" s="11"/>
      <c r="E492" s="15"/>
      <c r="F492" s="11"/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B493" s="11"/>
      <c r="C493" s="11"/>
      <c r="D493" s="11"/>
      <c r="E493" s="15"/>
      <c r="F493" s="11"/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B494" s="11"/>
      <c r="C494" s="11"/>
      <c r="D494" s="11"/>
      <c r="E494" s="15"/>
      <c r="F494" s="11"/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B495" s="11"/>
      <c r="C495" s="11"/>
      <c r="D495" s="11"/>
      <c r="E495" s="15"/>
      <c r="F495" s="11"/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B496" s="11"/>
      <c r="C496" s="11"/>
      <c r="D496" s="11"/>
      <c r="E496" s="15"/>
      <c r="F496" s="11"/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B497" s="11"/>
      <c r="C497" s="11"/>
      <c r="D497" s="11"/>
      <c r="E497" s="15"/>
      <c r="F497" s="11"/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B498" s="11"/>
      <c r="C498" s="11"/>
      <c r="D498" s="11"/>
      <c r="E498" s="15"/>
      <c r="F498" s="11"/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B499" s="11"/>
      <c r="C499" s="11"/>
      <c r="D499" s="11"/>
      <c r="E499" s="15"/>
      <c r="F499" s="11"/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B500" s="11"/>
      <c r="C500" s="11"/>
      <c r="D500" s="11"/>
      <c r="E500" s="15"/>
      <c r="F500" s="11"/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B501" s="11"/>
      <c r="C501" s="11"/>
      <c r="D501" s="11"/>
      <c r="E501" s="15"/>
      <c r="F501" s="11"/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B502" s="11"/>
      <c r="C502" s="11"/>
      <c r="D502" s="11"/>
      <c r="E502" s="15"/>
      <c r="F502" s="11"/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B503" s="11"/>
      <c r="C503" s="11"/>
      <c r="D503" s="11"/>
      <c r="E503" s="15"/>
      <c r="F503" s="11"/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B504" s="11"/>
      <c r="C504" s="11"/>
      <c r="D504" s="11"/>
      <c r="E504" s="15"/>
      <c r="F504" s="11"/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B505" s="11"/>
      <c r="C505" s="11"/>
      <c r="D505" s="11"/>
      <c r="E505" s="15"/>
      <c r="F505" s="11"/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B506" s="11"/>
      <c r="C506" s="11"/>
      <c r="D506" s="11"/>
      <c r="E506" s="15"/>
      <c r="F506" s="11"/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B507" s="11"/>
      <c r="C507" s="11"/>
      <c r="D507" s="11"/>
      <c r="E507" s="15"/>
      <c r="F507" s="11"/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B508" s="11"/>
      <c r="C508" s="11"/>
      <c r="D508" s="11"/>
      <c r="E508" s="15"/>
      <c r="F508" s="11"/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B509" s="11"/>
      <c r="C509" s="11"/>
      <c r="D509" s="11"/>
      <c r="E509" s="15"/>
      <c r="F509" s="11"/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B510" s="11"/>
      <c r="C510" s="11"/>
      <c r="D510" s="11"/>
      <c r="E510" s="15"/>
      <c r="F510" s="11"/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B511" s="11"/>
      <c r="C511" s="11"/>
      <c r="D511" s="11"/>
      <c r="E511" s="15"/>
      <c r="F511" s="11"/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B512" s="11"/>
      <c r="C512" s="11"/>
      <c r="D512" s="11"/>
      <c r="E512" s="15"/>
      <c r="F512" s="11"/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B513" s="11"/>
      <c r="C513" s="11"/>
      <c r="D513" s="11"/>
      <c r="E513" s="15"/>
      <c r="F513" s="11"/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B514" s="11"/>
      <c r="C514" s="11"/>
      <c r="D514" s="11"/>
      <c r="E514" s="15"/>
      <c r="F514" s="11"/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B515" s="11"/>
      <c r="C515" s="11"/>
      <c r="D515" s="11"/>
      <c r="E515" s="15"/>
      <c r="F515" s="11"/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B516" s="11"/>
      <c r="C516" s="11"/>
      <c r="D516" s="11"/>
      <c r="E516" s="15"/>
      <c r="F516" s="11"/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B517" s="11"/>
      <c r="C517" s="11"/>
      <c r="D517" s="11"/>
      <c r="E517" s="15"/>
      <c r="F517" s="11"/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B518" s="11"/>
      <c r="C518" s="11"/>
      <c r="D518" s="11"/>
      <c r="E518" s="15"/>
      <c r="F518" s="11"/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B519" s="11"/>
      <c r="C519" s="11"/>
      <c r="D519" s="11"/>
      <c r="E519" s="15"/>
      <c r="F519" s="11"/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B520" s="11"/>
      <c r="C520" s="11"/>
      <c r="D520" s="11"/>
      <c r="E520" s="15"/>
      <c r="F520" s="11"/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B521" s="11"/>
      <c r="C521" s="11"/>
      <c r="D521" s="11"/>
      <c r="E521" s="15"/>
      <c r="F521" s="11"/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B522" s="11"/>
      <c r="C522" s="11"/>
      <c r="D522" s="11"/>
      <c r="E522" s="15"/>
      <c r="F522" s="11"/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B523" s="11"/>
      <c r="C523" s="11"/>
      <c r="D523" s="11"/>
      <c r="E523" s="15"/>
      <c r="F523" s="11"/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B524" s="11"/>
      <c r="C524" s="11"/>
      <c r="D524" s="11"/>
      <c r="E524" s="15"/>
      <c r="F524" s="11"/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B525" s="11"/>
      <c r="C525" s="11"/>
      <c r="D525" s="11"/>
      <c r="E525" s="15"/>
      <c r="F525" s="11"/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B526" s="11"/>
      <c r="C526" s="11"/>
      <c r="D526" s="11"/>
      <c r="E526" s="15"/>
      <c r="F526" s="11"/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B527" s="11"/>
      <c r="C527" s="11"/>
      <c r="D527" s="11"/>
      <c r="E527" s="15"/>
      <c r="F527" s="11"/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B528" s="11"/>
      <c r="C528" s="11"/>
      <c r="D528" s="11"/>
      <c r="E528" s="15"/>
      <c r="F528" s="11"/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B529" s="11"/>
      <c r="C529" s="11"/>
      <c r="D529" s="11"/>
      <c r="E529" s="15"/>
      <c r="F529" s="11"/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B530" s="11"/>
      <c r="C530" s="11"/>
      <c r="D530" s="11"/>
      <c r="E530" s="15"/>
      <c r="F530" s="11"/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B531" s="11"/>
      <c r="C531" s="11"/>
      <c r="D531" s="11"/>
      <c r="E531" s="15"/>
      <c r="F531" s="11"/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B532" s="11"/>
      <c r="C532" s="11"/>
      <c r="D532" s="11"/>
      <c r="E532" s="15"/>
      <c r="F532" s="11"/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B533" s="11"/>
      <c r="C533" s="11"/>
      <c r="D533" s="11"/>
      <c r="E533" s="15"/>
      <c r="F533" s="11"/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B534" s="11"/>
      <c r="C534" s="11"/>
      <c r="D534" s="11"/>
      <c r="E534" s="15"/>
      <c r="F534" s="11"/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B535" s="11"/>
      <c r="C535" s="11"/>
      <c r="D535" s="11"/>
      <c r="E535" s="15"/>
      <c r="F535" s="11"/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B536" s="11"/>
      <c r="C536" s="11"/>
      <c r="D536" s="11"/>
      <c r="E536" s="15"/>
      <c r="F536" s="11"/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B537" s="11"/>
      <c r="C537" s="11"/>
      <c r="D537" s="11"/>
      <c r="E537" s="15"/>
      <c r="F537" s="11"/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B538" s="11"/>
      <c r="C538" s="11"/>
      <c r="D538" s="11"/>
      <c r="E538" s="15"/>
      <c r="F538" s="11"/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B539" s="11"/>
      <c r="C539" s="11"/>
      <c r="D539" s="11"/>
      <c r="E539" s="15"/>
      <c r="F539" s="11"/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B540" s="11"/>
      <c r="C540" s="11"/>
      <c r="D540" s="11"/>
      <c r="E540" s="15"/>
      <c r="F540" s="11"/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B541" s="11"/>
      <c r="C541" s="11"/>
      <c r="D541" s="11"/>
      <c r="E541" s="15"/>
      <c r="F541" s="11"/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B542" s="11"/>
      <c r="C542" s="11"/>
      <c r="D542" s="11"/>
      <c r="E542" s="15"/>
      <c r="F542" s="11"/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B543" s="11"/>
      <c r="C543" s="11"/>
      <c r="D543" s="11"/>
      <c r="E543" s="15"/>
      <c r="F543" s="11"/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B544" s="11"/>
      <c r="C544" s="11"/>
      <c r="D544" s="11"/>
      <c r="E544" s="15"/>
      <c r="F544" s="11"/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B545" s="11"/>
      <c r="C545" s="11"/>
      <c r="D545" s="11"/>
      <c r="E545" s="15"/>
      <c r="F545" s="11"/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B546" s="11"/>
      <c r="C546" s="11"/>
      <c r="D546" s="11"/>
      <c r="E546" s="15"/>
      <c r="F546" s="11"/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B547" s="11"/>
      <c r="C547" s="11"/>
      <c r="D547" s="11"/>
      <c r="E547" s="15"/>
      <c r="F547" s="11"/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B548" s="11"/>
      <c r="C548" s="11"/>
      <c r="D548" s="11"/>
      <c r="E548" s="15"/>
      <c r="F548" s="11"/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B549" s="11"/>
      <c r="C549" s="11"/>
      <c r="D549" s="11"/>
      <c r="E549" s="15"/>
      <c r="F549" s="11"/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B550" s="11"/>
      <c r="C550" s="11"/>
      <c r="D550" s="11"/>
      <c r="E550" s="15"/>
      <c r="F550" s="11"/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B551" s="11"/>
      <c r="C551" s="11"/>
      <c r="D551" s="11"/>
      <c r="E551" s="15"/>
      <c r="F551" s="11"/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B552" s="11"/>
      <c r="C552" s="11"/>
      <c r="D552" s="11"/>
      <c r="E552" s="15"/>
      <c r="F552" s="11"/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B553" s="11"/>
      <c r="C553" s="11"/>
      <c r="D553" s="11"/>
      <c r="E553" s="15"/>
      <c r="F553" s="11"/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B554" s="11"/>
      <c r="C554" s="11"/>
      <c r="D554" s="11"/>
      <c r="E554" s="15"/>
      <c r="F554" s="11"/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B555" s="11"/>
      <c r="C555" s="11"/>
      <c r="D555" s="11"/>
      <c r="E555" s="15"/>
      <c r="F555" s="11"/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B556" s="11"/>
      <c r="C556" s="11"/>
      <c r="D556" s="11"/>
      <c r="E556" s="15"/>
      <c r="F556" s="11"/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B557" s="11"/>
      <c r="C557" s="11"/>
      <c r="D557" s="11"/>
      <c r="E557" s="15"/>
      <c r="F557" s="11"/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B558" s="11"/>
      <c r="C558" s="11"/>
      <c r="D558" s="11"/>
      <c r="E558" s="15"/>
      <c r="F558" s="11"/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B559" s="11"/>
      <c r="C559" s="11"/>
      <c r="D559" s="11"/>
      <c r="E559" s="15"/>
      <c r="F559" s="11"/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B560" s="11"/>
      <c r="C560" s="11"/>
      <c r="D560" s="11"/>
      <c r="E560" s="15"/>
      <c r="F560" s="11"/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B561" s="11"/>
      <c r="C561" s="11"/>
      <c r="D561" s="11"/>
      <c r="E561" s="15"/>
      <c r="F561" s="11"/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B562" s="11"/>
      <c r="C562" s="11"/>
      <c r="D562" s="11"/>
      <c r="E562" s="15"/>
      <c r="F562" s="11"/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B563" s="11"/>
      <c r="C563" s="11"/>
      <c r="D563" s="11"/>
      <c r="E563" s="15"/>
      <c r="F563" s="11"/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B564" s="11"/>
      <c r="C564" s="11"/>
      <c r="D564" s="11"/>
      <c r="E564" s="15"/>
      <c r="F564" s="11"/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B565" s="11"/>
      <c r="C565" s="11"/>
      <c r="D565" s="11"/>
      <c r="E565" s="15"/>
      <c r="F565" s="11"/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B566" s="11"/>
      <c r="C566" s="11"/>
      <c r="D566" s="11"/>
      <c r="E566" s="15"/>
      <c r="F566" s="11"/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B567" s="11"/>
      <c r="C567" s="11"/>
      <c r="D567" s="11"/>
      <c r="E567" s="15"/>
      <c r="F567" s="11"/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B568" s="11"/>
      <c r="C568" s="11"/>
      <c r="D568" s="11"/>
      <c r="E568" s="15"/>
      <c r="F568" s="11"/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B569" s="11"/>
      <c r="C569" s="11"/>
      <c r="D569" s="11"/>
      <c r="E569" s="15"/>
      <c r="F569" s="11"/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B570" s="11"/>
      <c r="C570" s="11"/>
      <c r="D570" s="11"/>
      <c r="E570" s="15"/>
      <c r="F570" s="11"/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B571" s="11"/>
      <c r="C571" s="11"/>
      <c r="D571" s="11"/>
      <c r="E571" s="15"/>
      <c r="F571" s="11"/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B572" s="11"/>
      <c r="C572" s="11"/>
      <c r="D572" s="11"/>
      <c r="E572" s="15"/>
      <c r="F572" s="11"/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B573" s="11"/>
      <c r="C573" s="11"/>
      <c r="D573" s="11"/>
      <c r="E573" s="15"/>
      <c r="F573" s="11"/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B574" s="11"/>
      <c r="C574" s="11"/>
      <c r="D574" s="11"/>
      <c r="E574" s="15"/>
      <c r="F574" s="11"/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B575" s="11"/>
      <c r="C575" s="11"/>
      <c r="D575" s="11"/>
      <c r="E575" s="15"/>
      <c r="F575" s="11"/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B576" s="11"/>
      <c r="C576" s="11"/>
      <c r="D576" s="11"/>
      <c r="E576" s="15"/>
      <c r="F576" s="11"/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B577" s="11"/>
      <c r="C577" s="11"/>
      <c r="D577" s="11"/>
      <c r="E577" s="15"/>
      <c r="F577" s="11"/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B578" s="11"/>
      <c r="C578" s="11"/>
      <c r="D578" s="11"/>
      <c r="E578" s="15"/>
      <c r="F578" s="11"/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B579" s="11"/>
      <c r="C579" s="11"/>
      <c r="D579" s="11"/>
      <c r="E579" s="15"/>
      <c r="F579" s="11"/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B580" s="11"/>
      <c r="C580" s="11"/>
      <c r="D580" s="11"/>
      <c r="E580" s="15"/>
      <c r="F580" s="11"/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B581" s="11"/>
      <c r="C581" s="11"/>
      <c r="D581" s="11"/>
      <c r="E581" s="15"/>
      <c r="F581" s="11"/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B582" s="11"/>
      <c r="C582" s="11"/>
      <c r="D582" s="11"/>
      <c r="E582" s="15"/>
      <c r="F582" s="11"/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B583" s="11"/>
      <c r="C583" s="11"/>
      <c r="D583" s="11"/>
      <c r="E583" s="15"/>
      <c r="F583" s="11"/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B584" s="11"/>
      <c r="C584" s="11"/>
      <c r="D584" s="11"/>
      <c r="E584" s="15"/>
      <c r="F584" s="11"/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B585" s="11"/>
      <c r="C585" s="11"/>
      <c r="D585" s="11"/>
      <c r="E585" s="15"/>
      <c r="F585" s="11"/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B586" s="11"/>
      <c r="C586" s="11"/>
      <c r="D586" s="11"/>
      <c r="E586" s="15"/>
      <c r="F586" s="11"/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B587" s="11"/>
      <c r="C587" s="11"/>
      <c r="D587" s="11"/>
      <c r="E587" s="15"/>
      <c r="F587" s="11"/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B588" s="11"/>
      <c r="C588" s="11"/>
      <c r="D588" s="11"/>
      <c r="E588" s="15"/>
      <c r="F588" s="11"/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B589" s="11"/>
      <c r="C589" s="11"/>
      <c r="D589" s="11"/>
      <c r="E589" s="15"/>
      <c r="F589" s="11"/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B590" s="11"/>
      <c r="C590" s="11"/>
      <c r="D590" s="11"/>
      <c r="E590" s="15"/>
      <c r="F590" s="11"/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B591" s="11"/>
      <c r="C591" s="11"/>
      <c r="D591" s="11"/>
      <c r="E591" s="15"/>
      <c r="F591" s="11"/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B592" s="11"/>
      <c r="C592" s="11"/>
      <c r="D592" s="11"/>
      <c r="E592" s="15"/>
      <c r="F592" s="11"/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B593" s="11"/>
      <c r="C593" s="11"/>
      <c r="D593" s="11"/>
      <c r="E593" s="15"/>
      <c r="F593" s="11"/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B594" s="11"/>
      <c r="C594" s="11"/>
      <c r="D594" s="11"/>
      <c r="E594" s="15"/>
      <c r="F594" s="11"/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B595" s="11"/>
      <c r="C595" s="11"/>
      <c r="D595" s="11"/>
      <c r="E595" s="15"/>
      <c r="F595" s="11"/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B596" s="11"/>
      <c r="C596" s="11"/>
      <c r="D596" s="11"/>
      <c r="E596" s="15"/>
      <c r="F596" s="11"/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B597" s="11"/>
      <c r="C597" s="11"/>
      <c r="D597" s="11"/>
      <c r="E597" s="15"/>
      <c r="F597" s="11"/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B598" s="11"/>
      <c r="C598" s="11"/>
      <c r="D598" s="11"/>
      <c r="E598" s="15"/>
      <c r="F598" s="11"/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B599" s="11"/>
      <c r="C599" s="11"/>
      <c r="D599" s="11"/>
      <c r="E599" s="15"/>
      <c r="F599" s="11"/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B600" s="11"/>
      <c r="C600" s="11"/>
      <c r="D600" s="11"/>
      <c r="E600" s="15"/>
      <c r="F600" s="11"/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B601" s="11"/>
      <c r="C601" s="11"/>
      <c r="D601" s="11"/>
      <c r="E601" s="15"/>
      <c r="F601" s="11"/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B602" s="11"/>
      <c r="C602" s="11"/>
      <c r="D602" s="11"/>
      <c r="E602" s="15"/>
      <c r="F602" s="11"/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B603" s="11"/>
      <c r="C603" s="11"/>
      <c r="D603" s="11"/>
      <c r="E603" s="15"/>
      <c r="F603" s="11"/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B604" s="11"/>
      <c r="C604" s="11"/>
      <c r="D604" s="11"/>
      <c r="E604" s="15"/>
      <c r="F604" s="11"/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B605" s="11"/>
      <c r="C605" s="11"/>
      <c r="D605" s="11"/>
      <c r="E605" s="15"/>
      <c r="F605" s="11"/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B606" s="11"/>
      <c r="C606" s="11"/>
      <c r="D606" s="11"/>
      <c r="E606" s="15"/>
      <c r="F606" s="11"/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B607" s="11"/>
      <c r="C607" s="11"/>
      <c r="D607" s="11"/>
      <c r="E607" s="15"/>
      <c r="F607" s="11"/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B608" s="11"/>
      <c r="C608" s="11"/>
      <c r="D608" s="11"/>
      <c r="E608" s="15"/>
      <c r="F608" s="11"/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B609" s="11"/>
      <c r="C609" s="11"/>
      <c r="D609" s="11"/>
      <c r="E609" s="15"/>
      <c r="F609" s="11"/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B610" s="11"/>
      <c r="C610" s="11"/>
      <c r="D610" s="11"/>
      <c r="E610" s="15"/>
      <c r="F610" s="11"/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B611" s="11"/>
      <c r="C611" s="11"/>
      <c r="D611" s="11"/>
      <c r="E611" s="15"/>
      <c r="F611" s="11"/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B612" s="11"/>
      <c r="C612" s="11"/>
      <c r="D612" s="11"/>
      <c r="E612" s="15"/>
      <c r="F612" s="11"/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B613" s="11"/>
      <c r="C613" s="11"/>
      <c r="D613" s="11"/>
      <c r="E613" s="15"/>
      <c r="F613" s="11"/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B614" s="11"/>
      <c r="C614" s="11"/>
      <c r="D614" s="11"/>
      <c r="E614" s="15"/>
      <c r="F614" s="11"/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B615" s="11"/>
      <c r="C615" s="11"/>
      <c r="D615" s="11"/>
      <c r="E615" s="15"/>
      <c r="F615" s="11"/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B616" s="11"/>
      <c r="C616" s="11"/>
      <c r="D616" s="11"/>
      <c r="E616" s="15"/>
      <c r="F616" s="11"/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B617" s="11"/>
      <c r="C617" s="11"/>
      <c r="D617" s="11"/>
      <c r="E617" s="15"/>
      <c r="F617" s="11"/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B618" s="11"/>
      <c r="C618" s="11"/>
      <c r="D618" s="11"/>
      <c r="E618" s="15"/>
      <c r="F618" s="11"/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B619" s="11"/>
      <c r="C619" s="11"/>
      <c r="D619" s="11"/>
      <c r="E619" s="15"/>
      <c r="F619" s="11"/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B620" s="11"/>
      <c r="C620" s="11"/>
      <c r="D620" s="11"/>
      <c r="E620" s="15"/>
      <c r="F620" s="11"/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B621" s="11"/>
      <c r="C621" s="11"/>
      <c r="D621" s="11"/>
      <c r="E621" s="15"/>
      <c r="F621" s="11"/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B622" s="11"/>
      <c r="C622" s="11"/>
      <c r="D622" s="11"/>
      <c r="E622" s="15"/>
      <c r="F622" s="11"/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B623" s="11"/>
      <c r="C623" s="11"/>
      <c r="D623" s="11"/>
      <c r="E623" s="15"/>
      <c r="F623" s="11"/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B624" s="11"/>
      <c r="C624" s="11"/>
      <c r="D624" s="11"/>
      <c r="E624" s="15"/>
      <c r="F624" s="11"/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B625" s="11"/>
      <c r="C625" s="11"/>
      <c r="D625" s="11"/>
      <c r="E625" s="15"/>
      <c r="F625" s="11"/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B626" s="11"/>
      <c r="C626" s="11"/>
      <c r="D626" s="11"/>
      <c r="E626" s="15"/>
      <c r="F626" s="11"/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B627" s="11"/>
      <c r="C627" s="11"/>
      <c r="D627" s="11"/>
      <c r="E627" s="15"/>
      <c r="F627" s="11"/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B628" s="11"/>
      <c r="C628" s="11"/>
      <c r="D628" s="11"/>
      <c r="E628" s="15"/>
      <c r="F628" s="11"/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B629" s="11"/>
      <c r="C629" s="11"/>
      <c r="D629" s="11"/>
      <c r="E629" s="15"/>
      <c r="F629" s="11"/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B630" s="11"/>
      <c r="C630" s="11"/>
      <c r="D630" s="11"/>
      <c r="E630" s="15"/>
      <c r="F630" s="11"/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B631" s="11"/>
      <c r="C631" s="11"/>
      <c r="D631" s="11"/>
      <c r="E631" s="15"/>
      <c r="F631" s="11"/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B632" s="11"/>
      <c r="C632" s="11"/>
      <c r="D632" s="11"/>
      <c r="E632" s="15"/>
      <c r="F632" s="11"/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B633" s="11"/>
      <c r="C633" s="11"/>
      <c r="D633" s="11"/>
      <c r="E633" s="15"/>
      <c r="F633" s="11"/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B634" s="11"/>
      <c r="C634" s="11"/>
      <c r="D634" s="11"/>
      <c r="E634" s="15"/>
      <c r="F634" s="11"/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B635" s="11"/>
      <c r="C635" s="11"/>
      <c r="D635" s="11"/>
      <c r="E635" s="15"/>
      <c r="F635" s="11"/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B636" s="11"/>
      <c r="C636" s="11"/>
      <c r="D636" s="11"/>
      <c r="E636" s="15"/>
      <c r="F636" s="11"/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B637" s="11"/>
      <c r="C637" s="11"/>
      <c r="D637" s="11"/>
      <c r="E637" s="15"/>
      <c r="F637" s="11"/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B638" s="11"/>
      <c r="C638" s="11"/>
      <c r="D638" s="11"/>
      <c r="E638" s="15"/>
      <c r="F638" s="11"/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B639" s="11"/>
      <c r="C639" s="11"/>
      <c r="D639" s="11"/>
      <c r="E639" s="15"/>
      <c r="F639" s="11"/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B640" s="11"/>
      <c r="C640" s="11"/>
      <c r="D640" s="11"/>
      <c r="E640" s="15"/>
      <c r="F640" s="11"/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B641" s="11"/>
      <c r="C641" s="11"/>
      <c r="D641" s="11"/>
      <c r="E641" s="15"/>
      <c r="F641" s="11"/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B642" s="11"/>
      <c r="C642" s="11"/>
      <c r="D642" s="11"/>
      <c r="E642" s="15"/>
      <c r="F642" s="11"/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B643" s="11"/>
      <c r="C643" s="11"/>
      <c r="D643" s="11"/>
      <c r="E643" s="15"/>
      <c r="F643" s="11"/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B644" s="11"/>
      <c r="C644" s="11"/>
      <c r="D644" s="11"/>
      <c r="E644" s="15"/>
      <c r="F644" s="11"/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B645" s="11"/>
      <c r="C645" s="11"/>
      <c r="D645" s="11"/>
      <c r="E645" s="15"/>
      <c r="F645" s="11"/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B646" s="11"/>
      <c r="C646" s="11"/>
      <c r="D646" s="11"/>
      <c r="E646" s="15"/>
      <c r="F646" s="11"/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B647" s="11"/>
      <c r="C647" s="11"/>
      <c r="D647" s="11"/>
      <c r="E647" s="15"/>
      <c r="F647" s="11"/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B648" s="11"/>
      <c r="C648" s="11"/>
      <c r="D648" s="11"/>
      <c r="E648" s="15"/>
      <c r="F648" s="11"/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B649" s="11"/>
      <c r="C649" s="11"/>
      <c r="D649" s="11"/>
      <c r="E649" s="15"/>
      <c r="F649" s="11"/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B650" s="11"/>
      <c r="C650" s="11"/>
      <c r="D650" s="11"/>
      <c r="E650" s="15"/>
      <c r="F650" s="11"/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B651" s="11"/>
      <c r="C651" s="11"/>
      <c r="D651" s="11"/>
      <c r="E651" s="15"/>
      <c r="F651" s="11"/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B652" s="11"/>
      <c r="C652" s="11"/>
      <c r="D652" s="11"/>
      <c r="E652" s="15"/>
      <c r="F652" s="11"/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B653" s="11"/>
      <c r="C653" s="11"/>
      <c r="D653" s="11"/>
      <c r="E653" s="15"/>
      <c r="F653" s="11"/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B654" s="11"/>
      <c r="C654" s="11"/>
      <c r="D654" s="11"/>
      <c r="E654" s="15"/>
      <c r="F654" s="11"/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B655" s="11"/>
      <c r="C655" s="11"/>
      <c r="D655" s="11"/>
      <c r="E655" s="15"/>
      <c r="F655" s="11"/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B656" s="11"/>
      <c r="C656" s="11"/>
      <c r="D656" s="11"/>
      <c r="E656" s="15"/>
      <c r="F656" s="11"/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B657" s="11"/>
      <c r="C657" s="11"/>
      <c r="D657" s="11"/>
      <c r="E657" s="15"/>
      <c r="F657" s="11"/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B658" s="11"/>
      <c r="C658" s="11"/>
      <c r="D658" s="11"/>
      <c r="E658" s="15"/>
      <c r="F658" s="11"/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B659" s="11"/>
      <c r="C659" s="11"/>
      <c r="D659" s="11"/>
      <c r="E659" s="15"/>
      <c r="F659" s="11"/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B660" s="11"/>
      <c r="C660" s="11"/>
      <c r="D660" s="11"/>
      <c r="E660" s="15"/>
      <c r="F660" s="11"/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B661" s="11"/>
      <c r="C661" s="11"/>
      <c r="D661" s="11"/>
      <c r="E661" s="15"/>
      <c r="F661" s="11"/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B662" s="11"/>
      <c r="C662" s="11"/>
      <c r="D662" s="11"/>
      <c r="E662" s="15"/>
      <c r="F662" s="11"/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B663" s="11"/>
      <c r="C663" s="11"/>
      <c r="D663" s="11"/>
      <c r="E663" s="15"/>
      <c r="F663" s="11"/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B664" s="11"/>
      <c r="C664" s="11"/>
      <c r="D664" s="11"/>
      <c r="E664" s="15"/>
      <c r="F664" s="11"/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B665" s="11"/>
      <c r="C665" s="11"/>
      <c r="D665" s="11"/>
      <c r="E665" s="15"/>
      <c r="F665" s="11"/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B666" s="11"/>
      <c r="C666" s="11"/>
      <c r="D666" s="11"/>
      <c r="E666" s="15"/>
      <c r="F666" s="11"/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B667" s="11"/>
      <c r="C667" s="11"/>
      <c r="D667" s="11"/>
      <c r="E667" s="15"/>
      <c r="F667" s="11"/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B668" s="11"/>
      <c r="C668" s="11"/>
      <c r="D668" s="11"/>
      <c r="E668" s="15"/>
      <c r="F668" s="11"/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B669" s="11"/>
      <c r="C669" s="11"/>
      <c r="D669" s="11"/>
      <c r="E669" s="15"/>
      <c r="F669" s="11"/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B670" s="11"/>
      <c r="C670" s="11"/>
      <c r="D670" s="11"/>
      <c r="E670" s="15"/>
      <c r="F670" s="11"/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B671" s="11"/>
      <c r="C671" s="11"/>
      <c r="D671" s="11"/>
      <c r="E671" s="15"/>
      <c r="F671" s="11"/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B672" s="11"/>
      <c r="C672" s="11"/>
      <c r="D672" s="11"/>
      <c r="E672" s="15"/>
      <c r="F672" s="11"/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B673" s="11"/>
      <c r="C673" s="11"/>
      <c r="D673" s="11"/>
      <c r="E673" s="15"/>
      <c r="F673" s="11"/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B674" s="11"/>
      <c r="C674" s="11"/>
      <c r="D674" s="11"/>
      <c r="E674" s="15"/>
      <c r="F674" s="11"/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B675" s="11"/>
      <c r="C675" s="11"/>
      <c r="D675" s="11"/>
      <c r="E675" s="15"/>
      <c r="F675" s="11"/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B676" s="11"/>
      <c r="C676" s="11"/>
      <c r="D676" s="11"/>
      <c r="E676" s="15"/>
      <c r="F676" s="11"/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B677" s="11"/>
      <c r="C677" s="11"/>
      <c r="D677" s="11"/>
      <c r="E677" s="15"/>
      <c r="F677" s="11"/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699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1.0</v>
      </c>
      <c r="H3" s="9">
        <v>0.0</v>
      </c>
      <c r="I3" s="9">
        <v>0.0</v>
      </c>
      <c r="J3" s="17">
        <v>-590.0</v>
      </c>
      <c r="K3" s="18">
        <v>-698.87</v>
      </c>
      <c r="L3" s="17">
        <v>-604.0</v>
      </c>
      <c r="M3" s="18">
        <v>-604.0</v>
      </c>
      <c r="N3" s="18">
        <v>0.0</v>
      </c>
      <c r="O3" s="18">
        <v>3.681</v>
      </c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1.0</v>
      </c>
      <c r="H4" s="9">
        <v>0.0</v>
      </c>
      <c r="I4" s="9">
        <v>0.0</v>
      </c>
      <c r="J4" s="17">
        <v>-585.0</v>
      </c>
      <c r="K4" s="18">
        <v>-781.844</v>
      </c>
      <c r="L4" s="17">
        <v>-665.0</v>
      </c>
      <c r="M4" s="18">
        <v>-665.0</v>
      </c>
      <c r="N4" s="18">
        <v>0.0</v>
      </c>
      <c r="O4" s="18">
        <v>5.248</v>
      </c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1.0</v>
      </c>
      <c r="H5" s="9">
        <v>0.0</v>
      </c>
      <c r="I5" s="9">
        <v>0.0</v>
      </c>
      <c r="J5" s="17">
        <v>-484.0</v>
      </c>
      <c r="K5" s="18">
        <v>-850.151</v>
      </c>
      <c r="L5" s="17">
        <v>-730.0</v>
      </c>
      <c r="M5" s="18">
        <v>-730.0</v>
      </c>
      <c r="N5" s="18">
        <v>0.0</v>
      </c>
      <c r="O5" s="18">
        <v>7.521</v>
      </c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1.0</v>
      </c>
      <c r="H6" s="9">
        <v>0.0</v>
      </c>
      <c r="I6" s="9">
        <v>0.0</v>
      </c>
      <c r="J6" s="17">
        <v>-271.0</v>
      </c>
      <c r="K6" s="18">
        <v>-778.062</v>
      </c>
      <c r="L6" s="17">
        <v>-634.0</v>
      </c>
      <c r="M6" s="18">
        <v>-634.0</v>
      </c>
      <c r="N6" s="18">
        <v>0.0</v>
      </c>
      <c r="O6" s="18">
        <v>6.189</v>
      </c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1.0</v>
      </c>
      <c r="H7" s="9">
        <v>0.0</v>
      </c>
      <c r="I7" s="9">
        <v>0.0</v>
      </c>
      <c r="J7" s="17">
        <v>-306.0</v>
      </c>
      <c r="K7" s="18">
        <v>-768.934</v>
      </c>
      <c r="L7" s="17">
        <v>-653.0</v>
      </c>
      <c r="M7" s="18">
        <v>-653.0</v>
      </c>
      <c r="N7" s="18">
        <v>0.0</v>
      </c>
      <c r="O7" s="18">
        <v>6.501</v>
      </c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1.0</v>
      </c>
      <c r="H8" s="9">
        <v>0.0</v>
      </c>
      <c r="I8" s="9">
        <v>0.0</v>
      </c>
      <c r="J8" s="17">
        <v>-385.0</v>
      </c>
      <c r="K8" s="18">
        <v>-544.088</v>
      </c>
      <c r="L8" s="17">
        <v>-442.0</v>
      </c>
      <c r="M8" s="18">
        <v>-442.0</v>
      </c>
      <c r="N8" s="18">
        <v>0.0</v>
      </c>
      <c r="O8" s="18">
        <v>9.287</v>
      </c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1.0</v>
      </c>
      <c r="H9" s="9">
        <v>0.0</v>
      </c>
      <c r="I9" s="9">
        <v>0.0</v>
      </c>
      <c r="J9" s="17">
        <v>-447.0</v>
      </c>
      <c r="K9" s="18">
        <v>-700.254</v>
      </c>
      <c r="L9" s="17">
        <v>-574.0</v>
      </c>
      <c r="M9" s="18">
        <v>-574.0</v>
      </c>
      <c r="N9" s="18">
        <v>0.0</v>
      </c>
      <c r="O9" s="18">
        <v>11.115</v>
      </c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1.0</v>
      </c>
      <c r="H10" s="9">
        <v>0.0</v>
      </c>
      <c r="I10" s="9">
        <v>0.0</v>
      </c>
      <c r="J10" s="17">
        <v>-326.0</v>
      </c>
      <c r="K10" s="18">
        <v>-649.769</v>
      </c>
      <c r="L10" s="17">
        <v>-500.0</v>
      </c>
      <c r="M10" s="18">
        <v>-500.0</v>
      </c>
      <c r="N10" s="18">
        <v>0.0</v>
      </c>
      <c r="O10" s="18">
        <v>65.005</v>
      </c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1.0</v>
      </c>
      <c r="H11" s="9">
        <v>0.0</v>
      </c>
      <c r="I11" s="9">
        <v>0.0</v>
      </c>
      <c r="J11" s="17">
        <v>-82.0</v>
      </c>
      <c r="K11" s="18">
        <v>-586.464</v>
      </c>
      <c r="L11" s="17">
        <v>-402.0</v>
      </c>
      <c r="M11" s="18">
        <v>-402.0</v>
      </c>
      <c r="N11" s="18">
        <v>0.0</v>
      </c>
      <c r="O11" s="18">
        <v>40.755</v>
      </c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1.0</v>
      </c>
      <c r="H12" s="9">
        <v>0.0</v>
      </c>
      <c r="I12" s="9">
        <v>0.0</v>
      </c>
      <c r="J12" s="17">
        <v>-234.0</v>
      </c>
      <c r="K12" s="18">
        <v>-605.73</v>
      </c>
      <c r="L12" s="17">
        <v>-481.0</v>
      </c>
      <c r="M12" s="18">
        <v>-481.0</v>
      </c>
      <c r="N12" s="18">
        <v>0.0</v>
      </c>
      <c r="O12" s="18">
        <v>53.283</v>
      </c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1.0</v>
      </c>
      <c r="H13" s="9">
        <v>0.0</v>
      </c>
      <c r="I13" s="9">
        <v>0.0</v>
      </c>
      <c r="J13" s="17">
        <v>1447.0</v>
      </c>
      <c r="K13" s="18">
        <v>1288.79</v>
      </c>
      <c r="L13" s="17">
        <v>1422.0</v>
      </c>
      <c r="M13" s="18">
        <v>1422.0</v>
      </c>
      <c r="N13" s="18">
        <v>0.0</v>
      </c>
      <c r="O13" s="18">
        <v>9.373</v>
      </c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1.0</v>
      </c>
      <c r="H14" s="9">
        <v>0.0</v>
      </c>
      <c r="I14" s="9">
        <v>0.0</v>
      </c>
      <c r="J14" s="17">
        <v>233.0</v>
      </c>
      <c r="K14" s="18">
        <v>202.715</v>
      </c>
      <c r="L14" s="17">
        <v>233.0</v>
      </c>
      <c r="M14" s="18">
        <v>233.0</v>
      </c>
      <c r="N14" s="18">
        <v>0.0</v>
      </c>
      <c r="O14" s="18">
        <v>0.146</v>
      </c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1.0</v>
      </c>
      <c r="H15" s="9">
        <v>0.0</v>
      </c>
      <c r="I15" s="9">
        <v>0.0</v>
      </c>
      <c r="J15" s="17">
        <v>3299.0</v>
      </c>
      <c r="K15" s="18">
        <v>1431.37</v>
      </c>
      <c r="L15" s="17">
        <v>1634.0</v>
      </c>
      <c r="M15" s="18">
        <v>1634.0</v>
      </c>
      <c r="N15" s="18">
        <v>0.0</v>
      </c>
      <c r="O15" s="18">
        <v>130.452</v>
      </c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1.0</v>
      </c>
      <c r="H16" s="9">
        <v>0.0</v>
      </c>
      <c r="I16" s="9">
        <v>0.0</v>
      </c>
      <c r="J16" s="17">
        <v>1896.0</v>
      </c>
      <c r="K16" s="18">
        <v>1806.36</v>
      </c>
      <c r="L16" s="17">
        <v>1860.0</v>
      </c>
      <c r="M16" s="18">
        <v>1860.0</v>
      </c>
      <c r="N16" s="18">
        <v>0.0</v>
      </c>
      <c r="O16" s="18">
        <v>0.349</v>
      </c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1.0</v>
      </c>
      <c r="H17" s="9">
        <v>0.0</v>
      </c>
      <c r="I17" s="9">
        <v>0.0</v>
      </c>
      <c r="J17" s="17">
        <v>1371.0</v>
      </c>
      <c r="K17" s="18">
        <v>1334.19</v>
      </c>
      <c r="L17" s="17">
        <v>1361.0</v>
      </c>
      <c r="M17" s="18">
        <v>1361.0</v>
      </c>
      <c r="N17" s="18">
        <v>0.0</v>
      </c>
      <c r="O17" s="18">
        <v>0.338</v>
      </c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1.0</v>
      </c>
      <c r="H18" s="9">
        <v>0.0</v>
      </c>
      <c r="I18" s="9">
        <v>0.0</v>
      </c>
      <c r="J18" s="17">
        <v>-724.0</v>
      </c>
      <c r="K18" s="18">
        <v>-1573.21</v>
      </c>
      <c r="L18" s="17">
        <v>-1091.0</v>
      </c>
      <c r="M18" s="18">
        <v>-1091.0</v>
      </c>
      <c r="N18" s="18">
        <v>0.0</v>
      </c>
      <c r="O18" s="18">
        <v>63.164</v>
      </c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1.0</v>
      </c>
      <c r="H19" s="9">
        <v>0.0</v>
      </c>
      <c r="I19" s="9">
        <v>0.0</v>
      </c>
      <c r="J19" s="17">
        <v>-611.0</v>
      </c>
      <c r="K19" s="18">
        <v>-1634.77</v>
      </c>
      <c r="L19" s="17">
        <v>-1074.0</v>
      </c>
      <c r="M19" s="18">
        <v>-1074.0</v>
      </c>
      <c r="N19" s="18">
        <v>0.0</v>
      </c>
      <c r="O19" s="18">
        <v>178.709</v>
      </c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1.0</v>
      </c>
      <c r="H20" s="9">
        <v>0.0</v>
      </c>
      <c r="I20" s="9">
        <v>0.0</v>
      </c>
      <c r="J20" s="17">
        <v>-836.0</v>
      </c>
      <c r="K20" s="18">
        <v>-1465.64</v>
      </c>
      <c r="L20" s="17">
        <v>-1002.0</v>
      </c>
      <c r="M20" s="18">
        <v>-1002.0</v>
      </c>
      <c r="N20" s="18">
        <v>0.0</v>
      </c>
      <c r="O20" s="18">
        <v>145.822</v>
      </c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1.0</v>
      </c>
      <c r="H21" s="9">
        <v>0.0</v>
      </c>
      <c r="I21" s="9">
        <v>0.0</v>
      </c>
      <c r="J21" s="17">
        <v>-644.0</v>
      </c>
      <c r="K21" s="18">
        <v>-1361.39</v>
      </c>
      <c r="L21" s="17">
        <v>-990.0</v>
      </c>
      <c r="M21" s="18">
        <v>-990.0</v>
      </c>
      <c r="N21" s="18">
        <v>0.0</v>
      </c>
      <c r="O21" s="18">
        <v>26.17</v>
      </c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1.0</v>
      </c>
      <c r="H22" s="9">
        <v>0.0</v>
      </c>
      <c r="I22" s="9">
        <v>0.0</v>
      </c>
      <c r="J22" s="17">
        <v>-9.0</v>
      </c>
      <c r="K22" s="18">
        <v>-1953.3</v>
      </c>
      <c r="L22" s="17">
        <v>-1146.0</v>
      </c>
      <c r="M22" s="18">
        <v>-1146.0</v>
      </c>
      <c r="N22" s="18">
        <v>0.0</v>
      </c>
      <c r="O22" s="18">
        <v>1878.22</v>
      </c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17">
        <v>-311.0</v>
      </c>
      <c r="K23" s="18">
        <v>-1081.76</v>
      </c>
      <c r="L23" s="17">
        <v>-719.0</v>
      </c>
      <c r="M23" s="18">
        <v>-719.0</v>
      </c>
      <c r="N23" s="18">
        <v>0.0</v>
      </c>
      <c r="O23" s="18">
        <v>364.555</v>
      </c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1.0</v>
      </c>
      <c r="H24" s="9">
        <v>0.0</v>
      </c>
      <c r="I24" s="9">
        <v>0.0</v>
      </c>
      <c r="J24" s="17">
        <v>-661.0</v>
      </c>
      <c r="K24" s="18">
        <v>-1263.5</v>
      </c>
      <c r="L24" s="17">
        <v>-847.0</v>
      </c>
      <c r="M24" s="18">
        <v>-847.0</v>
      </c>
      <c r="N24" s="18">
        <v>0.0</v>
      </c>
      <c r="O24" s="18">
        <v>385.144</v>
      </c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1.0</v>
      </c>
      <c r="H25" s="9">
        <v>0.0</v>
      </c>
      <c r="I25" s="9">
        <v>0.0</v>
      </c>
      <c r="J25" s="17">
        <v>-449.0</v>
      </c>
      <c r="K25" s="18">
        <v>-1202.83</v>
      </c>
      <c r="L25" s="17">
        <v>-871.0</v>
      </c>
      <c r="M25" s="18">
        <v>-871.0</v>
      </c>
      <c r="N25" s="18">
        <v>0.0</v>
      </c>
      <c r="O25" s="18">
        <v>443.509</v>
      </c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1.0</v>
      </c>
      <c r="H26" s="9">
        <v>0.0</v>
      </c>
      <c r="I26" s="9">
        <v>0.0</v>
      </c>
      <c r="J26" s="17">
        <v>-601.0</v>
      </c>
      <c r="K26" s="18">
        <v>-1121.21</v>
      </c>
      <c r="L26" s="17">
        <v>-810.0</v>
      </c>
      <c r="M26" s="18">
        <v>-810.0</v>
      </c>
      <c r="N26" s="18">
        <v>0.0</v>
      </c>
      <c r="O26" s="18">
        <v>176.832</v>
      </c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0.0</v>
      </c>
      <c r="H27" s="9">
        <v>1.0</v>
      </c>
      <c r="I27" s="9">
        <v>0.0</v>
      </c>
      <c r="J27" s="17">
        <v>-316.0</v>
      </c>
      <c r="K27" s="18">
        <v>-1282.99</v>
      </c>
      <c r="L27" s="17">
        <v>-689.0</v>
      </c>
      <c r="M27" s="18">
        <v>-748.622</v>
      </c>
      <c r="N27" s="18">
        <v>8.65341</v>
      </c>
      <c r="O27" s="18">
        <v>3600.0</v>
      </c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1.0</v>
      </c>
      <c r="H28" s="9">
        <v>0.0</v>
      </c>
      <c r="I28" s="9">
        <v>0.0</v>
      </c>
      <c r="J28" s="17">
        <v>1716.0</v>
      </c>
      <c r="K28" s="18">
        <v>1321.14</v>
      </c>
      <c r="L28" s="17">
        <v>1520.0</v>
      </c>
      <c r="M28" s="18">
        <v>1520.0</v>
      </c>
      <c r="N28" s="18">
        <v>0.0</v>
      </c>
      <c r="O28" s="18">
        <v>19.596</v>
      </c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1.0</v>
      </c>
      <c r="H29" s="9">
        <v>0.0</v>
      </c>
      <c r="I29" s="9">
        <v>0.0</v>
      </c>
      <c r="J29" s="17">
        <v>373.0</v>
      </c>
      <c r="K29" s="18">
        <v>299.203</v>
      </c>
      <c r="L29" s="17">
        <v>368.0</v>
      </c>
      <c r="M29" s="18">
        <v>368.0</v>
      </c>
      <c r="N29" s="18">
        <v>0.0</v>
      </c>
      <c r="O29" s="18">
        <v>1.074</v>
      </c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1.0</v>
      </c>
      <c r="H30" s="9">
        <v>0.0</v>
      </c>
      <c r="I30" s="9">
        <v>0.0</v>
      </c>
      <c r="J30" s="17">
        <v>-499.0</v>
      </c>
      <c r="K30" s="18">
        <v>-594.575</v>
      </c>
      <c r="L30" s="17">
        <v>-499.0</v>
      </c>
      <c r="M30" s="18">
        <v>-499.0</v>
      </c>
      <c r="N30" s="18">
        <v>0.0</v>
      </c>
      <c r="O30" s="18">
        <v>1.8</v>
      </c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1.0</v>
      </c>
      <c r="H31" s="9">
        <v>0.0</v>
      </c>
      <c r="I31" s="9">
        <v>0.0</v>
      </c>
      <c r="J31" s="17">
        <v>-372.0</v>
      </c>
      <c r="K31" s="18">
        <v>-465.452</v>
      </c>
      <c r="L31" s="17">
        <v>-374.0</v>
      </c>
      <c r="M31" s="18">
        <v>-374.0</v>
      </c>
      <c r="N31" s="18">
        <v>0.0</v>
      </c>
      <c r="O31" s="18">
        <v>1.288</v>
      </c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1.0</v>
      </c>
      <c r="H32" s="9">
        <v>0.0</v>
      </c>
      <c r="I32" s="9">
        <v>0.0</v>
      </c>
      <c r="J32" s="17">
        <v>3846.0</v>
      </c>
      <c r="K32" s="18">
        <v>3461.46</v>
      </c>
      <c r="L32" s="17">
        <v>3782.0</v>
      </c>
      <c r="M32" s="18">
        <v>3782.0</v>
      </c>
      <c r="N32" s="18">
        <v>0.0</v>
      </c>
      <c r="O32" s="18">
        <v>275.857</v>
      </c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1.0</v>
      </c>
      <c r="H33" s="9">
        <v>0.0</v>
      </c>
      <c r="I33" s="9">
        <v>0.0</v>
      </c>
      <c r="J33" s="17">
        <v>-855.0</v>
      </c>
      <c r="K33" s="18">
        <v>-2108.56</v>
      </c>
      <c r="L33" s="17">
        <v>-1186.0</v>
      </c>
      <c r="M33" s="18">
        <v>-1186.0</v>
      </c>
      <c r="N33" s="18">
        <v>0.0</v>
      </c>
      <c r="O33" s="18">
        <v>1520.75</v>
      </c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1.0</v>
      </c>
      <c r="H34" s="9">
        <v>0.0</v>
      </c>
      <c r="I34" s="9">
        <v>0.0</v>
      </c>
      <c r="J34" s="17">
        <v>-639.0</v>
      </c>
      <c r="K34" s="18">
        <v>-1989.5</v>
      </c>
      <c r="L34" s="17">
        <v>-1122.0</v>
      </c>
      <c r="M34" s="18">
        <v>-1122.0</v>
      </c>
      <c r="N34" s="18">
        <v>0.0</v>
      </c>
      <c r="O34" s="18">
        <v>2518.5</v>
      </c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1.0</v>
      </c>
      <c r="H35" s="9">
        <v>0.0</v>
      </c>
      <c r="I35" s="9">
        <v>0.0</v>
      </c>
      <c r="J35" s="17">
        <v>-835.0</v>
      </c>
      <c r="K35" s="18">
        <v>-1976.65</v>
      </c>
      <c r="L35" s="17">
        <v>-1137.0</v>
      </c>
      <c r="M35" s="18">
        <v>-1137.0</v>
      </c>
      <c r="N35" s="18">
        <v>0.0</v>
      </c>
      <c r="O35" s="18">
        <v>1341.74</v>
      </c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1.0</v>
      </c>
      <c r="H36" s="9">
        <v>0.0</v>
      </c>
      <c r="I36" s="9">
        <v>0.0</v>
      </c>
      <c r="J36" s="17">
        <v>154.0</v>
      </c>
      <c r="K36" s="18">
        <v>-1932.29</v>
      </c>
      <c r="L36" s="17">
        <v>-1101.0</v>
      </c>
      <c r="M36" s="18">
        <v>-1101.0</v>
      </c>
      <c r="N36" s="18">
        <v>0.0</v>
      </c>
      <c r="O36" s="18">
        <v>1122.13</v>
      </c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1.0</v>
      </c>
      <c r="H37" s="9">
        <v>0.0</v>
      </c>
      <c r="I37" s="9">
        <v>0.0</v>
      </c>
      <c r="J37" s="17">
        <v>12.0</v>
      </c>
      <c r="K37" s="18">
        <v>-1826.92</v>
      </c>
      <c r="L37" s="17">
        <v>-1083.0</v>
      </c>
      <c r="M37" s="18">
        <v>-1083.0</v>
      </c>
      <c r="N37" s="18">
        <v>0.0</v>
      </c>
      <c r="O37" s="18">
        <v>460.618</v>
      </c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1.0</v>
      </c>
      <c r="H38" s="9">
        <v>0.0</v>
      </c>
      <c r="I38" s="9">
        <v>0.0</v>
      </c>
      <c r="J38" s="17">
        <v>301.0</v>
      </c>
      <c r="K38" s="18">
        <v>-1467.29</v>
      </c>
      <c r="L38" s="17">
        <v>-952.0</v>
      </c>
      <c r="M38" s="18">
        <v>-952.0</v>
      </c>
      <c r="N38" s="18">
        <v>0.0</v>
      </c>
      <c r="O38" s="18">
        <v>1570.12</v>
      </c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1.0</v>
      </c>
      <c r="H39" s="9">
        <v>0.0</v>
      </c>
      <c r="I39" s="9">
        <v>0.0</v>
      </c>
      <c r="J39" s="17">
        <v>-708.0</v>
      </c>
      <c r="K39" s="18">
        <v>-1479.88</v>
      </c>
      <c r="L39" s="17">
        <v>-976.0</v>
      </c>
      <c r="M39" s="18">
        <v>-976.0</v>
      </c>
      <c r="N39" s="18">
        <v>0.0</v>
      </c>
      <c r="O39" s="18">
        <v>1067.97</v>
      </c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1.0</v>
      </c>
      <c r="H40" s="9">
        <v>0.0</v>
      </c>
      <c r="I40" s="9">
        <v>0.0</v>
      </c>
      <c r="J40" s="17">
        <v>-650.0</v>
      </c>
      <c r="K40" s="18">
        <v>-1312.8</v>
      </c>
      <c r="L40" s="17">
        <v>-811.0</v>
      </c>
      <c r="M40" s="18">
        <v>-811.0</v>
      </c>
      <c r="N40" s="18">
        <v>0.0</v>
      </c>
      <c r="O40" s="18">
        <v>812.144</v>
      </c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1.0</v>
      </c>
      <c r="H41" s="9">
        <v>0.0</v>
      </c>
      <c r="I41" s="9">
        <v>0.0</v>
      </c>
      <c r="J41" s="17">
        <v>-228.0</v>
      </c>
      <c r="K41" s="18">
        <v>-1248.27</v>
      </c>
      <c r="L41" s="17">
        <v>-822.0</v>
      </c>
      <c r="M41" s="18">
        <v>-822.0</v>
      </c>
      <c r="N41" s="18">
        <v>0.0</v>
      </c>
      <c r="O41" s="18">
        <v>123.058</v>
      </c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1.0</v>
      </c>
      <c r="H42" s="9">
        <v>0.0</v>
      </c>
      <c r="I42" s="9">
        <v>0.0</v>
      </c>
      <c r="J42" s="17">
        <v>-208.0</v>
      </c>
      <c r="K42" s="18">
        <v>-1096.83</v>
      </c>
      <c r="L42" s="17">
        <v>-634.0</v>
      </c>
      <c r="M42" s="18">
        <v>-634.0</v>
      </c>
      <c r="N42" s="18">
        <v>0.0</v>
      </c>
      <c r="O42" s="18">
        <v>561.221</v>
      </c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1.0</v>
      </c>
      <c r="H43" s="9">
        <v>0.0</v>
      </c>
      <c r="I43" s="9">
        <v>0.0</v>
      </c>
      <c r="J43" s="17">
        <v>651.0</v>
      </c>
      <c r="K43" s="18">
        <v>298.454</v>
      </c>
      <c r="L43" s="17">
        <v>485.0</v>
      </c>
      <c r="M43" s="18">
        <v>485.0</v>
      </c>
      <c r="N43" s="18">
        <v>0.0</v>
      </c>
      <c r="O43" s="18">
        <v>26.099</v>
      </c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1.0</v>
      </c>
      <c r="H44" s="9">
        <v>0.0</v>
      </c>
      <c r="I44" s="9">
        <v>0.0</v>
      </c>
      <c r="J44" s="17">
        <v>68.0</v>
      </c>
      <c r="K44" s="18">
        <v>-491.625</v>
      </c>
      <c r="L44" s="17">
        <v>-234.0</v>
      </c>
      <c r="M44" s="18">
        <v>-234.0</v>
      </c>
      <c r="N44" s="18">
        <v>0.0</v>
      </c>
      <c r="O44" s="18">
        <v>5.077</v>
      </c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1.0</v>
      </c>
      <c r="H45" s="9">
        <v>0.0</v>
      </c>
      <c r="I45" s="9">
        <v>0.0</v>
      </c>
      <c r="J45" s="17">
        <v>2163.0</v>
      </c>
      <c r="K45" s="18">
        <v>1918.6</v>
      </c>
      <c r="L45" s="17">
        <v>2130.0</v>
      </c>
      <c r="M45" s="18">
        <v>2130.0</v>
      </c>
      <c r="N45" s="18">
        <v>0.0</v>
      </c>
      <c r="O45" s="18">
        <v>116.965</v>
      </c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1.0</v>
      </c>
      <c r="H46" s="9">
        <v>0.0</v>
      </c>
      <c r="I46" s="9">
        <v>0.0</v>
      </c>
      <c r="J46" s="17">
        <v>3722.0</v>
      </c>
      <c r="K46" s="18">
        <v>3557.29</v>
      </c>
      <c r="L46" s="17">
        <v>3663.0</v>
      </c>
      <c r="M46" s="18">
        <v>3663.0</v>
      </c>
      <c r="N46" s="18">
        <v>0.0</v>
      </c>
      <c r="O46" s="18">
        <v>0.727</v>
      </c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1.0</v>
      </c>
      <c r="H47" s="9">
        <v>0.0</v>
      </c>
      <c r="I47" s="9">
        <v>0.0</v>
      </c>
      <c r="J47" s="17">
        <v>4340.0</v>
      </c>
      <c r="K47" s="18">
        <v>4243.34</v>
      </c>
      <c r="L47" s="17">
        <v>4325.0</v>
      </c>
      <c r="M47" s="18">
        <v>4325.0</v>
      </c>
      <c r="N47" s="18">
        <v>0.0</v>
      </c>
      <c r="O47" s="18">
        <v>0.542</v>
      </c>
    </row>
    <row r="48">
      <c r="A48" s="8" t="s">
        <v>53</v>
      </c>
      <c r="B48" s="9">
        <v>30.0</v>
      </c>
      <c r="C48" s="9" t="s">
        <v>8</v>
      </c>
      <c r="D48" s="9">
        <v>25.0</v>
      </c>
      <c r="E48" s="10">
        <v>0.6</v>
      </c>
      <c r="F48" s="9">
        <v>1.0</v>
      </c>
      <c r="G48" s="9">
        <v>1.0</v>
      </c>
      <c r="H48" s="9">
        <v>0.0</v>
      </c>
      <c r="I48" s="9">
        <v>0.0</v>
      </c>
      <c r="J48" s="17">
        <v>-691.0</v>
      </c>
      <c r="K48" s="18">
        <v>-1187.31</v>
      </c>
      <c r="L48" s="17">
        <v>-968.0</v>
      </c>
      <c r="M48" s="18">
        <v>-968.0</v>
      </c>
      <c r="N48" s="18">
        <v>0.0</v>
      </c>
      <c r="O48" s="18">
        <v>50.922</v>
      </c>
    </row>
    <row r="49">
      <c r="A49" s="8" t="s">
        <v>54</v>
      </c>
      <c r="B49" s="9">
        <v>30.0</v>
      </c>
      <c r="C49" s="9" t="s">
        <v>8</v>
      </c>
      <c r="D49" s="9">
        <v>25.0</v>
      </c>
      <c r="E49" s="10">
        <v>0.6</v>
      </c>
      <c r="F49" s="9">
        <v>2.0</v>
      </c>
      <c r="G49" s="9">
        <v>1.0</v>
      </c>
      <c r="H49" s="9">
        <v>0.0</v>
      </c>
      <c r="I49" s="9">
        <v>0.0</v>
      </c>
      <c r="J49" s="17">
        <v>-574.0</v>
      </c>
      <c r="K49" s="18">
        <v>-964.748</v>
      </c>
      <c r="L49" s="17">
        <v>-749.0</v>
      </c>
      <c r="M49" s="18">
        <v>-749.0</v>
      </c>
      <c r="N49" s="18">
        <v>0.0</v>
      </c>
      <c r="O49" s="18">
        <v>96.111</v>
      </c>
    </row>
    <row r="50">
      <c r="A50" s="8" t="s">
        <v>55</v>
      </c>
      <c r="B50" s="9">
        <v>30.0</v>
      </c>
      <c r="C50" s="9" t="s">
        <v>8</v>
      </c>
      <c r="D50" s="9">
        <v>25.0</v>
      </c>
      <c r="E50" s="10">
        <v>0.6</v>
      </c>
      <c r="F50" s="9">
        <v>3.0</v>
      </c>
      <c r="G50" s="9">
        <v>1.0</v>
      </c>
      <c r="H50" s="9">
        <v>0.0</v>
      </c>
      <c r="I50" s="9">
        <v>0.0</v>
      </c>
      <c r="J50" s="17">
        <v>-795.0</v>
      </c>
      <c r="K50" s="18">
        <v>-1249.24</v>
      </c>
      <c r="L50" s="17">
        <v>-935.0</v>
      </c>
      <c r="M50" s="18">
        <v>-935.0</v>
      </c>
      <c r="N50" s="18">
        <v>0.0</v>
      </c>
      <c r="O50" s="18">
        <v>83.721</v>
      </c>
    </row>
    <row r="51">
      <c r="A51" s="8" t="s">
        <v>56</v>
      </c>
      <c r="B51" s="9">
        <v>30.0</v>
      </c>
      <c r="C51" s="9" t="s">
        <v>8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-561.0</v>
      </c>
      <c r="K51" s="18">
        <v>-1456.67</v>
      </c>
      <c r="L51" s="17">
        <v>-1126.0</v>
      </c>
      <c r="M51" s="18">
        <v>-1126.0</v>
      </c>
      <c r="N51" s="18">
        <v>0.0</v>
      </c>
      <c r="O51" s="18">
        <v>115.908</v>
      </c>
    </row>
    <row r="52">
      <c r="A52" s="8" t="s">
        <v>57</v>
      </c>
      <c r="B52" s="9">
        <v>30.0</v>
      </c>
      <c r="C52" s="9" t="s">
        <v>8</v>
      </c>
      <c r="D52" s="9">
        <v>25.0</v>
      </c>
      <c r="E52" s="10">
        <v>0.6</v>
      </c>
      <c r="F52" s="9">
        <v>5.0</v>
      </c>
      <c r="G52" s="9">
        <v>1.0</v>
      </c>
      <c r="H52" s="9">
        <v>0.0</v>
      </c>
      <c r="I52" s="9">
        <v>0.0</v>
      </c>
      <c r="J52" s="17">
        <v>-689.0</v>
      </c>
      <c r="K52" s="18">
        <v>-1357.2</v>
      </c>
      <c r="L52" s="17">
        <v>-1010.0</v>
      </c>
      <c r="M52" s="18">
        <v>-1010.0</v>
      </c>
      <c r="N52" s="18">
        <v>0.0</v>
      </c>
      <c r="O52" s="18">
        <v>147.323</v>
      </c>
    </row>
    <row r="53">
      <c r="A53" s="8" t="s">
        <v>58</v>
      </c>
      <c r="B53" s="9">
        <v>30.0</v>
      </c>
      <c r="C53" s="9" t="s">
        <v>8</v>
      </c>
      <c r="D53" s="9">
        <v>25.0</v>
      </c>
      <c r="E53" s="10">
        <v>1.0</v>
      </c>
      <c r="F53" s="9">
        <v>1.0</v>
      </c>
      <c r="G53" s="9">
        <v>1.0</v>
      </c>
      <c r="H53" s="9">
        <v>0.0</v>
      </c>
      <c r="I53" s="9">
        <v>0.0</v>
      </c>
      <c r="J53" s="17">
        <v>-727.0</v>
      </c>
      <c r="K53" s="18">
        <v>-1072.4</v>
      </c>
      <c r="L53" s="17">
        <v>-908.0</v>
      </c>
      <c r="M53" s="18">
        <v>-908.0</v>
      </c>
      <c r="N53" s="18">
        <v>0.0</v>
      </c>
      <c r="O53" s="18">
        <v>30.269</v>
      </c>
    </row>
    <row r="54">
      <c r="A54" s="8" t="s">
        <v>59</v>
      </c>
      <c r="B54" s="9">
        <v>30.0</v>
      </c>
      <c r="C54" s="9" t="s">
        <v>8</v>
      </c>
      <c r="D54" s="9">
        <v>25.0</v>
      </c>
      <c r="E54" s="10">
        <v>1.0</v>
      </c>
      <c r="F54" s="9">
        <v>2.0</v>
      </c>
      <c r="G54" s="9">
        <v>1.0</v>
      </c>
      <c r="H54" s="9">
        <v>0.0</v>
      </c>
      <c r="I54" s="9">
        <v>0.0</v>
      </c>
      <c r="J54" s="17">
        <v>-405.0</v>
      </c>
      <c r="K54" s="18">
        <v>-824.146</v>
      </c>
      <c r="L54" s="17">
        <v>-610.0</v>
      </c>
      <c r="M54" s="18">
        <v>-610.0</v>
      </c>
      <c r="N54" s="18">
        <v>0.0</v>
      </c>
      <c r="O54" s="18">
        <v>604.511</v>
      </c>
    </row>
    <row r="55">
      <c r="A55" s="8" t="s">
        <v>60</v>
      </c>
      <c r="B55" s="9">
        <v>30.0</v>
      </c>
      <c r="C55" s="9" t="s">
        <v>8</v>
      </c>
      <c r="D55" s="9">
        <v>25.0</v>
      </c>
      <c r="E55" s="10">
        <v>1.0</v>
      </c>
      <c r="F55" s="9">
        <v>3.0</v>
      </c>
      <c r="G55" s="9">
        <v>1.0</v>
      </c>
      <c r="H55" s="9">
        <v>0.0</v>
      </c>
      <c r="I55" s="9">
        <v>0.0</v>
      </c>
      <c r="J55" s="17">
        <v>-464.0</v>
      </c>
      <c r="K55" s="18">
        <v>-1132.78</v>
      </c>
      <c r="L55" s="17">
        <v>-835.0</v>
      </c>
      <c r="M55" s="18">
        <v>-835.0</v>
      </c>
      <c r="N55" s="18">
        <v>0.0</v>
      </c>
      <c r="O55" s="18">
        <v>361.302</v>
      </c>
    </row>
    <row r="56">
      <c r="A56" s="8" t="s">
        <v>61</v>
      </c>
      <c r="B56" s="9">
        <v>30.0</v>
      </c>
      <c r="C56" s="9" t="s">
        <v>8</v>
      </c>
      <c r="D56" s="9">
        <v>25.0</v>
      </c>
      <c r="E56" s="10">
        <v>1.0</v>
      </c>
      <c r="F56" s="9">
        <v>4.0</v>
      </c>
      <c r="G56" s="9">
        <v>1.0</v>
      </c>
      <c r="H56" s="9">
        <v>0.0</v>
      </c>
      <c r="I56" s="9">
        <v>0.0</v>
      </c>
      <c r="J56" s="17">
        <v>-745.0</v>
      </c>
      <c r="K56" s="18">
        <v>-1212.42</v>
      </c>
      <c r="L56" s="17">
        <v>-852.0</v>
      </c>
      <c r="M56" s="18">
        <v>-852.0</v>
      </c>
      <c r="N56" s="18">
        <v>0.0</v>
      </c>
      <c r="O56" s="18">
        <v>1697.08</v>
      </c>
    </row>
    <row r="57">
      <c r="A57" s="8" t="s">
        <v>62</v>
      </c>
      <c r="B57" s="9">
        <v>30.0</v>
      </c>
      <c r="C57" s="9" t="s">
        <v>8</v>
      </c>
      <c r="D57" s="9">
        <v>25.0</v>
      </c>
      <c r="E57" s="10">
        <v>1.0</v>
      </c>
      <c r="F57" s="9">
        <v>5.0</v>
      </c>
      <c r="G57" s="9">
        <v>1.0</v>
      </c>
      <c r="H57" s="9">
        <v>0.0</v>
      </c>
      <c r="I57" s="9">
        <v>0.0</v>
      </c>
      <c r="J57" s="17">
        <v>-430.0</v>
      </c>
      <c r="K57" s="18">
        <v>-1189.21</v>
      </c>
      <c r="L57" s="17">
        <v>-865.0</v>
      </c>
      <c r="M57" s="18">
        <v>-865.0</v>
      </c>
      <c r="N57" s="18">
        <v>0.0</v>
      </c>
      <c r="O57" s="18">
        <v>1376.11</v>
      </c>
    </row>
    <row r="58">
      <c r="A58" s="8" t="s">
        <v>63</v>
      </c>
      <c r="B58" s="9">
        <v>30.0</v>
      </c>
      <c r="C58" s="9" t="s">
        <v>8</v>
      </c>
      <c r="D58" s="9">
        <v>25.0</v>
      </c>
      <c r="E58" s="10">
        <v>2.0</v>
      </c>
      <c r="F58" s="9">
        <v>1.0</v>
      </c>
      <c r="G58" s="9">
        <v>1.0</v>
      </c>
      <c r="H58" s="9">
        <v>0.0</v>
      </c>
      <c r="I58" s="9">
        <v>0.0</v>
      </c>
      <c r="J58" s="17">
        <v>-323.0</v>
      </c>
      <c r="K58" s="18">
        <v>-424.7</v>
      </c>
      <c r="L58" s="17">
        <v>-336.0</v>
      </c>
      <c r="M58" s="18">
        <v>-336.0</v>
      </c>
      <c r="N58" s="18">
        <v>0.0</v>
      </c>
      <c r="O58" s="18">
        <v>62.299</v>
      </c>
    </row>
    <row r="59">
      <c r="A59" s="8" t="s">
        <v>64</v>
      </c>
      <c r="B59" s="9">
        <v>30.0</v>
      </c>
      <c r="C59" s="9" t="s">
        <v>8</v>
      </c>
      <c r="D59" s="9">
        <v>25.0</v>
      </c>
      <c r="E59" s="10">
        <v>2.0</v>
      </c>
      <c r="F59" s="9">
        <v>2.0</v>
      </c>
      <c r="G59" s="9">
        <v>1.0</v>
      </c>
      <c r="H59" s="9">
        <v>0.0</v>
      </c>
      <c r="I59" s="9">
        <v>0.0</v>
      </c>
      <c r="J59" s="17">
        <v>1191.0</v>
      </c>
      <c r="K59" s="18">
        <v>768.581</v>
      </c>
      <c r="L59" s="17">
        <v>916.0</v>
      </c>
      <c r="M59" s="18">
        <v>916.0</v>
      </c>
      <c r="N59" s="18">
        <v>0.0</v>
      </c>
      <c r="O59" s="18">
        <v>2555.21</v>
      </c>
    </row>
    <row r="60">
      <c r="A60" s="8" t="s">
        <v>65</v>
      </c>
      <c r="B60" s="9">
        <v>30.0</v>
      </c>
      <c r="C60" s="9" t="s">
        <v>8</v>
      </c>
      <c r="D60" s="9">
        <v>25.0</v>
      </c>
      <c r="E60" s="10">
        <v>2.0</v>
      </c>
      <c r="F60" s="9">
        <v>3.0</v>
      </c>
      <c r="G60" s="9">
        <v>1.0</v>
      </c>
      <c r="H60" s="9">
        <v>0.0</v>
      </c>
      <c r="I60" s="9">
        <v>0.0</v>
      </c>
      <c r="J60" s="17">
        <v>-478.0</v>
      </c>
      <c r="K60" s="18">
        <v>-657.388</v>
      </c>
      <c r="L60" s="17">
        <v>-540.0</v>
      </c>
      <c r="M60" s="18">
        <v>-540.0</v>
      </c>
      <c r="N60" s="18">
        <v>0.0</v>
      </c>
      <c r="O60" s="18">
        <v>12.996</v>
      </c>
    </row>
    <row r="61">
      <c r="A61" s="8" t="s">
        <v>66</v>
      </c>
      <c r="B61" s="9">
        <v>30.0</v>
      </c>
      <c r="C61" s="9" t="s">
        <v>8</v>
      </c>
      <c r="D61" s="9">
        <v>25.0</v>
      </c>
      <c r="E61" s="10">
        <v>2.0</v>
      </c>
      <c r="F61" s="9">
        <v>4.0</v>
      </c>
      <c r="G61" s="9">
        <v>0.0</v>
      </c>
      <c r="H61" s="9">
        <v>1.0</v>
      </c>
      <c r="I61" s="9">
        <v>0.0</v>
      </c>
      <c r="J61" s="17">
        <v>1536.0</v>
      </c>
      <c r="K61" s="18">
        <v>1034.43</v>
      </c>
      <c r="L61" s="17">
        <v>1337.0</v>
      </c>
      <c r="M61" s="18">
        <v>1238.13</v>
      </c>
      <c r="N61" s="18">
        <v>7.39512</v>
      </c>
      <c r="O61" s="18">
        <v>3600.0</v>
      </c>
    </row>
    <row r="62">
      <c r="A62" s="8" t="s">
        <v>67</v>
      </c>
      <c r="B62" s="9">
        <v>30.0</v>
      </c>
      <c r="C62" s="9" t="s">
        <v>8</v>
      </c>
      <c r="D62" s="9">
        <v>25.0</v>
      </c>
      <c r="E62" s="10">
        <v>2.0</v>
      </c>
      <c r="F62" s="9">
        <v>5.0</v>
      </c>
      <c r="G62" s="9">
        <v>1.0</v>
      </c>
      <c r="H62" s="9">
        <v>0.0</v>
      </c>
      <c r="I62" s="9">
        <v>0.0</v>
      </c>
      <c r="J62" s="17">
        <v>253.0</v>
      </c>
      <c r="K62" s="18">
        <v>-27.8442</v>
      </c>
      <c r="L62" s="17">
        <v>131.0</v>
      </c>
      <c r="M62" s="18">
        <v>131.0</v>
      </c>
      <c r="N62" s="18">
        <v>0.0</v>
      </c>
      <c r="O62" s="18">
        <v>191.697</v>
      </c>
    </row>
    <row r="63">
      <c r="A63" s="8" t="s">
        <v>68</v>
      </c>
      <c r="B63" s="9">
        <v>30.0</v>
      </c>
      <c r="C63" s="9" t="s">
        <v>8</v>
      </c>
      <c r="D63" s="9">
        <v>50.0</v>
      </c>
      <c r="E63" s="10">
        <v>0.6</v>
      </c>
      <c r="F63" s="9">
        <v>1.0</v>
      </c>
      <c r="G63" s="9">
        <v>1.0</v>
      </c>
      <c r="H63" s="9">
        <v>0.0</v>
      </c>
      <c r="I63" s="9">
        <v>0.0</v>
      </c>
      <c r="J63" s="17">
        <v>-310.0</v>
      </c>
      <c r="K63" s="18">
        <v>-1817.02</v>
      </c>
      <c r="L63" s="17">
        <v>-1084.0</v>
      </c>
      <c r="M63" s="18">
        <v>-1084.0</v>
      </c>
      <c r="N63" s="18">
        <v>0.0</v>
      </c>
      <c r="O63" s="18">
        <v>2222.16</v>
      </c>
    </row>
    <row r="64">
      <c r="A64" s="8" t="s">
        <v>69</v>
      </c>
      <c r="B64" s="9">
        <v>30.0</v>
      </c>
      <c r="C64" s="9" t="s">
        <v>8</v>
      </c>
      <c r="D64" s="9">
        <v>50.0</v>
      </c>
      <c r="E64" s="10">
        <v>0.6</v>
      </c>
      <c r="F64" s="9">
        <v>2.0</v>
      </c>
      <c r="G64" s="9">
        <v>0.0</v>
      </c>
      <c r="H64" s="9">
        <v>1.0</v>
      </c>
      <c r="I64" s="9">
        <v>0.0</v>
      </c>
      <c r="J64" s="17">
        <v>-521.0</v>
      </c>
      <c r="K64" s="18">
        <v>-2567.29</v>
      </c>
      <c r="L64" s="17">
        <v>-1550.0</v>
      </c>
      <c r="M64" s="18">
        <v>-1807.28</v>
      </c>
      <c r="N64" s="18">
        <v>16.5988</v>
      </c>
      <c r="O64" s="18">
        <v>3600.0</v>
      </c>
    </row>
    <row r="65">
      <c r="A65" s="8" t="s">
        <v>70</v>
      </c>
      <c r="B65" s="9">
        <v>30.0</v>
      </c>
      <c r="C65" s="9" t="s">
        <v>8</v>
      </c>
      <c r="D65" s="9">
        <v>50.0</v>
      </c>
      <c r="E65" s="10">
        <v>0.6</v>
      </c>
      <c r="F65" s="9">
        <v>3.0</v>
      </c>
      <c r="G65" s="9">
        <v>1.0</v>
      </c>
      <c r="H65" s="9">
        <v>0.0</v>
      </c>
      <c r="I65" s="9">
        <v>0.0</v>
      </c>
      <c r="J65" s="17">
        <v>124.0</v>
      </c>
      <c r="K65" s="18">
        <v>-1848.78</v>
      </c>
      <c r="L65" s="17">
        <v>-1138.0</v>
      </c>
      <c r="M65" s="18">
        <v>-1138.0</v>
      </c>
      <c r="N65" s="18">
        <v>0.0</v>
      </c>
      <c r="O65" s="18">
        <v>2374.47</v>
      </c>
    </row>
    <row r="66">
      <c r="A66" s="8" t="s">
        <v>71</v>
      </c>
      <c r="B66" s="9">
        <v>30.0</v>
      </c>
      <c r="C66" s="9" t="s">
        <v>8</v>
      </c>
      <c r="D66" s="9">
        <v>50.0</v>
      </c>
      <c r="E66" s="10">
        <v>0.6</v>
      </c>
      <c r="F66" s="9">
        <v>4.0</v>
      </c>
      <c r="G66" s="9">
        <v>0.0</v>
      </c>
      <c r="H66" s="9">
        <v>1.0</v>
      </c>
      <c r="I66" s="9">
        <v>0.0</v>
      </c>
      <c r="J66" s="17">
        <v>-92.0</v>
      </c>
      <c r="K66" s="18">
        <v>-2309.19</v>
      </c>
      <c r="L66" s="17">
        <v>-1314.0</v>
      </c>
      <c r="M66" s="18">
        <v>-1523.47</v>
      </c>
      <c r="N66" s="18">
        <v>15.9411</v>
      </c>
      <c r="O66" s="18">
        <v>3600.0</v>
      </c>
    </row>
    <row r="67">
      <c r="A67" s="8" t="s">
        <v>72</v>
      </c>
      <c r="B67" s="9">
        <v>30.0</v>
      </c>
      <c r="C67" s="9" t="s">
        <v>8</v>
      </c>
      <c r="D67" s="9">
        <v>50.0</v>
      </c>
      <c r="E67" s="10">
        <v>0.6</v>
      </c>
      <c r="F67" s="9">
        <v>5.0</v>
      </c>
      <c r="G67" s="9">
        <v>1.0</v>
      </c>
      <c r="H67" s="9">
        <v>0.0</v>
      </c>
      <c r="I67" s="9">
        <v>0.0</v>
      </c>
      <c r="J67" s="17">
        <v>-138.0</v>
      </c>
      <c r="K67" s="18">
        <v>-2381.82</v>
      </c>
      <c r="L67" s="17">
        <v>-1459.0</v>
      </c>
      <c r="M67" s="18">
        <v>-1459.0</v>
      </c>
      <c r="N67" s="18">
        <v>0.0</v>
      </c>
      <c r="O67" s="18">
        <v>3052.81</v>
      </c>
    </row>
    <row r="68">
      <c r="A68" s="8" t="s">
        <v>73</v>
      </c>
      <c r="B68" s="9">
        <v>30.0</v>
      </c>
      <c r="C68" s="9" t="s">
        <v>8</v>
      </c>
      <c r="D68" s="9">
        <v>50.0</v>
      </c>
      <c r="E68" s="10">
        <v>1.0</v>
      </c>
      <c r="F68" s="9">
        <v>1.0</v>
      </c>
      <c r="G68" s="9">
        <v>0.0</v>
      </c>
      <c r="H68" s="9">
        <v>1.0</v>
      </c>
      <c r="I68" s="9">
        <v>0.0</v>
      </c>
      <c r="J68" s="17">
        <v>-310.0</v>
      </c>
      <c r="K68" s="18">
        <v>-1351.17</v>
      </c>
      <c r="L68" s="17">
        <v>-838.0</v>
      </c>
      <c r="M68" s="18">
        <v>-926.798</v>
      </c>
      <c r="N68" s="18">
        <v>10.5964</v>
      </c>
      <c r="O68" s="18">
        <v>3600.0</v>
      </c>
    </row>
    <row r="69">
      <c r="A69" s="8" t="s">
        <v>74</v>
      </c>
      <c r="B69" s="9">
        <v>30.0</v>
      </c>
      <c r="C69" s="9" t="s">
        <v>8</v>
      </c>
      <c r="D69" s="9">
        <v>50.0</v>
      </c>
      <c r="E69" s="10">
        <v>1.0</v>
      </c>
      <c r="F69" s="9">
        <v>2.0</v>
      </c>
      <c r="G69" s="9">
        <v>0.0</v>
      </c>
      <c r="H69" s="9">
        <v>1.0</v>
      </c>
      <c r="I69" s="9">
        <v>0.0</v>
      </c>
      <c r="J69" s="17">
        <v>-781.0</v>
      </c>
      <c r="K69" s="18">
        <v>-1953.11</v>
      </c>
      <c r="L69" s="17">
        <v>-1263.0</v>
      </c>
      <c r="M69" s="18">
        <v>-1547.07</v>
      </c>
      <c r="N69" s="18">
        <v>22.492</v>
      </c>
      <c r="O69" s="18">
        <v>3600.0</v>
      </c>
    </row>
    <row r="70">
      <c r="A70" s="8" t="s">
        <v>75</v>
      </c>
      <c r="B70" s="9">
        <v>30.0</v>
      </c>
      <c r="C70" s="9" t="s">
        <v>8</v>
      </c>
      <c r="D70" s="9">
        <v>50.0</v>
      </c>
      <c r="E70" s="10">
        <v>1.0</v>
      </c>
      <c r="F70" s="9">
        <v>3.0</v>
      </c>
      <c r="G70" s="9">
        <v>0.0</v>
      </c>
      <c r="H70" s="9">
        <v>1.0</v>
      </c>
      <c r="I70" s="9">
        <v>0.0</v>
      </c>
      <c r="J70" s="17">
        <v>230.0</v>
      </c>
      <c r="K70" s="18">
        <v>-1464.31</v>
      </c>
      <c r="L70" s="17">
        <v>-910.0</v>
      </c>
      <c r="M70" s="18">
        <v>-1003.15</v>
      </c>
      <c r="N70" s="18">
        <v>10.2358</v>
      </c>
      <c r="O70" s="18">
        <v>3600.0</v>
      </c>
    </row>
    <row r="71">
      <c r="A71" s="8" t="s">
        <v>76</v>
      </c>
      <c r="B71" s="9">
        <v>30.0</v>
      </c>
      <c r="C71" s="9" t="s">
        <v>8</v>
      </c>
      <c r="D71" s="9">
        <v>50.0</v>
      </c>
      <c r="E71" s="10">
        <v>1.0</v>
      </c>
      <c r="F71" s="9">
        <v>4.0</v>
      </c>
      <c r="G71" s="9">
        <v>0.0</v>
      </c>
      <c r="H71" s="9">
        <v>1.0</v>
      </c>
      <c r="I71" s="9">
        <v>0.0</v>
      </c>
      <c r="J71" s="17">
        <v>-665.0</v>
      </c>
      <c r="K71" s="18">
        <v>-1790.13</v>
      </c>
      <c r="L71" s="17">
        <v>-1126.0</v>
      </c>
      <c r="M71" s="18">
        <v>-1316.6</v>
      </c>
      <c r="N71" s="18">
        <v>16.9273</v>
      </c>
      <c r="O71" s="18">
        <v>3600.0</v>
      </c>
    </row>
    <row r="72">
      <c r="A72" s="8" t="s">
        <v>77</v>
      </c>
      <c r="B72" s="9">
        <v>30.0</v>
      </c>
      <c r="C72" s="9" t="s">
        <v>8</v>
      </c>
      <c r="D72" s="9">
        <v>50.0</v>
      </c>
      <c r="E72" s="10">
        <v>1.0</v>
      </c>
      <c r="F72" s="9">
        <v>5.0</v>
      </c>
      <c r="G72" s="9">
        <v>0.0</v>
      </c>
      <c r="H72" s="9">
        <v>1.0</v>
      </c>
      <c r="I72" s="9">
        <v>0.0</v>
      </c>
      <c r="J72" s="17">
        <v>-787.0</v>
      </c>
      <c r="K72" s="18">
        <v>-1774.58</v>
      </c>
      <c r="L72" s="17">
        <v>-1147.0</v>
      </c>
      <c r="M72" s="18">
        <v>-1341.76</v>
      </c>
      <c r="N72" s="18">
        <v>16.9797</v>
      </c>
      <c r="O72" s="18">
        <v>3600.0</v>
      </c>
    </row>
    <row r="73">
      <c r="A73" s="8" t="s">
        <v>78</v>
      </c>
      <c r="B73" s="9">
        <v>30.0</v>
      </c>
      <c r="C73" s="9" t="s">
        <v>8</v>
      </c>
      <c r="D73" s="9">
        <v>50.0</v>
      </c>
      <c r="E73" s="10">
        <v>2.0</v>
      </c>
      <c r="F73" s="9">
        <v>1.0</v>
      </c>
      <c r="G73" s="9">
        <v>0.0</v>
      </c>
      <c r="H73" s="9">
        <v>1.0</v>
      </c>
      <c r="I73" s="9">
        <v>0.0</v>
      </c>
      <c r="J73" s="17">
        <v>1981.0</v>
      </c>
      <c r="K73" s="18">
        <v>1414.38</v>
      </c>
      <c r="L73" s="17">
        <v>1739.0</v>
      </c>
      <c r="M73" s="18">
        <v>1653.4</v>
      </c>
      <c r="N73" s="18">
        <v>4.92218</v>
      </c>
      <c r="O73" s="18">
        <v>3600.0</v>
      </c>
    </row>
    <row r="74">
      <c r="A74" s="8" t="s">
        <v>79</v>
      </c>
      <c r="B74" s="9">
        <v>30.0</v>
      </c>
      <c r="C74" s="9" t="s">
        <v>8</v>
      </c>
      <c r="D74" s="9">
        <v>50.0</v>
      </c>
      <c r="E74" s="10">
        <v>2.0</v>
      </c>
      <c r="F74" s="9">
        <v>2.0</v>
      </c>
      <c r="G74" s="9">
        <v>1.0</v>
      </c>
      <c r="H74" s="9">
        <v>0.0</v>
      </c>
      <c r="I74" s="9">
        <v>0.0</v>
      </c>
      <c r="J74" s="17">
        <v>128.0</v>
      </c>
      <c r="K74" s="18">
        <v>-236.63</v>
      </c>
      <c r="L74" s="17">
        <v>-13.0</v>
      </c>
      <c r="M74" s="18">
        <v>-13.0</v>
      </c>
      <c r="N74" s="18">
        <v>0.0</v>
      </c>
      <c r="O74" s="18">
        <v>520.07</v>
      </c>
    </row>
    <row r="75">
      <c r="A75" s="8" t="s">
        <v>80</v>
      </c>
      <c r="B75" s="9">
        <v>30.0</v>
      </c>
      <c r="C75" s="9" t="s">
        <v>8</v>
      </c>
      <c r="D75" s="9">
        <v>50.0</v>
      </c>
      <c r="E75" s="10">
        <v>2.0</v>
      </c>
      <c r="F75" s="9">
        <v>3.0</v>
      </c>
      <c r="G75" s="9">
        <v>0.0</v>
      </c>
      <c r="H75" s="9">
        <v>1.0</v>
      </c>
      <c r="I75" s="9">
        <v>0.0</v>
      </c>
      <c r="J75" s="17">
        <v>2085.0</v>
      </c>
      <c r="K75" s="18">
        <v>1528.11</v>
      </c>
      <c r="L75" s="17">
        <v>1881.0</v>
      </c>
      <c r="M75" s="18">
        <v>1776.8</v>
      </c>
      <c r="N75" s="18">
        <v>5.53955</v>
      </c>
      <c r="O75" s="18">
        <v>3600.0</v>
      </c>
    </row>
    <row r="76">
      <c r="A76" s="8" t="s">
        <v>81</v>
      </c>
      <c r="B76" s="9">
        <v>30.0</v>
      </c>
      <c r="C76" s="9" t="s">
        <v>8</v>
      </c>
      <c r="D76" s="9">
        <v>50.0</v>
      </c>
      <c r="E76" s="10">
        <v>2.0</v>
      </c>
      <c r="F76" s="9">
        <v>4.0</v>
      </c>
      <c r="G76" s="9">
        <v>1.0</v>
      </c>
      <c r="H76" s="9">
        <v>0.0</v>
      </c>
      <c r="I76" s="9">
        <v>0.0</v>
      </c>
      <c r="J76" s="17">
        <v>543.0</v>
      </c>
      <c r="K76" s="18">
        <v>127.183</v>
      </c>
      <c r="L76" s="17">
        <v>365.0</v>
      </c>
      <c r="M76" s="18">
        <v>365.0</v>
      </c>
      <c r="N76" s="18">
        <v>0.0</v>
      </c>
      <c r="O76" s="18">
        <v>514.641</v>
      </c>
    </row>
    <row r="77">
      <c r="A77" s="8" t="s">
        <v>82</v>
      </c>
      <c r="B77" s="9">
        <v>30.0</v>
      </c>
      <c r="C77" s="9" t="s">
        <v>8</v>
      </c>
      <c r="D77" s="9">
        <v>50.0</v>
      </c>
      <c r="E77" s="10">
        <v>2.0</v>
      </c>
      <c r="F77" s="9">
        <v>5.0</v>
      </c>
      <c r="G77" s="9">
        <v>0.0</v>
      </c>
      <c r="H77" s="9">
        <v>1.0</v>
      </c>
      <c r="I77" s="9">
        <v>0.0</v>
      </c>
      <c r="J77" s="17">
        <v>1042.0</v>
      </c>
      <c r="K77" s="18">
        <v>629.671</v>
      </c>
      <c r="L77" s="17">
        <v>885.0</v>
      </c>
      <c r="M77" s="18">
        <v>809.228</v>
      </c>
      <c r="N77" s="18">
        <v>8.56178</v>
      </c>
      <c r="O77" s="18">
        <v>3600.0</v>
      </c>
    </row>
    <row r="78">
      <c r="A78" s="8" t="s">
        <v>83</v>
      </c>
      <c r="B78" s="9">
        <v>30.0</v>
      </c>
      <c r="C78" s="9" t="s">
        <v>8</v>
      </c>
      <c r="D78" s="9">
        <v>75.0</v>
      </c>
      <c r="E78" s="10">
        <v>0.6</v>
      </c>
      <c r="F78" s="9">
        <v>1.0</v>
      </c>
      <c r="G78" s="9">
        <v>0.0</v>
      </c>
      <c r="H78" s="9">
        <v>1.0</v>
      </c>
      <c r="I78" s="9">
        <v>0.0</v>
      </c>
      <c r="J78" s="17">
        <v>-1310.0</v>
      </c>
      <c r="K78" s="18">
        <v>-3191.96</v>
      </c>
      <c r="L78" s="17">
        <v>-1727.0</v>
      </c>
      <c r="M78" s="18">
        <v>-2331.52</v>
      </c>
      <c r="N78" s="18">
        <v>35.0041</v>
      </c>
      <c r="O78" s="18">
        <v>3600.0</v>
      </c>
    </row>
    <row r="79">
      <c r="A79" s="8" t="s">
        <v>84</v>
      </c>
      <c r="B79" s="9">
        <v>30.0</v>
      </c>
      <c r="C79" s="9" t="s">
        <v>8</v>
      </c>
      <c r="D79" s="9">
        <v>75.0</v>
      </c>
      <c r="E79" s="10">
        <v>0.6</v>
      </c>
      <c r="F79" s="9">
        <v>2.0</v>
      </c>
      <c r="G79" s="9">
        <v>0.0</v>
      </c>
      <c r="H79" s="9">
        <v>1.0</v>
      </c>
      <c r="I79" s="9">
        <v>0.0</v>
      </c>
      <c r="J79" s="17">
        <v>-2.0</v>
      </c>
      <c r="K79" s="18">
        <v>-3261.83</v>
      </c>
      <c r="L79" s="17">
        <v>-1720.0</v>
      </c>
      <c r="M79" s="18">
        <v>-2485.5</v>
      </c>
      <c r="N79" s="18">
        <v>44.506</v>
      </c>
      <c r="O79" s="18">
        <v>3600.0</v>
      </c>
    </row>
    <row r="80">
      <c r="A80" s="8" t="s">
        <v>85</v>
      </c>
      <c r="B80" s="9">
        <v>30.0</v>
      </c>
      <c r="C80" s="9" t="s">
        <v>8</v>
      </c>
      <c r="D80" s="9">
        <v>75.0</v>
      </c>
      <c r="E80" s="10">
        <v>0.6</v>
      </c>
      <c r="F80" s="9">
        <v>3.0</v>
      </c>
      <c r="G80" s="9">
        <v>0.0</v>
      </c>
      <c r="H80" s="9">
        <v>1.0</v>
      </c>
      <c r="I80" s="9">
        <v>0.0</v>
      </c>
      <c r="J80" s="17">
        <v>-135.0</v>
      </c>
      <c r="K80" s="18">
        <v>-3206.54</v>
      </c>
      <c r="L80" s="17">
        <v>-1503.0</v>
      </c>
      <c r="M80" s="18">
        <v>-2433.5</v>
      </c>
      <c r="N80" s="18">
        <v>61.9095</v>
      </c>
      <c r="O80" s="18">
        <v>3600.0</v>
      </c>
    </row>
    <row r="81">
      <c r="A81" s="8" t="s">
        <v>86</v>
      </c>
      <c r="B81" s="9">
        <v>30.0</v>
      </c>
      <c r="C81" s="9" t="s">
        <v>8</v>
      </c>
      <c r="D81" s="9">
        <v>75.0</v>
      </c>
      <c r="E81" s="10">
        <v>0.6</v>
      </c>
      <c r="F81" s="9">
        <v>4.0</v>
      </c>
      <c r="G81" s="9">
        <v>0.0</v>
      </c>
      <c r="H81" s="9">
        <v>1.0</v>
      </c>
      <c r="I81" s="9">
        <v>0.0</v>
      </c>
      <c r="J81" s="17">
        <v>8.0</v>
      </c>
      <c r="K81" s="18">
        <v>-3080.09</v>
      </c>
      <c r="L81" s="17">
        <v>-1623.0</v>
      </c>
      <c r="M81" s="18">
        <v>-2264.34</v>
      </c>
      <c r="N81" s="18">
        <v>39.5158</v>
      </c>
      <c r="O81" s="18">
        <v>3600.0</v>
      </c>
    </row>
    <row r="82">
      <c r="A82" s="8" t="s">
        <v>87</v>
      </c>
      <c r="B82" s="9">
        <v>30.0</v>
      </c>
      <c r="C82" s="9" t="s">
        <v>8</v>
      </c>
      <c r="D82" s="9">
        <v>75.0</v>
      </c>
      <c r="E82" s="10">
        <v>0.6</v>
      </c>
      <c r="F82" s="9">
        <v>5.0</v>
      </c>
      <c r="G82" s="9">
        <v>0.0</v>
      </c>
      <c r="H82" s="9">
        <v>1.0</v>
      </c>
      <c r="I82" s="9">
        <v>0.0</v>
      </c>
      <c r="J82" s="17">
        <v>-808.0</v>
      </c>
      <c r="K82" s="18">
        <v>-3469.12</v>
      </c>
      <c r="L82" s="17">
        <v>-1768.0</v>
      </c>
      <c r="M82" s="18">
        <v>-2760.77</v>
      </c>
      <c r="N82" s="18">
        <v>56.1523</v>
      </c>
      <c r="O82" s="18">
        <v>3600.0</v>
      </c>
    </row>
    <row r="83">
      <c r="A83" s="8" t="s">
        <v>88</v>
      </c>
      <c r="B83" s="9">
        <v>30.0</v>
      </c>
      <c r="C83" s="9" t="s">
        <v>8</v>
      </c>
      <c r="D83" s="9">
        <v>75.0</v>
      </c>
      <c r="E83" s="10">
        <v>1.0</v>
      </c>
      <c r="F83" s="9">
        <v>1.0</v>
      </c>
      <c r="G83" s="9">
        <v>0.0</v>
      </c>
      <c r="H83" s="9">
        <v>1.0</v>
      </c>
      <c r="I83" s="9">
        <v>0.0</v>
      </c>
      <c r="J83" s="17">
        <v>-151.0</v>
      </c>
      <c r="K83" s="18">
        <v>-2333.71</v>
      </c>
      <c r="L83" s="17">
        <v>-1500.0</v>
      </c>
      <c r="M83" s="18">
        <v>-1887.22</v>
      </c>
      <c r="N83" s="18">
        <v>25.8146</v>
      </c>
      <c r="O83" s="18">
        <v>3600.0</v>
      </c>
    </row>
    <row r="84">
      <c r="A84" s="8" t="s">
        <v>89</v>
      </c>
      <c r="B84" s="9">
        <v>30.0</v>
      </c>
      <c r="C84" s="9" t="s">
        <v>8</v>
      </c>
      <c r="D84" s="9">
        <v>75.0</v>
      </c>
      <c r="E84" s="10">
        <v>1.0</v>
      </c>
      <c r="F84" s="9">
        <v>2.0</v>
      </c>
      <c r="G84" s="9">
        <v>0.0</v>
      </c>
      <c r="H84" s="9">
        <v>1.0</v>
      </c>
      <c r="I84" s="9">
        <v>0.0</v>
      </c>
      <c r="J84" s="17">
        <v>-1026.0</v>
      </c>
      <c r="K84" s="18">
        <v>-2289.35</v>
      </c>
      <c r="L84" s="17">
        <v>-1366.0</v>
      </c>
      <c r="M84" s="18">
        <v>-1906.86</v>
      </c>
      <c r="N84" s="18">
        <v>39.5948</v>
      </c>
      <c r="O84" s="18">
        <v>3600.0</v>
      </c>
    </row>
    <row r="85">
      <c r="A85" s="8" t="s">
        <v>90</v>
      </c>
      <c r="B85" s="9">
        <v>30.0</v>
      </c>
      <c r="C85" s="9" t="s">
        <v>8</v>
      </c>
      <c r="D85" s="9">
        <v>75.0</v>
      </c>
      <c r="E85" s="10">
        <v>1.0</v>
      </c>
      <c r="F85" s="9">
        <v>3.0</v>
      </c>
      <c r="G85" s="9">
        <v>0.0</v>
      </c>
      <c r="H85" s="9">
        <v>1.0</v>
      </c>
      <c r="I85" s="9">
        <v>0.0</v>
      </c>
      <c r="J85" s="17">
        <v>-320.0</v>
      </c>
      <c r="K85" s="18">
        <v>-2277.81</v>
      </c>
      <c r="L85" s="17">
        <v>-1348.0</v>
      </c>
      <c r="M85" s="18">
        <v>-1817.4</v>
      </c>
      <c r="N85" s="18">
        <v>34.8216</v>
      </c>
      <c r="O85" s="18">
        <v>3600.0</v>
      </c>
    </row>
    <row r="86">
      <c r="A86" s="8" t="s">
        <v>91</v>
      </c>
      <c r="B86" s="9">
        <v>30.0</v>
      </c>
      <c r="C86" s="9" t="s">
        <v>8</v>
      </c>
      <c r="D86" s="9">
        <v>75.0</v>
      </c>
      <c r="E86" s="10">
        <v>1.0</v>
      </c>
      <c r="F86" s="9">
        <v>4.0</v>
      </c>
      <c r="G86" s="9">
        <v>0.0</v>
      </c>
      <c r="H86" s="9">
        <v>1.0</v>
      </c>
      <c r="I86" s="9">
        <v>0.0</v>
      </c>
      <c r="J86" s="17">
        <v>-51.0</v>
      </c>
      <c r="K86" s="18">
        <v>-2104.98</v>
      </c>
      <c r="L86" s="17">
        <v>-1202.0</v>
      </c>
      <c r="M86" s="18">
        <v>-1636.61</v>
      </c>
      <c r="N86" s="18">
        <v>36.1571</v>
      </c>
      <c r="O86" s="18">
        <v>3600.0</v>
      </c>
    </row>
    <row r="87">
      <c r="A87" s="8" t="s">
        <v>92</v>
      </c>
      <c r="B87" s="9">
        <v>30.0</v>
      </c>
      <c r="C87" s="9" t="s">
        <v>8</v>
      </c>
      <c r="D87" s="9">
        <v>75.0</v>
      </c>
      <c r="E87" s="10">
        <v>1.0</v>
      </c>
      <c r="F87" s="9">
        <v>5.0</v>
      </c>
      <c r="G87" s="9">
        <v>0.0</v>
      </c>
      <c r="H87" s="9">
        <v>1.0</v>
      </c>
      <c r="I87" s="9">
        <v>0.0</v>
      </c>
      <c r="J87" s="17">
        <v>-613.0</v>
      </c>
      <c r="K87" s="18">
        <v>-2292.85</v>
      </c>
      <c r="L87" s="17">
        <v>-1363.0</v>
      </c>
      <c r="M87" s="18">
        <v>-1887.49</v>
      </c>
      <c r="N87" s="18">
        <v>38.4802</v>
      </c>
      <c r="O87" s="18">
        <v>3600.0</v>
      </c>
    </row>
    <row r="88">
      <c r="A88" s="8" t="s">
        <v>93</v>
      </c>
      <c r="B88" s="9">
        <v>30.0</v>
      </c>
      <c r="C88" s="9" t="s">
        <v>8</v>
      </c>
      <c r="D88" s="9">
        <v>75.0</v>
      </c>
      <c r="E88" s="10">
        <v>2.0</v>
      </c>
      <c r="F88" s="9">
        <v>1.0</v>
      </c>
      <c r="G88" s="9">
        <v>1.0</v>
      </c>
      <c r="H88" s="9">
        <v>0.0</v>
      </c>
      <c r="I88" s="9">
        <v>0.0</v>
      </c>
      <c r="J88" s="17">
        <v>-263.0</v>
      </c>
      <c r="K88" s="18">
        <v>-643.505</v>
      </c>
      <c r="L88" s="17">
        <v>-423.0</v>
      </c>
      <c r="M88" s="18">
        <v>-423.0</v>
      </c>
      <c r="N88" s="18">
        <v>0.0</v>
      </c>
      <c r="O88" s="18">
        <v>301.17</v>
      </c>
    </row>
    <row r="89">
      <c r="A89" s="8" t="s">
        <v>94</v>
      </c>
      <c r="B89" s="9">
        <v>30.0</v>
      </c>
      <c r="C89" s="9" t="s">
        <v>8</v>
      </c>
      <c r="D89" s="9">
        <v>75.0</v>
      </c>
      <c r="E89" s="10">
        <v>2.0</v>
      </c>
      <c r="F89" s="9">
        <v>2.0</v>
      </c>
      <c r="G89" s="9">
        <v>0.0</v>
      </c>
      <c r="H89" s="9">
        <v>1.0</v>
      </c>
      <c r="I89" s="9">
        <v>0.0</v>
      </c>
      <c r="J89" s="17">
        <v>101.0</v>
      </c>
      <c r="K89" s="18">
        <v>-409.122</v>
      </c>
      <c r="L89" s="17">
        <v>-111.0</v>
      </c>
      <c r="M89" s="18">
        <v>-231.515</v>
      </c>
      <c r="N89" s="18">
        <v>108.572</v>
      </c>
      <c r="O89" s="18">
        <v>3600.0</v>
      </c>
    </row>
    <row r="90">
      <c r="A90" s="8" t="s">
        <v>95</v>
      </c>
      <c r="B90" s="9">
        <v>30.0</v>
      </c>
      <c r="C90" s="9" t="s">
        <v>8</v>
      </c>
      <c r="D90" s="9">
        <v>75.0</v>
      </c>
      <c r="E90" s="10">
        <v>2.0</v>
      </c>
      <c r="F90" s="9">
        <v>3.0</v>
      </c>
      <c r="G90" s="9">
        <v>1.0</v>
      </c>
      <c r="H90" s="9">
        <v>0.0</v>
      </c>
      <c r="I90" s="9">
        <v>0.0</v>
      </c>
      <c r="J90" s="17">
        <v>441.0</v>
      </c>
      <c r="K90" s="18">
        <v>-46.0527</v>
      </c>
      <c r="L90" s="17">
        <v>220.0</v>
      </c>
      <c r="M90" s="18">
        <v>220.0</v>
      </c>
      <c r="N90" s="18">
        <v>0.0</v>
      </c>
      <c r="O90" s="18">
        <v>1125.09</v>
      </c>
    </row>
    <row r="91">
      <c r="A91" s="8" t="s">
        <v>96</v>
      </c>
      <c r="B91" s="9">
        <v>30.0</v>
      </c>
      <c r="C91" s="9" t="s">
        <v>8</v>
      </c>
      <c r="D91" s="9">
        <v>75.0</v>
      </c>
      <c r="E91" s="10">
        <v>2.0</v>
      </c>
      <c r="F91" s="9">
        <v>4.0</v>
      </c>
      <c r="G91" s="9">
        <v>1.0</v>
      </c>
      <c r="H91" s="9">
        <v>0.0</v>
      </c>
      <c r="I91" s="9">
        <v>0.0</v>
      </c>
      <c r="J91" s="17">
        <v>2037.0</v>
      </c>
      <c r="K91" s="18">
        <v>1433.46</v>
      </c>
      <c r="L91" s="17">
        <v>1730.0</v>
      </c>
      <c r="M91" s="18">
        <v>1730.0</v>
      </c>
      <c r="N91" s="18">
        <v>0.0</v>
      </c>
      <c r="O91" s="18">
        <v>3065.17</v>
      </c>
    </row>
    <row r="92">
      <c r="A92" s="8" t="s">
        <v>97</v>
      </c>
      <c r="B92" s="9">
        <v>30.0</v>
      </c>
      <c r="C92" s="9" t="s">
        <v>8</v>
      </c>
      <c r="D92" s="9">
        <v>75.0</v>
      </c>
      <c r="E92" s="10">
        <v>2.0</v>
      </c>
      <c r="F92" s="9">
        <v>5.0</v>
      </c>
      <c r="G92" s="9">
        <v>0.0</v>
      </c>
      <c r="H92" s="9">
        <v>1.0</v>
      </c>
      <c r="I92" s="9">
        <v>0.0</v>
      </c>
      <c r="J92" s="17">
        <v>2651.0</v>
      </c>
      <c r="K92" s="18">
        <v>2036.13</v>
      </c>
      <c r="L92" s="17">
        <v>2510.0</v>
      </c>
      <c r="M92" s="18">
        <v>2288.71</v>
      </c>
      <c r="N92" s="18">
        <v>8.81621</v>
      </c>
      <c r="O92" s="18">
        <v>3600.0</v>
      </c>
    </row>
    <row r="93">
      <c r="A93" s="8" t="s">
        <v>98</v>
      </c>
      <c r="B93" s="9">
        <v>35.0</v>
      </c>
      <c r="C93" s="9" t="s">
        <v>8</v>
      </c>
      <c r="D93" s="9">
        <v>25.0</v>
      </c>
      <c r="E93" s="10">
        <v>0.6</v>
      </c>
      <c r="F93" s="9">
        <v>1.0</v>
      </c>
      <c r="G93" s="9">
        <v>0.0</v>
      </c>
      <c r="H93" s="9">
        <v>1.0</v>
      </c>
      <c r="I93" s="9">
        <v>0.0</v>
      </c>
      <c r="J93" s="17">
        <v>-889.0</v>
      </c>
      <c r="K93" s="18">
        <v>-1551.31</v>
      </c>
      <c r="L93" s="17">
        <v>-1150.0</v>
      </c>
      <c r="M93" s="18">
        <v>-1214.38</v>
      </c>
      <c r="N93" s="18">
        <v>5.59857</v>
      </c>
      <c r="O93" s="18">
        <v>3600.0</v>
      </c>
    </row>
    <row r="94">
      <c r="A94" s="8" t="s">
        <v>99</v>
      </c>
      <c r="B94" s="9">
        <v>35.0</v>
      </c>
      <c r="C94" s="9" t="s">
        <v>8</v>
      </c>
      <c r="D94" s="9">
        <v>25.0</v>
      </c>
      <c r="E94" s="10">
        <v>0.6</v>
      </c>
      <c r="F94" s="9">
        <v>2.0</v>
      </c>
      <c r="G94" s="9">
        <v>1.0</v>
      </c>
      <c r="H94" s="9">
        <v>0.0</v>
      </c>
      <c r="I94" s="9">
        <v>0.0</v>
      </c>
      <c r="J94" s="17">
        <v>-559.0</v>
      </c>
      <c r="K94" s="18">
        <v>-1557.7</v>
      </c>
      <c r="L94" s="17">
        <v>-1144.0</v>
      </c>
      <c r="M94" s="18">
        <v>-1144.0</v>
      </c>
      <c r="N94" s="18">
        <v>0.0</v>
      </c>
      <c r="O94" s="18">
        <v>1085.91</v>
      </c>
    </row>
    <row r="95">
      <c r="A95" s="8" t="s">
        <v>100</v>
      </c>
      <c r="B95" s="9">
        <v>35.0</v>
      </c>
      <c r="C95" s="9" t="s">
        <v>8</v>
      </c>
      <c r="D95" s="9">
        <v>25.0</v>
      </c>
      <c r="E95" s="10">
        <v>0.6</v>
      </c>
      <c r="F95" s="9">
        <v>3.0</v>
      </c>
      <c r="G95" s="9">
        <v>1.0</v>
      </c>
      <c r="H95" s="9">
        <v>0.0</v>
      </c>
      <c r="I95" s="9">
        <v>0.0</v>
      </c>
      <c r="J95" s="17">
        <v>-799.0</v>
      </c>
      <c r="K95" s="18">
        <v>-1939.39</v>
      </c>
      <c r="L95" s="17">
        <v>-1380.0</v>
      </c>
      <c r="M95" s="18">
        <v>-1380.0</v>
      </c>
      <c r="N95" s="18">
        <v>0.0</v>
      </c>
      <c r="O95" s="18">
        <v>1517.65</v>
      </c>
    </row>
    <row r="96">
      <c r="A96" s="8" t="s">
        <v>101</v>
      </c>
      <c r="B96" s="9">
        <v>35.0</v>
      </c>
      <c r="C96" s="9" t="s">
        <v>8</v>
      </c>
      <c r="D96" s="9">
        <v>25.0</v>
      </c>
      <c r="E96" s="10">
        <v>0.6</v>
      </c>
      <c r="F96" s="9">
        <v>4.0</v>
      </c>
      <c r="G96" s="9">
        <v>1.0</v>
      </c>
      <c r="H96" s="9">
        <v>0.0</v>
      </c>
      <c r="I96" s="9">
        <v>0.0</v>
      </c>
      <c r="J96" s="17">
        <v>-713.0</v>
      </c>
      <c r="K96" s="18">
        <v>-1645.12</v>
      </c>
      <c r="L96" s="17">
        <v>-1233.0</v>
      </c>
      <c r="M96" s="18">
        <v>-1233.0</v>
      </c>
      <c r="N96" s="18">
        <v>0.0</v>
      </c>
      <c r="O96" s="18">
        <v>1135.12</v>
      </c>
    </row>
    <row r="97">
      <c r="A97" s="8" t="s">
        <v>102</v>
      </c>
      <c r="B97" s="9">
        <v>35.0</v>
      </c>
      <c r="C97" s="9" t="s">
        <v>8</v>
      </c>
      <c r="D97" s="9">
        <v>25.0</v>
      </c>
      <c r="E97" s="10">
        <v>0.6</v>
      </c>
      <c r="F97" s="9">
        <v>5.0</v>
      </c>
      <c r="G97" s="9">
        <v>1.0</v>
      </c>
      <c r="H97" s="9">
        <v>0.0</v>
      </c>
      <c r="I97" s="9">
        <v>0.0</v>
      </c>
      <c r="J97" s="17">
        <v>-137.0</v>
      </c>
      <c r="K97" s="18">
        <v>-1457.65</v>
      </c>
      <c r="L97" s="17">
        <v>-1057.0</v>
      </c>
      <c r="M97" s="18">
        <v>-1057.0</v>
      </c>
      <c r="N97" s="18">
        <v>0.0</v>
      </c>
      <c r="O97" s="18">
        <v>2127.87</v>
      </c>
    </row>
    <row r="98">
      <c r="A98" s="8" t="s">
        <v>103</v>
      </c>
      <c r="B98" s="9">
        <v>35.0</v>
      </c>
      <c r="C98" s="9" t="s">
        <v>8</v>
      </c>
      <c r="D98" s="9">
        <v>25.0</v>
      </c>
      <c r="E98" s="10">
        <v>1.0</v>
      </c>
      <c r="F98" s="9">
        <v>1.0</v>
      </c>
      <c r="G98" s="9">
        <v>0.0</v>
      </c>
      <c r="H98" s="9">
        <v>1.0</v>
      </c>
      <c r="I98" s="9">
        <v>0.0</v>
      </c>
      <c r="J98" s="17">
        <v>-746.0</v>
      </c>
      <c r="K98" s="18">
        <v>-1457.24</v>
      </c>
      <c r="L98" s="17">
        <v>-1047.0</v>
      </c>
      <c r="M98" s="18">
        <v>-1230.53</v>
      </c>
      <c r="N98" s="18">
        <v>17.5293</v>
      </c>
      <c r="O98" s="18">
        <v>3600.0</v>
      </c>
    </row>
    <row r="99">
      <c r="A99" s="8" t="s">
        <v>104</v>
      </c>
      <c r="B99" s="9">
        <v>35.0</v>
      </c>
      <c r="C99" s="9" t="s">
        <v>8</v>
      </c>
      <c r="D99" s="9">
        <v>25.0</v>
      </c>
      <c r="E99" s="10">
        <v>1.0</v>
      </c>
      <c r="F99" s="9">
        <v>2.0</v>
      </c>
      <c r="G99" s="9">
        <v>1.0</v>
      </c>
      <c r="H99" s="9">
        <v>0.0</v>
      </c>
      <c r="I99" s="9">
        <v>0.0</v>
      </c>
      <c r="J99" s="17">
        <v>-257.0</v>
      </c>
      <c r="K99" s="18">
        <v>-1410.26</v>
      </c>
      <c r="L99" s="17">
        <v>-1080.0</v>
      </c>
      <c r="M99" s="18">
        <v>-1080.0</v>
      </c>
      <c r="N99" s="18">
        <v>0.0</v>
      </c>
      <c r="O99" s="18">
        <v>2628.1</v>
      </c>
    </row>
    <row r="100">
      <c r="A100" s="8" t="s">
        <v>105</v>
      </c>
      <c r="B100" s="9">
        <v>35.0</v>
      </c>
      <c r="C100" s="9" t="s">
        <v>8</v>
      </c>
      <c r="D100" s="9">
        <v>25.0</v>
      </c>
      <c r="E100" s="10">
        <v>1.0</v>
      </c>
      <c r="F100" s="9">
        <v>3.0</v>
      </c>
      <c r="G100" s="9">
        <v>0.0</v>
      </c>
      <c r="H100" s="9">
        <v>1.0</v>
      </c>
      <c r="I100" s="9">
        <v>0.0</v>
      </c>
      <c r="J100" s="17">
        <v>-734.0</v>
      </c>
      <c r="K100" s="18">
        <v>-1720.09</v>
      </c>
      <c r="L100" s="17">
        <v>-1192.0</v>
      </c>
      <c r="M100" s="18">
        <v>-1382.49</v>
      </c>
      <c r="N100" s="18">
        <v>15.9809</v>
      </c>
      <c r="O100" s="18">
        <v>3600.0</v>
      </c>
    </row>
    <row r="101">
      <c r="A101" s="8" t="s">
        <v>106</v>
      </c>
      <c r="B101" s="9">
        <v>35.0</v>
      </c>
      <c r="C101" s="9" t="s">
        <v>8</v>
      </c>
      <c r="D101" s="9">
        <v>25.0</v>
      </c>
      <c r="E101" s="10">
        <v>1.0</v>
      </c>
      <c r="F101" s="9">
        <v>4.0</v>
      </c>
      <c r="G101" s="9">
        <v>0.0</v>
      </c>
      <c r="H101" s="9">
        <v>1.0</v>
      </c>
      <c r="I101" s="9">
        <v>0.0</v>
      </c>
      <c r="J101" s="17">
        <v>-809.0</v>
      </c>
      <c r="K101" s="18">
        <v>-1488.02</v>
      </c>
      <c r="L101" s="17">
        <v>-1132.0</v>
      </c>
      <c r="M101" s="18">
        <v>-1163.65</v>
      </c>
      <c r="N101" s="18">
        <v>2.79633</v>
      </c>
      <c r="O101" s="18">
        <v>3600.0</v>
      </c>
    </row>
    <row r="102">
      <c r="A102" s="8" t="s">
        <v>107</v>
      </c>
      <c r="B102" s="9">
        <v>35.0</v>
      </c>
      <c r="C102" s="9" t="s">
        <v>8</v>
      </c>
      <c r="D102" s="9">
        <v>25.0</v>
      </c>
      <c r="E102" s="10">
        <v>1.0</v>
      </c>
      <c r="F102" s="9">
        <v>5.0</v>
      </c>
      <c r="G102" s="9">
        <v>0.0</v>
      </c>
      <c r="H102" s="9">
        <v>1.0</v>
      </c>
      <c r="I102" s="9">
        <v>0.0</v>
      </c>
      <c r="J102" s="17">
        <v>-633.0</v>
      </c>
      <c r="K102" s="18">
        <v>-1301.28</v>
      </c>
      <c r="L102" s="17">
        <v>-934.0</v>
      </c>
      <c r="M102" s="18">
        <v>-1061.17</v>
      </c>
      <c r="N102" s="18">
        <v>13.6154</v>
      </c>
      <c r="O102" s="18">
        <v>3600.0</v>
      </c>
    </row>
    <row r="103">
      <c r="A103" s="8" t="s">
        <v>108</v>
      </c>
      <c r="B103" s="9">
        <v>35.0</v>
      </c>
      <c r="C103" s="9" t="s">
        <v>8</v>
      </c>
      <c r="D103" s="9">
        <v>25.0</v>
      </c>
      <c r="E103" s="10">
        <v>2.0</v>
      </c>
      <c r="F103" s="9">
        <v>1.0</v>
      </c>
      <c r="G103" s="9">
        <v>1.0</v>
      </c>
      <c r="H103" s="9">
        <v>0.0</v>
      </c>
      <c r="I103" s="9">
        <v>0.0</v>
      </c>
      <c r="J103" s="17">
        <v>-651.0</v>
      </c>
      <c r="K103" s="18">
        <v>-929.37</v>
      </c>
      <c r="L103" s="17">
        <v>-732.0</v>
      </c>
      <c r="M103" s="18">
        <v>-732.0</v>
      </c>
      <c r="N103" s="18">
        <v>0.0</v>
      </c>
      <c r="O103" s="18">
        <v>1530.63</v>
      </c>
    </row>
    <row r="104">
      <c r="A104" s="8" t="s">
        <v>109</v>
      </c>
      <c r="B104" s="9">
        <v>35.0</v>
      </c>
      <c r="C104" s="9" t="s">
        <v>8</v>
      </c>
      <c r="D104" s="9">
        <v>25.0</v>
      </c>
      <c r="E104" s="10">
        <v>2.0</v>
      </c>
      <c r="F104" s="9">
        <v>2.0</v>
      </c>
      <c r="G104" s="9">
        <v>1.0</v>
      </c>
      <c r="H104" s="9">
        <v>0.0</v>
      </c>
      <c r="I104" s="9">
        <v>0.0</v>
      </c>
      <c r="J104" s="17">
        <v>-566.0</v>
      </c>
      <c r="K104" s="18">
        <v>-802.511</v>
      </c>
      <c r="L104" s="17">
        <v>-612.0</v>
      </c>
      <c r="M104" s="18">
        <v>-612.0</v>
      </c>
      <c r="N104" s="18">
        <v>0.0</v>
      </c>
      <c r="O104" s="18">
        <v>1208.49</v>
      </c>
    </row>
    <row r="105">
      <c r="A105" s="8" t="s">
        <v>110</v>
      </c>
      <c r="B105" s="9">
        <v>35.0</v>
      </c>
      <c r="C105" s="9" t="s">
        <v>8</v>
      </c>
      <c r="D105" s="9">
        <v>25.0</v>
      </c>
      <c r="E105" s="10">
        <v>2.0</v>
      </c>
      <c r="F105" s="9">
        <v>3.0</v>
      </c>
      <c r="G105" s="9">
        <v>0.0</v>
      </c>
      <c r="H105" s="9">
        <v>1.0</v>
      </c>
      <c r="I105" s="9">
        <v>0.0</v>
      </c>
      <c r="J105" s="17">
        <v>87.0</v>
      </c>
      <c r="K105" s="18">
        <v>-749.304</v>
      </c>
      <c r="L105" s="17">
        <v>-452.0</v>
      </c>
      <c r="M105" s="18">
        <v>-565.512</v>
      </c>
      <c r="N105" s="18">
        <v>25.1133</v>
      </c>
      <c r="O105" s="18">
        <v>3600.0</v>
      </c>
    </row>
    <row r="106">
      <c r="A106" s="8" t="s">
        <v>111</v>
      </c>
      <c r="B106" s="9">
        <v>35.0</v>
      </c>
      <c r="C106" s="9" t="s">
        <v>8</v>
      </c>
      <c r="D106" s="9">
        <v>25.0</v>
      </c>
      <c r="E106" s="10">
        <v>2.0</v>
      </c>
      <c r="F106" s="9">
        <v>4.0</v>
      </c>
      <c r="G106" s="9">
        <v>0.0</v>
      </c>
      <c r="H106" s="9">
        <v>1.0</v>
      </c>
      <c r="I106" s="9">
        <v>0.0</v>
      </c>
      <c r="J106" s="17">
        <v>-535.0</v>
      </c>
      <c r="K106" s="18">
        <v>-877.832</v>
      </c>
      <c r="L106" s="17">
        <v>-681.0</v>
      </c>
      <c r="M106" s="18">
        <v>-699.995</v>
      </c>
      <c r="N106" s="18">
        <v>2.78932</v>
      </c>
      <c r="O106" s="18">
        <v>3600.0</v>
      </c>
    </row>
    <row r="107">
      <c r="A107" s="8" t="s">
        <v>112</v>
      </c>
      <c r="B107" s="9">
        <v>35.0</v>
      </c>
      <c r="C107" s="9" t="s">
        <v>8</v>
      </c>
      <c r="D107" s="9">
        <v>25.0</v>
      </c>
      <c r="E107" s="10">
        <v>2.0</v>
      </c>
      <c r="F107" s="9">
        <v>5.0</v>
      </c>
      <c r="G107" s="9">
        <v>0.0</v>
      </c>
      <c r="H107" s="9">
        <v>1.0</v>
      </c>
      <c r="I107" s="9">
        <v>0.0</v>
      </c>
      <c r="J107" s="17">
        <v>35.0</v>
      </c>
      <c r="K107" s="18">
        <v>-400.935</v>
      </c>
      <c r="L107" s="17">
        <v>-178.0</v>
      </c>
      <c r="M107" s="18">
        <v>-252.473</v>
      </c>
      <c r="N107" s="18">
        <v>41.8385</v>
      </c>
      <c r="O107" s="18">
        <v>3600.0</v>
      </c>
    </row>
    <row r="108">
      <c r="A108" s="8" t="s">
        <v>113</v>
      </c>
      <c r="B108" s="9">
        <v>35.0</v>
      </c>
      <c r="C108" s="9" t="s">
        <v>8</v>
      </c>
      <c r="D108" s="9">
        <v>50.0</v>
      </c>
      <c r="E108" s="10">
        <v>0.6</v>
      </c>
      <c r="F108" s="9">
        <v>1.0</v>
      </c>
      <c r="G108" s="9">
        <v>0.0</v>
      </c>
      <c r="H108" s="9">
        <v>1.0</v>
      </c>
      <c r="I108" s="9">
        <v>0.0</v>
      </c>
      <c r="J108" s="17">
        <v>-1172.0</v>
      </c>
      <c r="K108" s="18">
        <v>-3564.08</v>
      </c>
      <c r="L108" s="17">
        <v>-1825.0</v>
      </c>
      <c r="M108" s="18">
        <v>-2857.66</v>
      </c>
      <c r="N108" s="18">
        <v>56.5841</v>
      </c>
      <c r="O108" s="18">
        <v>3600.0</v>
      </c>
    </row>
    <row r="109">
      <c r="A109" s="8" t="s">
        <v>114</v>
      </c>
      <c r="B109" s="9">
        <v>35.0</v>
      </c>
      <c r="C109" s="9" t="s">
        <v>8</v>
      </c>
      <c r="D109" s="9">
        <v>50.0</v>
      </c>
      <c r="E109" s="10">
        <v>0.6</v>
      </c>
      <c r="F109" s="9">
        <v>2.0</v>
      </c>
      <c r="G109" s="9">
        <v>0.0</v>
      </c>
      <c r="H109" s="9">
        <v>1.0</v>
      </c>
      <c r="I109" s="9">
        <v>0.0</v>
      </c>
      <c r="J109" s="17">
        <v>-767.0</v>
      </c>
      <c r="K109" s="18">
        <v>-3228.64</v>
      </c>
      <c r="L109" s="17">
        <v>-1731.0</v>
      </c>
      <c r="M109" s="18">
        <v>-2538.47</v>
      </c>
      <c r="N109" s="18">
        <v>46.6478</v>
      </c>
      <c r="O109" s="18">
        <v>3600.0</v>
      </c>
    </row>
    <row r="110">
      <c r="A110" s="8" t="s">
        <v>115</v>
      </c>
      <c r="B110" s="9">
        <v>35.0</v>
      </c>
      <c r="C110" s="9" t="s">
        <v>8</v>
      </c>
      <c r="D110" s="9">
        <v>50.0</v>
      </c>
      <c r="E110" s="10">
        <v>0.6</v>
      </c>
      <c r="F110" s="9">
        <v>3.0</v>
      </c>
      <c r="G110" s="9">
        <v>0.0</v>
      </c>
      <c r="H110" s="9">
        <v>1.0</v>
      </c>
      <c r="I110" s="9">
        <v>0.0</v>
      </c>
      <c r="J110" s="17">
        <v>-126.0</v>
      </c>
      <c r="K110" s="18">
        <v>-2898.4</v>
      </c>
      <c r="L110" s="17">
        <v>-1461.0</v>
      </c>
      <c r="M110" s="18">
        <v>-2068.39</v>
      </c>
      <c r="N110" s="18">
        <v>41.5734</v>
      </c>
      <c r="O110" s="18">
        <v>3600.0</v>
      </c>
    </row>
    <row r="111">
      <c r="A111" s="8" t="s">
        <v>116</v>
      </c>
      <c r="B111" s="9">
        <v>35.0</v>
      </c>
      <c r="C111" s="9" t="s">
        <v>8</v>
      </c>
      <c r="D111" s="9">
        <v>50.0</v>
      </c>
      <c r="E111" s="10">
        <v>0.6</v>
      </c>
      <c r="F111" s="9">
        <v>4.0</v>
      </c>
      <c r="G111" s="9">
        <v>0.0</v>
      </c>
      <c r="H111" s="9">
        <v>1.0</v>
      </c>
      <c r="I111" s="9">
        <v>0.0</v>
      </c>
      <c r="J111" s="17">
        <v>-336.0</v>
      </c>
      <c r="K111" s="18">
        <v>-3721.03</v>
      </c>
      <c r="L111" s="17">
        <v>-1710.0</v>
      </c>
      <c r="M111" s="18">
        <v>-2914.56</v>
      </c>
      <c r="N111" s="18">
        <v>70.4418</v>
      </c>
      <c r="O111" s="18">
        <v>3600.0</v>
      </c>
    </row>
    <row r="112">
      <c r="A112" s="8" t="s">
        <v>117</v>
      </c>
      <c r="B112" s="9">
        <v>35.0</v>
      </c>
      <c r="C112" s="9" t="s">
        <v>8</v>
      </c>
      <c r="D112" s="9">
        <v>50.0</v>
      </c>
      <c r="E112" s="10">
        <v>0.6</v>
      </c>
      <c r="F112" s="9">
        <v>5.0</v>
      </c>
      <c r="G112" s="9">
        <v>0.0</v>
      </c>
      <c r="H112" s="9">
        <v>1.0</v>
      </c>
      <c r="I112" s="9">
        <v>0.0</v>
      </c>
      <c r="J112" s="17">
        <v>-485.0</v>
      </c>
      <c r="K112" s="18">
        <v>-3048.9</v>
      </c>
      <c r="L112" s="17">
        <v>-1472.0</v>
      </c>
      <c r="M112" s="18">
        <v>-2341.97</v>
      </c>
      <c r="N112" s="18">
        <v>59.1012</v>
      </c>
      <c r="O112" s="18">
        <v>3600.0</v>
      </c>
    </row>
    <row r="113">
      <c r="A113" s="8" t="s">
        <v>118</v>
      </c>
      <c r="B113" s="9">
        <v>35.0</v>
      </c>
      <c r="C113" s="9" t="s">
        <v>8</v>
      </c>
      <c r="D113" s="9">
        <v>50.0</v>
      </c>
      <c r="E113" s="10">
        <v>1.0</v>
      </c>
      <c r="F113" s="9">
        <v>1.0</v>
      </c>
      <c r="G113" s="9">
        <v>0.0</v>
      </c>
      <c r="H113" s="9">
        <v>1.0</v>
      </c>
      <c r="I113" s="9">
        <v>0.0</v>
      </c>
      <c r="J113" s="17">
        <v>-619.0</v>
      </c>
      <c r="K113" s="18">
        <v>-2648.08</v>
      </c>
      <c r="L113" s="17">
        <v>-1473.0</v>
      </c>
      <c r="M113" s="18">
        <v>-2252.17</v>
      </c>
      <c r="N113" s="18">
        <v>52.8968</v>
      </c>
      <c r="O113" s="18">
        <v>3600.0</v>
      </c>
    </row>
    <row r="114">
      <c r="A114" s="8" t="s">
        <v>119</v>
      </c>
      <c r="B114" s="9">
        <v>35.0</v>
      </c>
      <c r="C114" s="9" t="s">
        <v>8</v>
      </c>
      <c r="D114" s="9">
        <v>50.0</v>
      </c>
      <c r="E114" s="10">
        <v>1.0</v>
      </c>
      <c r="F114" s="9">
        <v>2.0</v>
      </c>
      <c r="G114" s="9">
        <v>0.0</v>
      </c>
      <c r="H114" s="9">
        <v>1.0</v>
      </c>
      <c r="I114" s="9">
        <v>0.0</v>
      </c>
      <c r="J114" s="17">
        <v>-1288.0</v>
      </c>
      <c r="K114" s="18">
        <v>-2556.84</v>
      </c>
      <c r="L114" s="17">
        <v>-1579.0</v>
      </c>
      <c r="M114" s="18">
        <v>-2187.98</v>
      </c>
      <c r="N114" s="18">
        <v>38.5674</v>
      </c>
      <c r="O114" s="18">
        <v>3600.0</v>
      </c>
    </row>
    <row r="115">
      <c r="A115" s="8" t="s">
        <v>120</v>
      </c>
      <c r="B115" s="9">
        <v>35.0</v>
      </c>
      <c r="C115" s="9" t="s">
        <v>8</v>
      </c>
      <c r="D115" s="9">
        <v>50.0</v>
      </c>
      <c r="E115" s="10">
        <v>1.0</v>
      </c>
      <c r="F115" s="9">
        <v>3.0</v>
      </c>
      <c r="G115" s="9">
        <v>0.0</v>
      </c>
      <c r="H115" s="9">
        <v>1.0</v>
      </c>
      <c r="I115" s="9">
        <v>0.0</v>
      </c>
      <c r="J115" s="17">
        <v>-1076.0</v>
      </c>
      <c r="K115" s="18">
        <v>-2356.13</v>
      </c>
      <c r="L115" s="17">
        <v>-1240.0</v>
      </c>
      <c r="M115" s="18">
        <v>-1862.72</v>
      </c>
      <c r="N115" s="18">
        <v>50.2197</v>
      </c>
      <c r="O115" s="18">
        <v>3600.0</v>
      </c>
    </row>
    <row r="116">
      <c r="A116" s="8" t="s">
        <v>121</v>
      </c>
      <c r="B116" s="9">
        <v>35.0</v>
      </c>
      <c r="C116" s="9" t="s">
        <v>8</v>
      </c>
      <c r="D116" s="9">
        <v>50.0</v>
      </c>
      <c r="E116" s="10">
        <v>1.0</v>
      </c>
      <c r="F116" s="9">
        <v>4.0</v>
      </c>
      <c r="G116" s="9">
        <v>0.0</v>
      </c>
      <c r="H116" s="9">
        <v>1.0</v>
      </c>
      <c r="I116" s="9">
        <v>0.0</v>
      </c>
      <c r="J116" s="17">
        <v>-998.0</v>
      </c>
      <c r="K116" s="18">
        <v>-2992.47</v>
      </c>
      <c r="L116" s="17">
        <v>-1537.0</v>
      </c>
      <c r="M116" s="18">
        <v>-2441.19</v>
      </c>
      <c r="N116" s="18">
        <v>58.828</v>
      </c>
      <c r="O116" s="18">
        <v>3600.0</v>
      </c>
    </row>
    <row r="117">
      <c r="A117" s="8" t="s">
        <v>122</v>
      </c>
      <c r="B117" s="9">
        <v>35.0</v>
      </c>
      <c r="C117" s="9" t="s">
        <v>8</v>
      </c>
      <c r="D117" s="9">
        <v>50.0</v>
      </c>
      <c r="E117" s="10">
        <v>1.0</v>
      </c>
      <c r="F117" s="9">
        <v>5.0</v>
      </c>
      <c r="G117" s="9">
        <v>0.0</v>
      </c>
      <c r="H117" s="9">
        <v>1.0</v>
      </c>
      <c r="I117" s="9">
        <v>0.0</v>
      </c>
      <c r="J117" s="17">
        <v>-511.0</v>
      </c>
      <c r="K117" s="18">
        <v>-2424.12</v>
      </c>
      <c r="L117" s="17">
        <v>-1260.0</v>
      </c>
      <c r="M117" s="18">
        <v>-2049.96</v>
      </c>
      <c r="N117" s="18">
        <v>62.6949</v>
      </c>
      <c r="O117" s="18">
        <v>3600.0</v>
      </c>
    </row>
    <row r="118">
      <c r="A118" s="8" t="s">
        <v>123</v>
      </c>
      <c r="B118" s="9">
        <v>35.0</v>
      </c>
      <c r="C118" s="9" t="s">
        <v>8</v>
      </c>
      <c r="D118" s="9">
        <v>50.0</v>
      </c>
      <c r="E118" s="10">
        <v>2.0</v>
      </c>
      <c r="F118" s="9">
        <v>1.0</v>
      </c>
      <c r="G118" s="9">
        <v>0.0</v>
      </c>
      <c r="H118" s="9">
        <v>1.0</v>
      </c>
      <c r="I118" s="9">
        <v>0.0</v>
      </c>
      <c r="J118" s="17">
        <v>1147.0</v>
      </c>
      <c r="K118" s="18">
        <v>206.268</v>
      </c>
      <c r="L118" s="17">
        <v>854.0</v>
      </c>
      <c r="M118" s="18">
        <v>431.444</v>
      </c>
      <c r="N118" s="18">
        <v>49.4796</v>
      </c>
      <c r="O118" s="18">
        <v>3600.0</v>
      </c>
    </row>
    <row r="119">
      <c r="A119" s="8" t="s">
        <v>124</v>
      </c>
      <c r="B119" s="9">
        <v>35.0</v>
      </c>
      <c r="C119" s="9" t="s">
        <v>8</v>
      </c>
      <c r="D119" s="9">
        <v>50.0</v>
      </c>
      <c r="E119" s="10">
        <v>2.0</v>
      </c>
      <c r="F119" s="9">
        <v>2.0</v>
      </c>
      <c r="G119" s="9">
        <v>0.0</v>
      </c>
      <c r="H119" s="9">
        <v>1.0</v>
      </c>
      <c r="I119" s="9">
        <v>0.0</v>
      </c>
      <c r="J119" s="17">
        <v>-896.0</v>
      </c>
      <c r="K119" s="18">
        <v>-1487.64</v>
      </c>
      <c r="L119" s="17">
        <v>-1030.0</v>
      </c>
      <c r="M119" s="18">
        <v>-1278.63</v>
      </c>
      <c r="N119" s="18">
        <v>24.1389</v>
      </c>
      <c r="O119" s="18">
        <v>3600.0</v>
      </c>
    </row>
    <row r="120">
      <c r="A120" s="8" t="s">
        <v>125</v>
      </c>
      <c r="B120" s="9">
        <v>35.0</v>
      </c>
      <c r="C120" s="9" t="s">
        <v>8</v>
      </c>
      <c r="D120" s="9">
        <v>50.0</v>
      </c>
      <c r="E120" s="10">
        <v>2.0</v>
      </c>
      <c r="F120" s="9">
        <v>3.0</v>
      </c>
      <c r="G120" s="9">
        <v>0.0</v>
      </c>
      <c r="H120" s="9">
        <v>1.0</v>
      </c>
      <c r="I120" s="9">
        <v>0.0</v>
      </c>
      <c r="J120" s="17">
        <v>724.0</v>
      </c>
      <c r="K120" s="18">
        <v>-214.712</v>
      </c>
      <c r="L120" s="17">
        <v>296.0</v>
      </c>
      <c r="M120" s="18">
        <v>20.1124</v>
      </c>
      <c r="N120" s="18">
        <v>93.2053</v>
      </c>
      <c r="O120" s="18">
        <v>3600.0</v>
      </c>
    </row>
    <row r="121">
      <c r="A121" s="8" t="s">
        <v>126</v>
      </c>
      <c r="B121" s="9">
        <v>35.0</v>
      </c>
      <c r="C121" s="9" t="s">
        <v>8</v>
      </c>
      <c r="D121" s="9">
        <v>50.0</v>
      </c>
      <c r="E121" s="10">
        <v>2.0</v>
      </c>
      <c r="F121" s="9">
        <v>4.0</v>
      </c>
      <c r="G121" s="9">
        <v>0.0</v>
      </c>
      <c r="H121" s="9">
        <v>1.0</v>
      </c>
      <c r="I121" s="9">
        <v>0.0</v>
      </c>
      <c r="J121" s="17">
        <v>-272.0</v>
      </c>
      <c r="K121" s="18">
        <v>-1115.02</v>
      </c>
      <c r="L121" s="17">
        <v>-542.0</v>
      </c>
      <c r="M121" s="18">
        <v>-723.04</v>
      </c>
      <c r="N121" s="18">
        <v>33.4022</v>
      </c>
      <c r="O121" s="18">
        <v>3600.0</v>
      </c>
    </row>
    <row r="122">
      <c r="A122" s="8" t="s">
        <v>127</v>
      </c>
      <c r="B122" s="9">
        <v>35.0</v>
      </c>
      <c r="C122" s="9" t="s">
        <v>8</v>
      </c>
      <c r="D122" s="9">
        <v>50.0</v>
      </c>
      <c r="E122" s="10">
        <v>2.0</v>
      </c>
      <c r="F122" s="9">
        <v>5.0</v>
      </c>
      <c r="G122" s="9">
        <v>0.0</v>
      </c>
      <c r="H122" s="9">
        <v>1.0</v>
      </c>
      <c r="I122" s="9">
        <v>0.0</v>
      </c>
      <c r="J122" s="17">
        <v>1303.0</v>
      </c>
      <c r="K122" s="18">
        <v>205.808</v>
      </c>
      <c r="L122" s="17">
        <v>855.0</v>
      </c>
      <c r="M122" s="18">
        <v>403.72</v>
      </c>
      <c r="N122" s="18">
        <v>52.7812</v>
      </c>
      <c r="O122" s="18">
        <v>3600.0</v>
      </c>
    </row>
    <row r="123">
      <c r="A123" s="8" t="s">
        <v>128</v>
      </c>
      <c r="B123" s="9">
        <v>35.0</v>
      </c>
      <c r="C123" s="9" t="s">
        <v>8</v>
      </c>
      <c r="D123" s="9">
        <v>75.0</v>
      </c>
      <c r="E123" s="10">
        <v>0.6</v>
      </c>
      <c r="F123" s="9">
        <v>1.0</v>
      </c>
      <c r="G123" s="9">
        <v>0.0</v>
      </c>
      <c r="H123" s="9">
        <v>1.0</v>
      </c>
      <c r="I123" s="9">
        <v>0.0</v>
      </c>
      <c r="J123" s="17">
        <v>-208.0</v>
      </c>
      <c r="K123" s="18">
        <v>-3969.39</v>
      </c>
      <c r="L123" s="17">
        <v>-1940.0</v>
      </c>
      <c r="M123" s="18">
        <v>-3204.02</v>
      </c>
      <c r="N123" s="18">
        <v>65.1558</v>
      </c>
      <c r="O123" s="18">
        <v>3600.0</v>
      </c>
    </row>
    <row r="124">
      <c r="A124" s="8" t="s">
        <v>129</v>
      </c>
      <c r="B124" s="9">
        <v>35.0</v>
      </c>
      <c r="C124" s="9" t="s">
        <v>8</v>
      </c>
      <c r="D124" s="9">
        <v>75.0</v>
      </c>
      <c r="E124" s="10">
        <v>0.6</v>
      </c>
      <c r="F124" s="9">
        <v>2.0</v>
      </c>
      <c r="G124" s="9">
        <v>0.0</v>
      </c>
      <c r="H124" s="9">
        <v>1.0</v>
      </c>
      <c r="I124" s="9">
        <v>0.0</v>
      </c>
      <c r="J124" s="17">
        <v>-1524.0</v>
      </c>
      <c r="K124" s="18">
        <v>-4569.29</v>
      </c>
      <c r="L124" s="17">
        <v>-2054.0</v>
      </c>
      <c r="M124" s="18">
        <v>-3699.6</v>
      </c>
      <c r="N124" s="18">
        <v>80.1171</v>
      </c>
      <c r="O124" s="18">
        <v>3600.0</v>
      </c>
    </row>
    <row r="125">
      <c r="A125" s="8" t="s">
        <v>130</v>
      </c>
      <c r="B125" s="9">
        <v>35.0</v>
      </c>
      <c r="C125" s="9" t="s">
        <v>8</v>
      </c>
      <c r="D125" s="9">
        <v>75.0</v>
      </c>
      <c r="E125" s="10">
        <v>0.6</v>
      </c>
      <c r="F125" s="9">
        <v>3.0</v>
      </c>
      <c r="G125" s="9">
        <v>0.0</v>
      </c>
      <c r="H125" s="9">
        <v>1.0</v>
      </c>
      <c r="I125" s="9">
        <v>0.0</v>
      </c>
      <c r="J125" s="17">
        <v>-201.0</v>
      </c>
      <c r="K125" s="18">
        <v>-4168.81</v>
      </c>
      <c r="L125" s="17">
        <v>-1606.0</v>
      </c>
      <c r="M125" s="18">
        <v>-3401.48</v>
      </c>
      <c r="N125" s="18">
        <v>111.798</v>
      </c>
      <c r="O125" s="18">
        <v>3600.0</v>
      </c>
    </row>
    <row r="126">
      <c r="A126" s="8" t="s">
        <v>131</v>
      </c>
      <c r="B126" s="9">
        <v>35.0</v>
      </c>
      <c r="C126" s="9" t="s">
        <v>8</v>
      </c>
      <c r="D126" s="9">
        <v>75.0</v>
      </c>
      <c r="E126" s="10">
        <v>0.6</v>
      </c>
      <c r="F126" s="9">
        <v>4.0</v>
      </c>
      <c r="G126" s="9">
        <v>0.0</v>
      </c>
      <c r="H126" s="9">
        <v>1.0</v>
      </c>
      <c r="I126" s="9">
        <v>0.0</v>
      </c>
      <c r="J126" s="17">
        <v>-798.0</v>
      </c>
      <c r="K126" s="18">
        <v>-4329.66</v>
      </c>
      <c r="L126" s="17">
        <v>-1966.0</v>
      </c>
      <c r="M126" s="18">
        <v>-3538.47</v>
      </c>
      <c r="N126" s="18">
        <v>79.9833</v>
      </c>
      <c r="O126" s="18">
        <v>3600.0</v>
      </c>
    </row>
    <row r="127">
      <c r="A127" s="8" t="s">
        <v>132</v>
      </c>
      <c r="B127" s="9">
        <v>35.0</v>
      </c>
      <c r="C127" s="9" t="s">
        <v>8</v>
      </c>
      <c r="D127" s="9">
        <v>75.0</v>
      </c>
      <c r="E127" s="10">
        <v>0.6</v>
      </c>
      <c r="F127" s="9">
        <v>5.0</v>
      </c>
      <c r="G127" s="9">
        <v>0.0</v>
      </c>
      <c r="H127" s="9">
        <v>1.0</v>
      </c>
      <c r="I127" s="9">
        <v>0.0</v>
      </c>
      <c r="J127" s="17">
        <v>41.0</v>
      </c>
      <c r="K127" s="18">
        <v>-4605.82</v>
      </c>
      <c r="L127" s="17">
        <v>-1847.0</v>
      </c>
      <c r="M127" s="18">
        <v>-3670.09</v>
      </c>
      <c r="N127" s="18">
        <v>98.7053</v>
      </c>
      <c r="O127" s="18">
        <v>3600.0</v>
      </c>
    </row>
    <row r="128">
      <c r="A128" s="8" t="s">
        <v>133</v>
      </c>
      <c r="B128" s="9">
        <v>35.0</v>
      </c>
      <c r="C128" s="9" t="s">
        <v>8</v>
      </c>
      <c r="D128" s="9">
        <v>75.0</v>
      </c>
      <c r="E128" s="10">
        <v>1.0</v>
      </c>
      <c r="F128" s="9">
        <v>1.0</v>
      </c>
      <c r="G128" s="9">
        <v>0.0</v>
      </c>
      <c r="H128" s="9">
        <v>1.0</v>
      </c>
      <c r="I128" s="9">
        <v>0.0</v>
      </c>
      <c r="J128" s="17">
        <v>-794.0</v>
      </c>
      <c r="K128" s="18">
        <v>-3050.29</v>
      </c>
      <c r="L128" s="17">
        <v>-1624.0</v>
      </c>
      <c r="M128" s="18">
        <v>-2606.79</v>
      </c>
      <c r="N128" s="18">
        <v>60.5167</v>
      </c>
      <c r="O128" s="18">
        <v>3600.0</v>
      </c>
    </row>
    <row r="129">
      <c r="A129" s="8" t="s">
        <v>134</v>
      </c>
      <c r="B129" s="9">
        <v>35.0</v>
      </c>
      <c r="C129" s="9" t="s">
        <v>8</v>
      </c>
      <c r="D129" s="9">
        <v>75.0</v>
      </c>
      <c r="E129" s="10">
        <v>1.0</v>
      </c>
      <c r="F129" s="9">
        <v>2.0</v>
      </c>
      <c r="G129" s="9">
        <v>0.0</v>
      </c>
      <c r="H129" s="9">
        <v>1.0</v>
      </c>
      <c r="I129" s="9">
        <v>0.0</v>
      </c>
      <c r="J129" s="17">
        <v>-1088.0</v>
      </c>
      <c r="K129" s="18">
        <v>-3252.89</v>
      </c>
      <c r="L129" s="17">
        <v>-1933.0</v>
      </c>
      <c r="M129" s="18">
        <v>-2811.63</v>
      </c>
      <c r="N129" s="18">
        <v>45.4543</v>
      </c>
      <c r="O129" s="18">
        <v>3600.0</v>
      </c>
    </row>
    <row r="130">
      <c r="A130" s="8" t="s">
        <v>135</v>
      </c>
      <c r="B130" s="9">
        <v>35.0</v>
      </c>
      <c r="C130" s="9" t="s">
        <v>8</v>
      </c>
      <c r="D130" s="9">
        <v>75.0</v>
      </c>
      <c r="E130" s="10">
        <v>1.0</v>
      </c>
      <c r="F130" s="9">
        <v>3.0</v>
      </c>
      <c r="G130" s="9">
        <v>0.0</v>
      </c>
      <c r="H130" s="9">
        <v>1.0</v>
      </c>
      <c r="I130" s="9">
        <v>0.0</v>
      </c>
      <c r="J130" s="17">
        <v>-563.0</v>
      </c>
      <c r="K130" s="18">
        <v>-3028.6</v>
      </c>
      <c r="L130" s="17">
        <v>-1485.0</v>
      </c>
      <c r="M130" s="18">
        <v>-2549.83</v>
      </c>
      <c r="N130" s="18">
        <v>71.7057</v>
      </c>
      <c r="O130" s="18">
        <v>3600.0</v>
      </c>
    </row>
    <row r="131">
      <c r="A131" s="8" t="s">
        <v>136</v>
      </c>
      <c r="B131" s="9">
        <v>35.0</v>
      </c>
      <c r="C131" s="9" t="s">
        <v>8</v>
      </c>
      <c r="D131" s="9">
        <v>75.0</v>
      </c>
      <c r="E131" s="10">
        <v>1.0</v>
      </c>
      <c r="F131" s="9">
        <v>4.0</v>
      </c>
      <c r="G131" s="9">
        <v>0.0</v>
      </c>
      <c r="H131" s="9">
        <v>1.0</v>
      </c>
      <c r="I131" s="9">
        <v>0.0</v>
      </c>
      <c r="J131" s="17">
        <v>-1289.0</v>
      </c>
      <c r="K131" s="18">
        <v>-3378.83</v>
      </c>
      <c r="L131" s="17">
        <v>-1865.0</v>
      </c>
      <c r="M131" s="18">
        <v>-2881.63</v>
      </c>
      <c r="N131" s="18">
        <v>54.511</v>
      </c>
      <c r="O131" s="18">
        <v>3600.0</v>
      </c>
    </row>
    <row r="132">
      <c r="A132" s="8" t="s">
        <v>137</v>
      </c>
      <c r="B132" s="9">
        <v>35.0</v>
      </c>
      <c r="C132" s="9" t="s">
        <v>8</v>
      </c>
      <c r="D132" s="9">
        <v>75.0</v>
      </c>
      <c r="E132" s="10">
        <v>1.0</v>
      </c>
      <c r="F132" s="9">
        <v>5.0</v>
      </c>
      <c r="G132" s="9">
        <v>0.0</v>
      </c>
      <c r="H132" s="9">
        <v>1.0</v>
      </c>
      <c r="I132" s="9">
        <v>0.0</v>
      </c>
      <c r="J132" s="17">
        <v>-1201.0</v>
      </c>
      <c r="K132" s="18">
        <v>-3366.58</v>
      </c>
      <c r="L132" s="17">
        <v>-1735.0</v>
      </c>
      <c r="M132" s="18">
        <v>-2921.71</v>
      </c>
      <c r="N132" s="18">
        <v>68.398</v>
      </c>
      <c r="O132" s="18">
        <v>3600.0</v>
      </c>
    </row>
    <row r="133">
      <c r="A133" s="8" t="s">
        <v>138</v>
      </c>
      <c r="B133" s="9">
        <v>35.0</v>
      </c>
      <c r="C133" s="9" t="s">
        <v>8</v>
      </c>
      <c r="D133" s="9">
        <v>75.0</v>
      </c>
      <c r="E133" s="10">
        <v>2.0</v>
      </c>
      <c r="F133" s="9">
        <v>1.0</v>
      </c>
      <c r="G133" s="9">
        <v>0.0</v>
      </c>
      <c r="H133" s="9">
        <v>1.0</v>
      </c>
      <c r="I133" s="9">
        <v>0.0</v>
      </c>
      <c r="J133" s="17">
        <v>991.0</v>
      </c>
      <c r="K133" s="18">
        <v>-240.949</v>
      </c>
      <c r="L133" s="17">
        <v>451.0</v>
      </c>
      <c r="M133" s="18">
        <v>49.9983</v>
      </c>
      <c r="N133" s="18">
        <v>88.9139</v>
      </c>
      <c r="O133" s="18">
        <v>3600.0</v>
      </c>
    </row>
    <row r="134">
      <c r="A134" s="8" t="s">
        <v>139</v>
      </c>
      <c r="B134" s="9">
        <v>35.0</v>
      </c>
      <c r="C134" s="9" t="s">
        <v>8</v>
      </c>
      <c r="D134" s="9">
        <v>75.0</v>
      </c>
      <c r="E134" s="10">
        <v>2.0</v>
      </c>
      <c r="F134" s="9">
        <v>2.0</v>
      </c>
      <c r="G134" s="9">
        <v>0.0</v>
      </c>
      <c r="H134" s="9">
        <v>1.0</v>
      </c>
      <c r="I134" s="9">
        <v>0.0</v>
      </c>
      <c r="J134" s="17">
        <v>521.0</v>
      </c>
      <c r="K134" s="18">
        <v>-417.933</v>
      </c>
      <c r="L134" s="17">
        <v>175.0</v>
      </c>
      <c r="M134" s="18">
        <v>-225.98</v>
      </c>
      <c r="N134" s="18">
        <v>229.131</v>
      </c>
      <c r="O134" s="18">
        <v>3600.0</v>
      </c>
    </row>
    <row r="135">
      <c r="A135" s="8" t="s">
        <v>140</v>
      </c>
      <c r="B135" s="9">
        <v>35.0</v>
      </c>
      <c r="C135" s="9" t="s">
        <v>8</v>
      </c>
      <c r="D135" s="9">
        <v>75.0</v>
      </c>
      <c r="E135" s="10">
        <v>2.0</v>
      </c>
      <c r="F135" s="9">
        <v>3.0</v>
      </c>
      <c r="G135" s="9">
        <v>0.0</v>
      </c>
      <c r="H135" s="9">
        <v>1.0</v>
      </c>
      <c r="I135" s="9">
        <v>0.0</v>
      </c>
      <c r="J135" s="17">
        <v>1449.0</v>
      </c>
      <c r="K135" s="18">
        <v>438.329</v>
      </c>
      <c r="L135" s="17">
        <v>1090.0</v>
      </c>
      <c r="M135" s="18">
        <v>629.306</v>
      </c>
      <c r="N135" s="18">
        <v>42.2655</v>
      </c>
      <c r="O135" s="18">
        <v>3600.0</v>
      </c>
    </row>
    <row r="136">
      <c r="A136" s="8" t="s">
        <v>141</v>
      </c>
      <c r="B136" s="9">
        <v>35.0</v>
      </c>
      <c r="C136" s="9" t="s">
        <v>8</v>
      </c>
      <c r="D136" s="9">
        <v>75.0</v>
      </c>
      <c r="E136" s="10">
        <v>2.0</v>
      </c>
      <c r="F136" s="9">
        <v>4.0</v>
      </c>
      <c r="G136" s="9">
        <v>0.0</v>
      </c>
      <c r="H136" s="9">
        <v>1.0</v>
      </c>
      <c r="I136" s="9">
        <v>0.0</v>
      </c>
      <c r="J136" s="17">
        <v>-635.0</v>
      </c>
      <c r="K136" s="18">
        <v>-1693.79</v>
      </c>
      <c r="L136" s="17">
        <v>-1207.0</v>
      </c>
      <c r="M136" s="18">
        <v>-1412.76</v>
      </c>
      <c r="N136" s="18">
        <v>17.0476</v>
      </c>
      <c r="O136" s="18">
        <v>3600.0</v>
      </c>
    </row>
    <row r="137">
      <c r="A137" s="8" t="s">
        <v>142</v>
      </c>
      <c r="B137" s="9">
        <v>35.0</v>
      </c>
      <c r="C137" s="9" t="s">
        <v>8</v>
      </c>
      <c r="D137" s="9">
        <v>75.0</v>
      </c>
      <c r="E137" s="10">
        <v>2.0</v>
      </c>
      <c r="F137" s="9">
        <v>5.0</v>
      </c>
      <c r="G137" s="9">
        <v>0.0</v>
      </c>
      <c r="H137" s="9">
        <v>1.0</v>
      </c>
      <c r="I137" s="9">
        <v>0.0</v>
      </c>
      <c r="J137" s="17">
        <v>363.0</v>
      </c>
      <c r="K137" s="18">
        <v>-743.039</v>
      </c>
      <c r="L137" s="17">
        <v>-204.0</v>
      </c>
      <c r="M137" s="18">
        <v>-499.975</v>
      </c>
      <c r="N137" s="18">
        <v>145.086</v>
      </c>
      <c r="O137" s="18">
        <v>3600.0</v>
      </c>
    </row>
    <row r="138">
      <c r="A138" s="8" t="s">
        <v>233</v>
      </c>
      <c r="B138" s="9">
        <v>25.0</v>
      </c>
      <c r="C138" s="14" t="s">
        <v>234</v>
      </c>
      <c r="D138" s="9">
        <v>25.0</v>
      </c>
      <c r="E138" s="10">
        <v>0.6</v>
      </c>
      <c r="F138" s="9">
        <v>1.0</v>
      </c>
      <c r="G138" s="9">
        <v>1.0</v>
      </c>
      <c r="H138" s="9">
        <v>0.0</v>
      </c>
      <c r="I138" s="9">
        <v>0.0</v>
      </c>
      <c r="J138" s="17">
        <v>421.0</v>
      </c>
      <c r="K138" s="18">
        <v>194.68</v>
      </c>
      <c r="L138" s="17">
        <v>261.0</v>
      </c>
      <c r="M138" s="18">
        <v>261.0</v>
      </c>
      <c r="N138" s="18">
        <v>0.0</v>
      </c>
      <c r="O138" s="18">
        <v>16.352</v>
      </c>
    </row>
    <row r="139">
      <c r="A139" s="8" t="s">
        <v>235</v>
      </c>
      <c r="B139" s="9">
        <v>25.0</v>
      </c>
      <c r="C139" s="14" t="s">
        <v>234</v>
      </c>
      <c r="D139" s="9">
        <v>25.0</v>
      </c>
      <c r="E139" s="10">
        <v>0.6</v>
      </c>
      <c r="F139" s="9">
        <v>2.0</v>
      </c>
      <c r="G139" s="9">
        <v>1.0</v>
      </c>
      <c r="H139" s="9">
        <v>0.0</v>
      </c>
      <c r="I139" s="9">
        <v>0.0</v>
      </c>
      <c r="J139" s="17">
        <v>313.0</v>
      </c>
      <c r="K139" s="18">
        <v>177.0</v>
      </c>
      <c r="L139" s="17">
        <v>236.0</v>
      </c>
      <c r="M139" s="18">
        <v>236.0</v>
      </c>
      <c r="N139" s="18">
        <v>0.0</v>
      </c>
      <c r="O139" s="18">
        <v>21.868</v>
      </c>
    </row>
    <row r="140">
      <c r="A140" s="8" t="s">
        <v>236</v>
      </c>
      <c r="B140" s="9">
        <v>25.0</v>
      </c>
      <c r="C140" s="14" t="s">
        <v>234</v>
      </c>
      <c r="D140" s="9">
        <v>25.0</v>
      </c>
      <c r="E140" s="10">
        <v>0.6</v>
      </c>
      <c r="F140" s="9">
        <v>3.0</v>
      </c>
      <c r="G140" s="9">
        <v>1.0</v>
      </c>
      <c r="H140" s="9">
        <v>0.0</v>
      </c>
      <c r="I140" s="9">
        <v>0.0</v>
      </c>
      <c r="J140" s="17">
        <v>426.0</v>
      </c>
      <c r="K140" s="18">
        <v>206.285</v>
      </c>
      <c r="L140" s="17">
        <v>281.0</v>
      </c>
      <c r="M140" s="18">
        <v>281.0</v>
      </c>
      <c r="N140" s="18">
        <v>0.0</v>
      </c>
      <c r="O140" s="18">
        <v>23.085</v>
      </c>
    </row>
    <row r="141">
      <c r="A141" s="8" t="s">
        <v>237</v>
      </c>
      <c r="B141" s="9">
        <v>25.0</v>
      </c>
      <c r="C141" s="14" t="s">
        <v>234</v>
      </c>
      <c r="D141" s="9">
        <v>25.0</v>
      </c>
      <c r="E141" s="10">
        <v>0.6</v>
      </c>
      <c r="F141" s="9">
        <v>4.0</v>
      </c>
      <c r="G141" s="9">
        <v>1.0</v>
      </c>
      <c r="H141" s="9">
        <v>0.0</v>
      </c>
      <c r="I141" s="9">
        <v>0.0</v>
      </c>
      <c r="J141" s="17">
        <v>295.0</v>
      </c>
      <c r="K141" s="18">
        <v>176.841</v>
      </c>
      <c r="L141" s="17">
        <v>236.0</v>
      </c>
      <c r="M141" s="18">
        <v>236.0</v>
      </c>
      <c r="N141" s="18">
        <v>0.0</v>
      </c>
      <c r="O141" s="18">
        <v>8.329</v>
      </c>
    </row>
    <row r="142">
      <c r="A142" s="8" t="s">
        <v>238</v>
      </c>
      <c r="B142" s="9">
        <v>25.0</v>
      </c>
      <c r="C142" s="14" t="s">
        <v>234</v>
      </c>
      <c r="D142" s="9">
        <v>25.0</v>
      </c>
      <c r="E142" s="10">
        <v>0.6</v>
      </c>
      <c r="F142" s="9">
        <v>5.0</v>
      </c>
      <c r="G142" s="9">
        <v>1.0</v>
      </c>
      <c r="H142" s="9">
        <v>0.0</v>
      </c>
      <c r="I142" s="9">
        <v>0.0</v>
      </c>
      <c r="J142" s="17">
        <v>326.0</v>
      </c>
      <c r="K142" s="18">
        <v>201.0</v>
      </c>
      <c r="L142" s="17">
        <v>268.0</v>
      </c>
      <c r="M142" s="18">
        <v>268.0</v>
      </c>
      <c r="N142" s="18">
        <v>0.0</v>
      </c>
      <c r="O142" s="18">
        <v>4.52</v>
      </c>
    </row>
    <row r="143">
      <c r="A143" s="8" t="s">
        <v>239</v>
      </c>
      <c r="B143" s="9">
        <v>25.0</v>
      </c>
      <c r="C143" s="14" t="s">
        <v>234</v>
      </c>
      <c r="D143" s="9">
        <v>25.0</v>
      </c>
      <c r="E143" s="10">
        <v>1.0</v>
      </c>
      <c r="F143" s="9">
        <v>1.0</v>
      </c>
      <c r="G143" s="9">
        <v>1.0</v>
      </c>
      <c r="H143" s="9">
        <v>0.0</v>
      </c>
      <c r="I143" s="9">
        <v>0.0</v>
      </c>
      <c r="J143" s="17">
        <v>2105.0</v>
      </c>
      <c r="K143" s="18">
        <v>1385.44</v>
      </c>
      <c r="L143" s="17">
        <v>1390.0</v>
      </c>
      <c r="M143" s="18">
        <v>1390.0</v>
      </c>
      <c r="N143" s="18">
        <v>0.0</v>
      </c>
      <c r="O143" s="18">
        <v>116.143</v>
      </c>
    </row>
    <row r="144">
      <c r="A144" s="8" t="s">
        <v>240</v>
      </c>
      <c r="B144" s="9">
        <v>25.0</v>
      </c>
      <c r="C144" s="14" t="s">
        <v>234</v>
      </c>
      <c r="D144" s="9">
        <v>25.0</v>
      </c>
      <c r="E144" s="10">
        <v>1.0</v>
      </c>
      <c r="F144" s="9">
        <v>2.0</v>
      </c>
      <c r="G144" s="9">
        <v>1.0</v>
      </c>
      <c r="H144" s="9">
        <v>0.0</v>
      </c>
      <c r="I144" s="9">
        <v>0.0</v>
      </c>
      <c r="J144" s="17">
        <v>1618.0</v>
      </c>
      <c r="K144" s="18">
        <v>1265.0</v>
      </c>
      <c r="L144" s="17">
        <v>1306.0</v>
      </c>
      <c r="M144" s="18">
        <v>1306.0</v>
      </c>
      <c r="N144" s="18">
        <v>0.0</v>
      </c>
      <c r="O144" s="18">
        <v>1519.96</v>
      </c>
    </row>
    <row r="145">
      <c r="A145" s="8" t="s">
        <v>241</v>
      </c>
      <c r="B145" s="9">
        <v>25.0</v>
      </c>
      <c r="C145" s="14" t="s">
        <v>234</v>
      </c>
      <c r="D145" s="9">
        <v>25.0</v>
      </c>
      <c r="E145" s="10">
        <v>1.0</v>
      </c>
      <c r="F145" s="9">
        <v>3.0</v>
      </c>
      <c r="G145" s="9">
        <v>1.0</v>
      </c>
      <c r="H145" s="9">
        <v>0.0</v>
      </c>
      <c r="I145" s="9">
        <v>0.0</v>
      </c>
      <c r="J145" s="17">
        <v>1834.0</v>
      </c>
      <c r="K145" s="18">
        <v>1482.29</v>
      </c>
      <c r="L145" s="17">
        <v>1510.0</v>
      </c>
      <c r="M145" s="18">
        <v>1510.0</v>
      </c>
      <c r="N145" s="18">
        <v>0.0</v>
      </c>
      <c r="O145" s="18">
        <v>525.057</v>
      </c>
    </row>
    <row r="146">
      <c r="A146" s="8" t="s">
        <v>242</v>
      </c>
      <c r="B146" s="9">
        <v>25.0</v>
      </c>
      <c r="C146" s="14" t="s">
        <v>234</v>
      </c>
      <c r="D146" s="9">
        <v>25.0</v>
      </c>
      <c r="E146" s="10">
        <v>1.0</v>
      </c>
      <c r="F146" s="9">
        <v>4.0</v>
      </c>
      <c r="G146" s="9">
        <v>1.0</v>
      </c>
      <c r="H146" s="9">
        <v>0.0</v>
      </c>
      <c r="I146" s="9">
        <v>0.0</v>
      </c>
      <c r="J146" s="17">
        <v>1637.0</v>
      </c>
      <c r="K146" s="18">
        <v>1257.16</v>
      </c>
      <c r="L146" s="17">
        <v>1265.0</v>
      </c>
      <c r="M146" s="18">
        <v>1265.0</v>
      </c>
      <c r="N146" s="18">
        <v>0.0</v>
      </c>
      <c r="O146" s="18">
        <v>58.796</v>
      </c>
    </row>
    <row r="147">
      <c r="A147" s="8" t="s">
        <v>243</v>
      </c>
      <c r="B147" s="9">
        <v>25.0</v>
      </c>
      <c r="C147" s="14" t="s">
        <v>234</v>
      </c>
      <c r="D147" s="9">
        <v>25.0</v>
      </c>
      <c r="E147" s="10">
        <v>1.0</v>
      </c>
      <c r="F147" s="9">
        <v>5.0</v>
      </c>
      <c r="G147" s="9">
        <v>1.0</v>
      </c>
      <c r="H147" s="9">
        <v>0.0</v>
      </c>
      <c r="I147" s="9">
        <v>0.0</v>
      </c>
      <c r="J147" s="17">
        <v>1866.0</v>
      </c>
      <c r="K147" s="18">
        <v>1421.06</v>
      </c>
      <c r="L147" s="17">
        <v>1430.0</v>
      </c>
      <c r="M147" s="18">
        <v>1430.0</v>
      </c>
      <c r="N147" s="18">
        <v>0.0</v>
      </c>
      <c r="O147" s="18">
        <v>190.347</v>
      </c>
    </row>
    <row r="148">
      <c r="A148" s="8" t="s">
        <v>244</v>
      </c>
      <c r="B148" s="9">
        <v>25.0</v>
      </c>
      <c r="C148" s="14" t="s">
        <v>234</v>
      </c>
      <c r="D148" s="9">
        <v>25.0</v>
      </c>
      <c r="E148" s="10">
        <v>2.0</v>
      </c>
      <c r="F148" s="9">
        <v>1.0</v>
      </c>
      <c r="G148" s="9">
        <v>1.0</v>
      </c>
      <c r="H148" s="9">
        <v>0.0</v>
      </c>
      <c r="I148" s="9">
        <v>0.0</v>
      </c>
      <c r="J148" s="17">
        <v>20955.0</v>
      </c>
      <c r="K148" s="18">
        <v>19052.9</v>
      </c>
      <c r="L148" s="17">
        <v>20955.0</v>
      </c>
      <c r="M148" s="18">
        <v>20955.0</v>
      </c>
      <c r="N148" s="18">
        <v>0.0</v>
      </c>
      <c r="O148" s="18">
        <v>100.765</v>
      </c>
    </row>
    <row r="149">
      <c r="A149" s="8" t="s">
        <v>245</v>
      </c>
      <c r="B149" s="9">
        <v>25.0</v>
      </c>
      <c r="C149" s="14" t="s">
        <v>234</v>
      </c>
      <c r="D149" s="9">
        <v>25.0</v>
      </c>
      <c r="E149" s="10">
        <v>2.0</v>
      </c>
      <c r="F149" s="9">
        <v>2.0</v>
      </c>
      <c r="G149" s="9">
        <v>1.0</v>
      </c>
      <c r="H149" s="9">
        <v>0.0</v>
      </c>
      <c r="I149" s="9">
        <v>0.0</v>
      </c>
      <c r="J149" s="17">
        <v>22555.0</v>
      </c>
      <c r="K149" s="18">
        <v>22555.0</v>
      </c>
      <c r="L149" s="17">
        <v>22555.0</v>
      </c>
      <c r="M149" s="18">
        <v>22555.0</v>
      </c>
      <c r="N149" s="18">
        <v>0.0</v>
      </c>
      <c r="O149" s="18">
        <v>0.088</v>
      </c>
    </row>
    <row r="150">
      <c r="A150" s="8" t="s">
        <v>246</v>
      </c>
      <c r="B150" s="9">
        <v>25.0</v>
      </c>
      <c r="C150" s="14" t="s">
        <v>234</v>
      </c>
      <c r="D150" s="9">
        <v>25.0</v>
      </c>
      <c r="E150" s="10">
        <v>2.0</v>
      </c>
      <c r="F150" s="9">
        <v>3.0</v>
      </c>
      <c r="G150" s="9">
        <v>1.0</v>
      </c>
      <c r="H150" s="9">
        <v>0.0</v>
      </c>
      <c r="I150" s="9">
        <v>0.0</v>
      </c>
      <c r="J150" s="17">
        <v>22597.0</v>
      </c>
      <c r="K150" s="18">
        <v>20380.1</v>
      </c>
      <c r="L150" s="17">
        <v>22440.0</v>
      </c>
      <c r="M150" s="18">
        <v>22440.0</v>
      </c>
      <c r="N150" s="18">
        <v>0.0</v>
      </c>
      <c r="O150" s="18">
        <v>302.319</v>
      </c>
    </row>
    <row r="151">
      <c r="A151" s="8" t="s">
        <v>247</v>
      </c>
      <c r="B151" s="9">
        <v>25.0</v>
      </c>
      <c r="C151" s="14" t="s">
        <v>234</v>
      </c>
      <c r="D151" s="9">
        <v>25.0</v>
      </c>
      <c r="E151" s="10">
        <v>2.0</v>
      </c>
      <c r="F151" s="9">
        <v>4.0</v>
      </c>
      <c r="G151" s="9">
        <v>1.0</v>
      </c>
      <c r="H151" s="9">
        <v>0.0</v>
      </c>
      <c r="I151" s="9">
        <v>0.0</v>
      </c>
      <c r="J151" s="17">
        <v>17387.0</v>
      </c>
      <c r="K151" s="18">
        <v>17124.2</v>
      </c>
      <c r="L151" s="17">
        <v>17350.0</v>
      </c>
      <c r="M151" s="18">
        <v>17350.0</v>
      </c>
      <c r="N151" s="18">
        <v>0.0</v>
      </c>
      <c r="O151" s="18">
        <v>17.431</v>
      </c>
    </row>
    <row r="152">
      <c r="A152" s="8" t="s">
        <v>248</v>
      </c>
      <c r="B152" s="9">
        <v>25.0</v>
      </c>
      <c r="C152" s="14" t="s">
        <v>234</v>
      </c>
      <c r="D152" s="9">
        <v>25.0</v>
      </c>
      <c r="E152" s="10">
        <v>2.0</v>
      </c>
      <c r="F152" s="9">
        <v>5.0</v>
      </c>
      <c r="G152" s="9">
        <v>1.0</v>
      </c>
      <c r="H152" s="9">
        <v>0.0</v>
      </c>
      <c r="I152" s="9">
        <v>0.0</v>
      </c>
      <c r="J152" s="17">
        <v>19638.0</v>
      </c>
      <c r="K152" s="18">
        <v>19573.8</v>
      </c>
      <c r="L152" s="17">
        <v>19638.0</v>
      </c>
      <c r="M152" s="18">
        <v>19638.0</v>
      </c>
      <c r="N152" s="18">
        <v>0.0</v>
      </c>
      <c r="O152" s="18">
        <v>1.463</v>
      </c>
    </row>
    <row r="153">
      <c r="A153" s="8" t="s">
        <v>249</v>
      </c>
      <c r="B153" s="9">
        <v>25.0</v>
      </c>
      <c r="C153" s="14" t="s">
        <v>234</v>
      </c>
      <c r="D153" s="9">
        <v>50.0</v>
      </c>
      <c r="E153" s="10">
        <v>0.6</v>
      </c>
      <c r="F153" s="9">
        <v>1.0</v>
      </c>
      <c r="G153" s="9">
        <v>1.0</v>
      </c>
      <c r="H153" s="9">
        <v>0.0</v>
      </c>
      <c r="I153" s="9">
        <v>0.0</v>
      </c>
      <c r="J153" s="17">
        <v>727.0</v>
      </c>
      <c r="K153" s="18">
        <v>435.938</v>
      </c>
      <c r="L153" s="17">
        <v>627.0</v>
      </c>
      <c r="M153" s="18">
        <v>627.0</v>
      </c>
      <c r="N153" s="18">
        <v>0.0</v>
      </c>
      <c r="O153" s="18">
        <v>26.96</v>
      </c>
    </row>
    <row r="154">
      <c r="A154" s="8" t="s">
        <v>250</v>
      </c>
      <c r="B154" s="9">
        <v>25.0</v>
      </c>
      <c r="C154" s="14" t="s">
        <v>234</v>
      </c>
      <c r="D154" s="9">
        <v>50.0</v>
      </c>
      <c r="E154" s="10">
        <v>0.6</v>
      </c>
      <c r="F154" s="9">
        <v>2.0</v>
      </c>
      <c r="G154" s="9">
        <v>1.0</v>
      </c>
      <c r="H154" s="9">
        <v>0.0</v>
      </c>
      <c r="I154" s="9">
        <v>0.0</v>
      </c>
      <c r="J154" s="17">
        <v>966.0</v>
      </c>
      <c r="K154" s="18">
        <v>463.969</v>
      </c>
      <c r="L154" s="17">
        <v>769.0</v>
      </c>
      <c r="M154" s="18">
        <v>769.0</v>
      </c>
      <c r="N154" s="18">
        <v>0.0</v>
      </c>
      <c r="O154" s="18">
        <v>30.722</v>
      </c>
    </row>
    <row r="155">
      <c r="A155" s="8" t="s">
        <v>251</v>
      </c>
      <c r="B155" s="9">
        <v>25.0</v>
      </c>
      <c r="C155" s="14" t="s">
        <v>234</v>
      </c>
      <c r="D155" s="9">
        <v>50.0</v>
      </c>
      <c r="E155" s="10">
        <v>0.6</v>
      </c>
      <c r="F155" s="9">
        <v>3.0</v>
      </c>
      <c r="G155" s="9">
        <v>1.0</v>
      </c>
      <c r="H155" s="9">
        <v>0.0</v>
      </c>
      <c r="I155" s="9">
        <v>0.0</v>
      </c>
      <c r="J155" s="17">
        <v>848.0</v>
      </c>
      <c r="K155" s="18">
        <v>354.899</v>
      </c>
      <c r="L155" s="17">
        <v>605.0</v>
      </c>
      <c r="M155" s="18">
        <v>605.0</v>
      </c>
      <c r="N155" s="18">
        <v>0.0</v>
      </c>
      <c r="O155" s="18">
        <v>22.014</v>
      </c>
    </row>
    <row r="156">
      <c r="A156" s="8" t="s">
        <v>252</v>
      </c>
      <c r="B156" s="9">
        <v>25.0</v>
      </c>
      <c r="C156" s="14" t="s">
        <v>234</v>
      </c>
      <c r="D156" s="9">
        <v>50.0</v>
      </c>
      <c r="E156" s="10">
        <v>0.6</v>
      </c>
      <c r="F156" s="9">
        <v>4.0</v>
      </c>
      <c r="G156" s="9">
        <v>1.0</v>
      </c>
      <c r="H156" s="9">
        <v>0.0</v>
      </c>
      <c r="I156" s="9">
        <v>0.0</v>
      </c>
      <c r="J156" s="17">
        <v>866.0</v>
      </c>
      <c r="K156" s="18">
        <v>350.863</v>
      </c>
      <c r="L156" s="17">
        <v>552.0</v>
      </c>
      <c r="M156" s="18">
        <v>552.0</v>
      </c>
      <c r="N156" s="18">
        <v>0.0</v>
      </c>
      <c r="O156" s="18">
        <v>11.768</v>
      </c>
    </row>
    <row r="157">
      <c r="A157" s="8" t="s">
        <v>253</v>
      </c>
      <c r="B157" s="9">
        <v>25.0</v>
      </c>
      <c r="C157" s="14" t="s">
        <v>234</v>
      </c>
      <c r="D157" s="9">
        <v>50.0</v>
      </c>
      <c r="E157" s="10">
        <v>0.6</v>
      </c>
      <c r="F157" s="9">
        <v>5.0</v>
      </c>
      <c r="G157" s="9">
        <v>1.0</v>
      </c>
      <c r="H157" s="9">
        <v>0.0</v>
      </c>
      <c r="I157" s="9">
        <v>0.0</v>
      </c>
      <c r="J157" s="17">
        <v>760.0</v>
      </c>
      <c r="K157" s="18">
        <v>370.692</v>
      </c>
      <c r="L157" s="17">
        <v>553.0</v>
      </c>
      <c r="M157" s="18">
        <v>553.0</v>
      </c>
      <c r="N157" s="18">
        <v>0.0</v>
      </c>
      <c r="O157" s="18">
        <v>12.242</v>
      </c>
    </row>
    <row r="158">
      <c r="A158" s="8" t="s">
        <v>254</v>
      </c>
      <c r="B158" s="9">
        <v>25.0</v>
      </c>
      <c r="C158" s="14" t="s">
        <v>234</v>
      </c>
      <c r="D158" s="9">
        <v>50.0</v>
      </c>
      <c r="E158" s="10">
        <v>1.0</v>
      </c>
      <c r="F158" s="9">
        <v>1.0</v>
      </c>
      <c r="G158" s="9">
        <v>0.0</v>
      </c>
      <c r="H158" s="9">
        <v>1.0</v>
      </c>
      <c r="I158" s="9">
        <v>0.0</v>
      </c>
      <c r="J158" s="17">
        <v>3376.0</v>
      </c>
      <c r="K158" s="18">
        <v>2385.0</v>
      </c>
      <c r="L158" s="17">
        <v>2726.0</v>
      </c>
      <c r="M158" s="18">
        <v>2606.9</v>
      </c>
      <c r="N158" s="18">
        <v>4.36894</v>
      </c>
      <c r="O158" s="18">
        <v>3600.0</v>
      </c>
    </row>
    <row r="159">
      <c r="A159" s="8" t="s">
        <v>255</v>
      </c>
      <c r="B159" s="9">
        <v>25.0</v>
      </c>
      <c r="C159" s="14" t="s">
        <v>234</v>
      </c>
      <c r="D159" s="9">
        <v>50.0</v>
      </c>
      <c r="E159" s="10">
        <v>1.0</v>
      </c>
      <c r="F159" s="9">
        <v>2.0</v>
      </c>
      <c r="G159" s="9">
        <v>1.0</v>
      </c>
      <c r="H159" s="9">
        <v>0.0</v>
      </c>
      <c r="I159" s="9">
        <v>0.0</v>
      </c>
      <c r="J159" s="17">
        <v>3452.0</v>
      </c>
      <c r="K159" s="18">
        <v>2721.03</v>
      </c>
      <c r="L159" s="17">
        <v>3074.0</v>
      </c>
      <c r="M159" s="18">
        <v>3074.0</v>
      </c>
      <c r="N159" s="18">
        <v>0.0</v>
      </c>
      <c r="O159" s="18">
        <v>1691.06</v>
      </c>
    </row>
    <row r="160">
      <c r="A160" s="8" t="s">
        <v>256</v>
      </c>
      <c r="B160" s="9">
        <v>25.0</v>
      </c>
      <c r="C160" s="14" t="s">
        <v>234</v>
      </c>
      <c r="D160" s="9">
        <v>50.0</v>
      </c>
      <c r="E160" s="10">
        <v>1.0</v>
      </c>
      <c r="F160" s="9">
        <v>3.0</v>
      </c>
      <c r="G160" s="9">
        <v>1.0</v>
      </c>
      <c r="H160" s="9">
        <v>0.0</v>
      </c>
      <c r="I160" s="9">
        <v>0.0</v>
      </c>
      <c r="J160" s="17">
        <v>2822.0</v>
      </c>
      <c r="K160" s="18">
        <v>2298.64</v>
      </c>
      <c r="L160" s="17">
        <v>2505.0</v>
      </c>
      <c r="M160" s="18">
        <v>2505.0</v>
      </c>
      <c r="N160" s="18">
        <v>0.0</v>
      </c>
      <c r="O160" s="18">
        <v>479.791</v>
      </c>
    </row>
    <row r="161">
      <c r="A161" s="8" t="s">
        <v>257</v>
      </c>
      <c r="B161" s="9">
        <v>25.0</v>
      </c>
      <c r="C161" s="14" t="s">
        <v>234</v>
      </c>
      <c r="D161" s="9">
        <v>50.0</v>
      </c>
      <c r="E161" s="10">
        <v>1.0</v>
      </c>
      <c r="F161" s="9">
        <v>4.0</v>
      </c>
      <c r="G161" s="9">
        <v>1.0</v>
      </c>
      <c r="H161" s="9">
        <v>0.0</v>
      </c>
      <c r="I161" s="9">
        <v>0.0</v>
      </c>
      <c r="J161" s="17">
        <v>3082.0</v>
      </c>
      <c r="K161" s="18">
        <v>2316.8</v>
      </c>
      <c r="L161" s="17">
        <v>2475.0</v>
      </c>
      <c r="M161" s="18">
        <v>2475.0</v>
      </c>
      <c r="N161" s="18">
        <v>0.0</v>
      </c>
      <c r="O161" s="18">
        <v>646.877</v>
      </c>
    </row>
    <row r="162">
      <c r="A162" s="8" t="s">
        <v>258</v>
      </c>
      <c r="B162" s="9">
        <v>25.0</v>
      </c>
      <c r="C162" s="14" t="s">
        <v>234</v>
      </c>
      <c r="D162" s="9">
        <v>50.0</v>
      </c>
      <c r="E162" s="10">
        <v>1.0</v>
      </c>
      <c r="F162" s="9">
        <v>5.0</v>
      </c>
      <c r="G162" s="9">
        <v>1.0</v>
      </c>
      <c r="H162" s="9">
        <v>0.0</v>
      </c>
      <c r="I162" s="9">
        <v>0.0</v>
      </c>
      <c r="J162" s="17">
        <v>9999.0</v>
      </c>
      <c r="K162" s="18">
        <v>2237.98</v>
      </c>
      <c r="L162" s="17">
        <v>2419.0</v>
      </c>
      <c r="M162" s="18">
        <v>2419.0</v>
      </c>
      <c r="N162" s="18">
        <v>0.0</v>
      </c>
      <c r="O162" s="18">
        <v>487.869</v>
      </c>
    </row>
    <row r="163">
      <c r="A163" s="8" t="s">
        <v>259</v>
      </c>
      <c r="B163" s="9">
        <v>25.0</v>
      </c>
      <c r="C163" s="14" t="s">
        <v>234</v>
      </c>
      <c r="D163" s="9">
        <v>50.0</v>
      </c>
      <c r="E163" s="10">
        <v>2.0</v>
      </c>
      <c r="F163" s="9">
        <v>1.0</v>
      </c>
      <c r="G163" s="9">
        <v>1.0</v>
      </c>
      <c r="H163" s="9">
        <v>0.0</v>
      </c>
      <c r="I163" s="9">
        <v>0.0</v>
      </c>
      <c r="J163" s="17">
        <v>36017.0</v>
      </c>
      <c r="K163" s="18">
        <v>32869.6</v>
      </c>
      <c r="L163" s="17">
        <v>35948.0</v>
      </c>
      <c r="M163" s="18">
        <v>35948.0</v>
      </c>
      <c r="N163" s="18">
        <v>0.0</v>
      </c>
      <c r="O163" s="18">
        <v>1150.22</v>
      </c>
    </row>
    <row r="164">
      <c r="A164" s="8" t="s">
        <v>260</v>
      </c>
      <c r="B164" s="9">
        <v>25.0</v>
      </c>
      <c r="C164" s="14" t="s">
        <v>234</v>
      </c>
      <c r="D164" s="9">
        <v>50.0</v>
      </c>
      <c r="E164" s="10">
        <v>2.0</v>
      </c>
      <c r="F164" s="9">
        <v>2.0</v>
      </c>
      <c r="G164" s="9">
        <v>1.0</v>
      </c>
      <c r="H164" s="9">
        <v>0.0</v>
      </c>
      <c r="I164" s="9">
        <v>0.0</v>
      </c>
      <c r="J164" s="17">
        <v>41327.0</v>
      </c>
      <c r="K164" s="18">
        <v>37588.4</v>
      </c>
      <c r="L164" s="17">
        <v>37779.0</v>
      </c>
      <c r="M164" s="18">
        <v>37779.0</v>
      </c>
      <c r="N164" s="18">
        <v>0.0</v>
      </c>
      <c r="O164" s="18">
        <v>3.729</v>
      </c>
    </row>
    <row r="165">
      <c r="A165" s="8" t="s">
        <v>261</v>
      </c>
      <c r="B165" s="9">
        <v>25.0</v>
      </c>
      <c r="C165" s="14" t="s">
        <v>234</v>
      </c>
      <c r="D165" s="9">
        <v>50.0</v>
      </c>
      <c r="E165" s="10">
        <v>2.0</v>
      </c>
      <c r="F165" s="9">
        <v>3.0</v>
      </c>
      <c r="G165" s="9">
        <v>1.0</v>
      </c>
      <c r="H165" s="9">
        <v>0.0</v>
      </c>
      <c r="I165" s="9">
        <v>0.0</v>
      </c>
      <c r="J165" s="17">
        <v>34848.0</v>
      </c>
      <c r="K165" s="18">
        <v>34848.0</v>
      </c>
      <c r="L165" s="17">
        <v>34848.0</v>
      </c>
      <c r="M165" s="18">
        <v>34848.0</v>
      </c>
      <c r="N165" s="18">
        <v>0.0</v>
      </c>
      <c r="O165" s="18">
        <v>0.153</v>
      </c>
    </row>
    <row r="166">
      <c r="A166" s="8" t="s">
        <v>262</v>
      </c>
      <c r="B166" s="9">
        <v>25.0</v>
      </c>
      <c r="C166" s="14" t="s">
        <v>234</v>
      </c>
      <c r="D166" s="9">
        <v>50.0</v>
      </c>
      <c r="E166" s="10">
        <v>2.0</v>
      </c>
      <c r="F166" s="9">
        <v>4.0</v>
      </c>
      <c r="G166" s="9">
        <v>1.0</v>
      </c>
      <c r="H166" s="9">
        <v>0.0</v>
      </c>
      <c r="I166" s="9">
        <v>0.0</v>
      </c>
      <c r="J166" s="17">
        <v>34958.0</v>
      </c>
      <c r="K166" s="18">
        <v>31800.8</v>
      </c>
      <c r="L166" s="17">
        <v>31879.0</v>
      </c>
      <c r="M166" s="18">
        <v>31879.0</v>
      </c>
      <c r="N166" s="18">
        <v>0.0</v>
      </c>
      <c r="O166" s="18">
        <v>1.18</v>
      </c>
    </row>
    <row r="167">
      <c r="A167" s="8" t="s">
        <v>263</v>
      </c>
      <c r="B167" s="9">
        <v>25.0</v>
      </c>
      <c r="C167" s="14" t="s">
        <v>234</v>
      </c>
      <c r="D167" s="9">
        <v>50.0</v>
      </c>
      <c r="E167" s="10">
        <v>2.0</v>
      </c>
      <c r="F167" s="9">
        <v>5.0</v>
      </c>
      <c r="G167" s="9">
        <v>1.0</v>
      </c>
      <c r="H167" s="9">
        <v>0.0</v>
      </c>
      <c r="I167" s="9">
        <v>0.0</v>
      </c>
      <c r="J167" s="17">
        <v>33939.0</v>
      </c>
      <c r="K167" s="18">
        <v>33939.0</v>
      </c>
      <c r="L167" s="17">
        <v>33939.0</v>
      </c>
      <c r="M167" s="18">
        <v>33939.0</v>
      </c>
      <c r="N167" s="18">
        <v>0.0</v>
      </c>
      <c r="O167" s="18">
        <v>0.145</v>
      </c>
    </row>
    <row r="168">
      <c r="A168" s="8" t="s">
        <v>264</v>
      </c>
      <c r="B168" s="9">
        <v>25.0</v>
      </c>
      <c r="C168" s="14" t="s">
        <v>234</v>
      </c>
      <c r="D168" s="9">
        <v>75.0</v>
      </c>
      <c r="E168" s="10">
        <v>0.6</v>
      </c>
      <c r="F168" s="9">
        <v>1.0</v>
      </c>
      <c r="G168" s="9">
        <v>0.0</v>
      </c>
      <c r="H168" s="9">
        <v>1.0</v>
      </c>
      <c r="I168" s="9">
        <v>0.0</v>
      </c>
      <c r="J168" s="17">
        <v>1744.0</v>
      </c>
      <c r="K168" s="18">
        <v>738.924</v>
      </c>
      <c r="L168" s="17">
        <v>1426.0</v>
      </c>
      <c r="M168" s="18">
        <v>1363.16</v>
      </c>
      <c r="N168" s="18">
        <v>4.407</v>
      </c>
      <c r="O168" s="18">
        <v>3600.0</v>
      </c>
    </row>
    <row r="169">
      <c r="A169" s="8" t="s">
        <v>265</v>
      </c>
      <c r="B169" s="9">
        <v>25.0</v>
      </c>
      <c r="C169" s="14" t="s">
        <v>234</v>
      </c>
      <c r="D169" s="9">
        <v>75.0</v>
      </c>
      <c r="E169" s="10">
        <v>0.6</v>
      </c>
      <c r="F169" s="9">
        <v>2.0</v>
      </c>
      <c r="G169" s="9">
        <v>1.0</v>
      </c>
      <c r="H169" s="9">
        <v>0.0</v>
      </c>
      <c r="I169" s="9">
        <v>0.0</v>
      </c>
      <c r="J169" s="17">
        <v>1884.0</v>
      </c>
      <c r="K169" s="18">
        <v>764.657</v>
      </c>
      <c r="L169" s="17">
        <v>1230.0</v>
      </c>
      <c r="M169" s="18">
        <v>1230.0</v>
      </c>
      <c r="N169" s="18">
        <v>0.0</v>
      </c>
      <c r="O169" s="18">
        <v>63.961</v>
      </c>
    </row>
    <row r="170">
      <c r="A170" s="8" t="s">
        <v>266</v>
      </c>
      <c r="B170" s="9">
        <v>25.0</v>
      </c>
      <c r="C170" s="14" t="s">
        <v>234</v>
      </c>
      <c r="D170" s="9">
        <v>75.0</v>
      </c>
      <c r="E170" s="10">
        <v>0.6</v>
      </c>
      <c r="F170" s="9">
        <v>3.0</v>
      </c>
      <c r="G170" s="9">
        <v>1.0</v>
      </c>
      <c r="H170" s="9">
        <v>0.0</v>
      </c>
      <c r="I170" s="9">
        <v>0.0</v>
      </c>
      <c r="J170" s="17">
        <v>1726.0</v>
      </c>
      <c r="K170" s="18">
        <v>757.326</v>
      </c>
      <c r="L170" s="17">
        <v>1313.0</v>
      </c>
      <c r="M170" s="18">
        <v>1313.0</v>
      </c>
      <c r="N170" s="18">
        <v>0.0</v>
      </c>
      <c r="O170" s="18">
        <v>280.361</v>
      </c>
    </row>
    <row r="171">
      <c r="A171" s="8" t="s">
        <v>267</v>
      </c>
      <c r="B171" s="9">
        <v>25.0</v>
      </c>
      <c r="C171" s="14" t="s">
        <v>234</v>
      </c>
      <c r="D171" s="9">
        <v>75.0</v>
      </c>
      <c r="E171" s="10">
        <v>0.6</v>
      </c>
      <c r="F171" s="9">
        <v>4.0</v>
      </c>
      <c r="G171" s="9">
        <v>1.0</v>
      </c>
      <c r="H171" s="9">
        <v>0.0</v>
      </c>
      <c r="I171" s="9">
        <v>0.0</v>
      </c>
      <c r="J171" s="17">
        <v>1935.0</v>
      </c>
      <c r="K171" s="18">
        <v>747.378</v>
      </c>
      <c r="L171" s="17">
        <v>1271.0</v>
      </c>
      <c r="M171" s="18">
        <v>1271.0</v>
      </c>
      <c r="N171" s="18">
        <v>0.0</v>
      </c>
      <c r="O171" s="18">
        <v>432.892</v>
      </c>
    </row>
    <row r="172">
      <c r="A172" s="8" t="s">
        <v>268</v>
      </c>
      <c r="B172" s="9">
        <v>25.0</v>
      </c>
      <c r="C172" s="14" t="s">
        <v>234</v>
      </c>
      <c r="D172" s="9">
        <v>75.0</v>
      </c>
      <c r="E172" s="10">
        <v>0.6</v>
      </c>
      <c r="F172" s="9">
        <v>5.0</v>
      </c>
      <c r="G172" s="9">
        <v>1.0</v>
      </c>
      <c r="H172" s="9">
        <v>0.0</v>
      </c>
      <c r="I172" s="9">
        <v>0.0</v>
      </c>
      <c r="J172" s="17">
        <v>1562.0</v>
      </c>
      <c r="K172" s="18">
        <v>808.975</v>
      </c>
      <c r="L172" s="17">
        <v>1315.0</v>
      </c>
      <c r="M172" s="18">
        <v>1315.0</v>
      </c>
      <c r="N172" s="18">
        <v>0.0</v>
      </c>
      <c r="O172" s="18">
        <v>83.664</v>
      </c>
    </row>
    <row r="173">
      <c r="A173" s="8" t="s">
        <v>269</v>
      </c>
      <c r="B173" s="9">
        <v>25.0</v>
      </c>
      <c r="C173" s="14" t="s">
        <v>234</v>
      </c>
      <c r="D173" s="9">
        <v>75.0</v>
      </c>
      <c r="E173" s="10">
        <v>1.0</v>
      </c>
      <c r="F173" s="9">
        <v>1.0</v>
      </c>
      <c r="G173" s="9">
        <v>0.0</v>
      </c>
      <c r="H173" s="9">
        <v>1.0</v>
      </c>
      <c r="I173" s="9">
        <v>0.0</v>
      </c>
      <c r="J173" s="17">
        <v>5671.0</v>
      </c>
      <c r="K173" s="18">
        <v>4042.72</v>
      </c>
      <c r="L173" s="17">
        <v>4810.0</v>
      </c>
      <c r="M173" s="18">
        <v>4525.32</v>
      </c>
      <c r="N173" s="18">
        <v>5.91846</v>
      </c>
      <c r="O173" s="18">
        <v>3600.0</v>
      </c>
    </row>
    <row r="174">
      <c r="A174" s="8" t="s">
        <v>270</v>
      </c>
      <c r="B174" s="9">
        <v>25.0</v>
      </c>
      <c r="C174" s="14" t="s">
        <v>234</v>
      </c>
      <c r="D174" s="9">
        <v>75.0</v>
      </c>
      <c r="E174" s="10">
        <v>1.0</v>
      </c>
      <c r="F174" s="9">
        <v>2.0</v>
      </c>
      <c r="G174" s="9">
        <v>0.0</v>
      </c>
      <c r="H174" s="9">
        <v>1.0</v>
      </c>
      <c r="I174" s="9">
        <v>0.0</v>
      </c>
      <c r="J174" s="17">
        <v>5772.0</v>
      </c>
      <c r="K174" s="18">
        <v>3824.22</v>
      </c>
      <c r="L174" s="17">
        <v>4665.0</v>
      </c>
      <c r="M174" s="18">
        <v>4299.82</v>
      </c>
      <c r="N174" s="18">
        <v>7.82816</v>
      </c>
      <c r="O174" s="18">
        <v>3600.0</v>
      </c>
    </row>
    <row r="175">
      <c r="A175" s="8" t="s">
        <v>271</v>
      </c>
      <c r="B175" s="9">
        <v>25.0</v>
      </c>
      <c r="C175" s="14" t="s">
        <v>234</v>
      </c>
      <c r="D175" s="9">
        <v>75.0</v>
      </c>
      <c r="E175" s="10">
        <v>1.0</v>
      </c>
      <c r="F175" s="9">
        <v>3.0</v>
      </c>
      <c r="G175" s="9">
        <v>1.0</v>
      </c>
      <c r="H175" s="9">
        <v>0.0</v>
      </c>
      <c r="I175" s="9">
        <v>0.0</v>
      </c>
      <c r="J175" s="17">
        <v>5297.0</v>
      </c>
      <c r="K175" s="18">
        <v>3860.57</v>
      </c>
      <c r="L175" s="17">
        <v>4506.0</v>
      </c>
      <c r="M175" s="18">
        <v>4506.0</v>
      </c>
      <c r="N175" s="18">
        <v>0.0</v>
      </c>
      <c r="O175" s="18">
        <v>3142.06</v>
      </c>
    </row>
    <row r="176">
      <c r="A176" s="8" t="s">
        <v>272</v>
      </c>
      <c r="B176" s="9">
        <v>25.0</v>
      </c>
      <c r="C176" s="14" t="s">
        <v>234</v>
      </c>
      <c r="D176" s="9">
        <v>75.0</v>
      </c>
      <c r="E176" s="10">
        <v>1.0</v>
      </c>
      <c r="F176" s="9">
        <v>4.0</v>
      </c>
      <c r="G176" s="9">
        <v>0.0</v>
      </c>
      <c r="H176" s="9">
        <v>1.0</v>
      </c>
      <c r="I176" s="9">
        <v>0.0</v>
      </c>
      <c r="J176" s="17">
        <v>5284.0</v>
      </c>
      <c r="K176" s="18">
        <v>3939.88</v>
      </c>
      <c r="L176" s="17">
        <v>4604.0</v>
      </c>
      <c r="M176" s="18">
        <v>4392.31</v>
      </c>
      <c r="N176" s="18">
        <v>4.59787</v>
      </c>
      <c r="O176" s="18">
        <v>3600.0</v>
      </c>
    </row>
    <row r="177">
      <c r="A177" s="8" t="s">
        <v>273</v>
      </c>
      <c r="B177" s="9">
        <v>25.0</v>
      </c>
      <c r="C177" s="14" t="s">
        <v>234</v>
      </c>
      <c r="D177" s="9">
        <v>75.0</v>
      </c>
      <c r="E177" s="10">
        <v>1.0</v>
      </c>
      <c r="F177" s="9">
        <v>5.0</v>
      </c>
      <c r="G177" s="9">
        <v>1.0</v>
      </c>
      <c r="H177" s="9">
        <v>0.0</v>
      </c>
      <c r="I177" s="9">
        <v>0.0</v>
      </c>
      <c r="J177" s="17">
        <v>5129.0</v>
      </c>
      <c r="K177" s="18">
        <v>3967.98</v>
      </c>
      <c r="L177" s="17">
        <v>4577.0</v>
      </c>
      <c r="M177" s="18">
        <v>4577.0</v>
      </c>
      <c r="N177" s="18">
        <v>0.0</v>
      </c>
      <c r="O177" s="18">
        <v>2957.91</v>
      </c>
    </row>
    <row r="178">
      <c r="A178" s="8" t="s">
        <v>274</v>
      </c>
      <c r="B178" s="9">
        <v>25.0</v>
      </c>
      <c r="C178" s="14" t="s">
        <v>234</v>
      </c>
      <c r="D178" s="9">
        <v>75.0</v>
      </c>
      <c r="E178" s="10">
        <v>2.0</v>
      </c>
      <c r="F178" s="9">
        <v>1.0</v>
      </c>
      <c r="G178" s="9">
        <v>0.0</v>
      </c>
      <c r="H178" s="9">
        <v>1.0</v>
      </c>
      <c r="I178" s="9">
        <v>0.0</v>
      </c>
      <c r="J178" s="17">
        <v>58456.0</v>
      </c>
      <c r="K178" s="18">
        <v>53024.7</v>
      </c>
      <c r="L178" s="17">
        <v>58230.0</v>
      </c>
      <c r="M178" s="18">
        <v>54281.4</v>
      </c>
      <c r="N178" s="18">
        <v>6.78101</v>
      </c>
      <c r="O178" s="18">
        <v>3600.0</v>
      </c>
    </row>
    <row r="179">
      <c r="A179" s="8" t="s">
        <v>275</v>
      </c>
      <c r="B179" s="9">
        <v>25.0</v>
      </c>
      <c r="C179" s="14" t="s">
        <v>234</v>
      </c>
      <c r="D179" s="9">
        <v>75.0</v>
      </c>
      <c r="E179" s="10">
        <v>2.0</v>
      </c>
      <c r="F179" s="9">
        <v>2.0</v>
      </c>
      <c r="G179" s="9">
        <v>1.0</v>
      </c>
      <c r="H179" s="9">
        <v>0.0</v>
      </c>
      <c r="I179" s="9">
        <v>0.0</v>
      </c>
      <c r="J179" s="17">
        <v>56180.0</v>
      </c>
      <c r="K179" s="18">
        <v>51452.8</v>
      </c>
      <c r="L179" s="17">
        <v>55912.0</v>
      </c>
      <c r="M179" s="18">
        <v>55912.0</v>
      </c>
      <c r="N179" s="18">
        <v>0.0</v>
      </c>
      <c r="O179" s="18">
        <v>233.658</v>
      </c>
    </row>
    <row r="180">
      <c r="A180" s="8" t="s">
        <v>276</v>
      </c>
      <c r="B180" s="9">
        <v>25.0</v>
      </c>
      <c r="C180" s="14" t="s">
        <v>234</v>
      </c>
      <c r="D180" s="9">
        <v>75.0</v>
      </c>
      <c r="E180" s="10">
        <v>2.0</v>
      </c>
      <c r="F180" s="9">
        <v>3.0</v>
      </c>
      <c r="G180" s="9">
        <v>1.0</v>
      </c>
      <c r="H180" s="9">
        <v>0.0</v>
      </c>
      <c r="I180" s="9">
        <v>0.0</v>
      </c>
      <c r="J180" s="17">
        <v>55939.0</v>
      </c>
      <c r="K180" s="18">
        <v>50754.7</v>
      </c>
      <c r="L180" s="17">
        <v>50997.0</v>
      </c>
      <c r="M180" s="18">
        <v>50997.0</v>
      </c>
      <c r="N180" s="18">
        <v>0.0</v>
      </c>
      <c r="O180" s="18">
        <v>4.008</v>
      </c>
    </row>
    <row r="181">
      <c r="A181" s="8" t="s">
        <v>277</v>
      </c>
      <c r="B181" s="9">
        <v>25.0</v>
      </c>
      <c r="C181" s="14" t="s">
        <v>234</v>
      </c>
      <c r="D181" s="9">
        <v>75.0</v>
      </c>
      <c r="E181" s="10">
        <v>2.0</v>
      </c>
      <c r="F181" s="9">
        <v>4.0</v>
      </c>
      <c r="G181" s="9">
        <v>1.0</v>
      </c>
      <c r="H181" s="9">
        <v>0.0</v>
      </c>
      <c r="I181" s="9">
        <v>0.0</v>
      </c>
      <c r="J181" s="17">
        <v>56934.0</v>
      </c>
      <c r="K181" s="18">
        <v>56922.5</v>
      </c>
      <c r="L181" s="17">
        <v>56934.0</v>
      </c>
      <c r="M181" s="18">
        <v>56934.0</v>
      </c>
      <c r="N181" s="18">
        <v>0.0</v>
      </c>
      <c r="O181" s="18">
        <v>0.229</v>
      </c>
    </row>
    <row r="182">
      <c r="A182" s="8" t="s">
        <v>278</v>
      </c>
      <c r="B182" s="9">
        <v>25.0</v>
      </c>
      <c r="C182" s="14" t="s">
        <v>234</v>
      </c>
      <c r="D182" s="9">
        <v>75.0</v>
      </c>
      <c r="E182" s="10">
        <v>2.0</v>
      </c>
      <c r="F182" s="9">
        <v>5.0</v>
      </c>
      <c r="G182" s="9">
        <v>1.0</v>
      </c>
      <c r="H182" s="9">
        <v>0.0</v>
      </c>
      <c r="I182" s="9">
        <v>0.0</v>
      </c>
      <c r="J182" s="17">
        <v>51620.0</v>
      </c>
      <c r="K182" s="18">
        <v>51337.5</v>
      </c>
      <c r="L182" s="17">
        <v>51591.0</v>
      </c>
      <c r="M182" s="18">
        <v>51591.0</v>
      </c>
      <c r="N182" s="18">
        <v>0.0</v>
      </c>
      <c r="O182" s="18">
        <v>1.472</v>
      </c>
    </row>
    <row r="183">
      <c r="A183" s="8" t="s">
        <v>279</v>
      </c>
      <c r="B183" s="9">
        <v>30.0</v>
      </c>
      <c r="C183" s="14" t="s">
        <v>234</v>
      </c>
      <c r="D183" s="9">
        <v>25.0</v>
      </c>
      <c r="E183" s="10">
        <v>0.6</v>
      </c>
      <c r="F183" s="9">
        <v>1.0</v>
      </c>
      <c r="G183" s="9">
        <v>1.0</v>
      </c>
      <c r="H183" s="9">
        <v>0.0</v>
      </c>
      <c r="I183" s="9">
        <v>0.0</v>
      </c>
      <c r="J183" s="17">
        <v>265.0</v>
      </c>
      <c r="K183" s="18">
        <v>179.756</v>
      </c>
      <c r="L183" s="17">
        <v>240.0</v>
      </c>
      <c r="M183" s="18">
        <v>240.0</v>
      </c>
      <c r="N183" s="18">
        <v>0.0</v>
      </c>
      <c r="O183" s="18">
        <v>27.884</v>
      </c>
    </row>
    <row r="184">
      <c r="A184" s="8" t="s">
        <v>280</v>
      </c>
      <c r="B184" s="9">
        <v>30.0</v>
      </c>
      <c r="C184" s="14" t="s">
        <v>234</v>
      </c>
      <c r="D184" s="9">
        <v>25.0</v>
      </c>
      <c r="E184" s="10">
        <v>0.6</v>
      </c>
      <c r="F184" s="9">
        <v>2.0</v>
      </c>
      <c r="G184" s="9">
        <v>1.0</v>
      </c>
      <c r="H184" s="9">
        <v>0.0</v>
      </c>
      <c r="I184" s="9">
        <v>0.0</v>
      </c>
      <c r="J184" s="17">
        <v>356.0</v>
      </c>
      <c r="K184" s="18">
        <v>176.781</v>
      </c>
      <c r="L184" s="17">
        <v>236.0</v>
      </c>
      <c r="M184" s="18">
        <v>236.0</v>
      </c>
      <c r="N184" s="18">
        <v>0.0</v>
      </c>
      <c r="O184" s="18">
        <v>85.98</v>
      </c>
    </row>
    <row r="185">
      <c r="A185" s="8" t="s">
        <v>281</v>
      </c>
      <c r="B185" s="9">
        <v>30.0</v>
      </c>
      <c r="C185" s="14" t="s">
        <v>234</v>
      </c>
      <c r="D185" s="9">
        <v>25.0</v>
      </c>
      <c r="E185" s="10">
        <v>0.6</v>
      </c>
      <c r="F185" s="9">
        <v>3.0</v>
      </c>
      <c r="G185" s="9">
        <v>1.0</v>
      </c>
      <c r="H185" s="9">
        <v>0.0</v>
      </c>
      <c r="I185" s="9">
        <v>0.0</v>
      </c>
      <c r="J185" s="17">
        <v>1690.0</v>
      </c>
      <c r="K185" s="18">
        <v>195.0</v>
      </c>
      <c r="L185" s="17">
        <v>305.0</v>
      </c>
      <c r="M185" s="18">
        <v>305.0</v>
      </c>
      <c r="N185" s="18">
        <v>0.0</v>
      </c>
      <c r="O185" s="18">
        <v>124.694</v>
      </c>
    </row>
    <row r="186">
      <c r="A186" s="8" t="s">
        <v>282</v>
      </c>
      <c r="B186" s="9">
        <v>30.0</v>
      </c>
      <c r="C186" s="14" t="s">
        <v>234</v>
      </c>
      <c r="D186" s="9">
        <v>25.0</v>
      </c>
      <c r="E186" s="10">
        <v>0.6</v>
      </c>
      <c r="F186" s="9">
        <v>4.0</v>
      </c>
      <c r="G186" s="9">
        <v>1.0</v>
      </c>
      <c r="H186" s="9">
        <v>0.0</v>
      </c>
      <c r="I186" s="9">
        <v>0.0</v>
      </c>
      <c r="J186" s="17">
        <v>298.0</v>
      </c>
      <c r="K186" s="18">
        <v>171.0</v>
      </c>
      <c r="L186" s="17">
        <v>228.0</v>
      </c>
      <c r="M186" s="18">
        <v>228.0</v>
      </c>
      <c r="N186" s="18">
        <v>0.0</v>
      </c>
      <c r="O186" s="18">
        <v>35.56</v>
      </c>
    </row>
    <row r="187">
      <c r="A187" s="8" t="s">
        <v>283</v>
      </c>
      <c r="B187" s="9">
        <v>30.0</v>
      </c>
      <c r="C187" s="14" t="s">
        <v>234</v>
      </c>
      <c r="D187" s="9">
        <v>25.0</v>
      </c>
      <c r="E187" s="10">
        <v>0.6</v>
      </c>
      <c r="F187" s="9">
        <v>5.0</v>
      </c>
      <c r="G187" s="9">
        <v>1.0</v>
      </c>
      <c r="H187" s="9">
        <v>0.0</v>
      </c>
      <c r="I187" s="9">
        <v>0.0</v>
      </c>
      <c r="J187" s="17">
        <v>393.0</v>
      </c>
      <c r="K187" s="18">
        <v>164.902</v>
      </c>
      <c r="L187" s="17">
        <v>220.0</v>
      </c>
      <c r="M187" s="18">
        <v>220.0</v>
      </c>
      <c r="N187" s="18">
        <v>0.0</v>
      </c>
      <c r="O187" s="18">
        <v>26.881</v>
      </c>
    </row>
    <row r="188">
      <c r="A188" s="8" t="s">
        <v>284</v>
      </c>
      <c r="B188" s="9">
        <v>30.0</v>
      </c>
      <c r="C188" s="14" t="s">
        <v>234</v>
      </c>
      <c r="D188" s="9">
        <v>25.0</v>
      </c>
      <c r="E188" s="10">
        <v>1.0</v>
      </c>
      <c r="F188" s="9">
        <v>1.0</v>
      </c>
      <c r="G188" s="9">
        <v>1.0</v>
      </c>
      <c r="H188" s="9">
        <v>0.0</v>
      </c>
      <c r="I188" s="9">
        <v>0.0</v>
      </c>
      <c r="J188" s="17">
        <v>2212.0</v>
      </c>
      <c r="K188" s="18">
        <v>1294.73</v>
      </c>
      <c r="L188" s="17">
        <v>1300.0</v>
      </c>
      <c r="M188" s="18">
        <v>1300.0</v>
      </c>
      <c r="N188" s="18">
        <v>0.0</v>
      </c>
      <c r="O188" s="18">
        <v>430.727</v>
      </c>
    </row>
    <row r="189">
      <c r="A189" s="8" t="s">
        <v>285</v>
      </c>
      <c r="B189" s="9">
        <v>30.0</v>
      </c>
      <c r="C189" s="14" t="s">
        <v>234</v>
      </c>
      <c r="D189" s="9">
        <v>25.0</v>
      </c>
      <c r="E189" s="10">
        <v>1.0</v>
      </c>
      <c r="F189" s="9">
        <v>2.0</v>
      </c>
      <c r="G189" s="9">
        <v>1.0</v>
      </c>
      <c r="H189" s="9">
        <v>0.0</v>
      </c>
      <c r="I189" s="9">
        <v>0.0</v>
      </c>
      <c r="J189" s="17">
        <v>1681.0</v>
      </c>
      <c r="K189" s="18">
        <v>1278.65</v>
      </c>
      <c r="L189" s="17">
        <v>1285.0</v>
      </c>
      <c r="M189" s="18">
        <v>1285.0</v>
      </c>
      <c r="N189" s="18">
        <v>0.0</v>
      </c>
      <c r="O189" s="18">
        <v>389.851</v>
      </c>
    </row>
    <row r="190">
      <c r="A190" s="8" t="s">
        <v>286</v>
      </c>
      <c r="B190" s="9">
        <v>30.0</v>
      </c>
      <c r="C190" s="14" t="s">
        <v>234</v>
      </c>
      <c r="D190" s="9">
        <v>25.0</v>
      </c>
      <c r="E190" s="10">
        <v>1.0</v>
      </c>
      <c r="F190" s="9">
        <v>3.0</v>
      </c>
      <c r="G190" s="9">
        <v>0.0</v>
      </c>
      <c r="H190" s="9">
        <v>1.0</v>
      </c>
      <c r="I190" s="9">
        <v>0.0</v>
      </c>
      <c r="J190" s="17">
        <v>2071.0</v>
      </c>
      <c r="K190" s="18">
        <v>1398.19</v>
      </c>
      <c r="L190" s="17">
        <v>1498.0</v>
      </c>
      <c r="M190" s="18">
        <v>1398.94</v>
      </c>
      <c r="N190" s="18">
        <v>6.61312</v>
      </c>
      <c r="O190" s="18">
        <v>3600.0</v>
      </c>
    </row>
    <row r="191">
      <c r="A191" s="8" t="s">
        <v>287</v>
      </c>
      <c r="B191" s="9">
        <v>30.0</v>
      </c>
      <c r="C191" s="14" t="s">
        <v>234</v>
      </c>
      <c r="D191" s="9">
        <v>25.0</v>
      </c>
      <c r="E191" s="10">
        <v>1.0</v>
      </c>
      <c r="F191" s="9">
        <v>4.0</v>
      </c>
      <c r="G191" s="9">
        <v>1.0</v>
      </c>
      <c r="H191" s="9">
        <v>0.0</v>
      </c>
      <c r="I191" s="9">
        <v>0.0</v>
      </c>
      <c r="J191" s="17">
        <v>1607.0</v>
      </c>
      <c r="K191" s="18">
        <v>1240.0</v>
      </c>
      <c r="L191" s="17">
        <v>1249.0</v>
      </c>
      <c r="M191" s="18">
        <v>1249.0</v>
      </c>
      <c r="N191" s="18">
        <v>0.0</v>
      </c>
      <c r="O191" s="18">
        <v>2754.96</v>
      </c>
    </row>
    <row r="192">
      <c r="A192" s="8" t="s">
        <v>288</v>
      </c>
      <c r="B192" s="9">
        <v>30.0</v>
      </c>
      <c r="C192" s="14" t="s">
        <v>234</v>
      </c>
      <c r="D192" s="9">
        <v>25.0</v>
      </c>
      <c r="E192" s="10">
        <v>1.0</v>
      </c>
      <c r="F192" s="9">
        <v>5.0</v>
      </c>
      <c r="G192" s="9">
        <v>1.0</v>
      </c>
      <c r="H192" s="9">
        <v>0.0</v>
      </c>
      <c r="I192" s="9">
        <v>0.0</v>
      </c>
      <c r="J192" s="17">
        <v>1448.0</v>
      </c>
      <c r="K192" s="18">
        <v>1195.14</v>
      </c>
      <c r="L192" s="17">
        <v>1200.0</v>
      </c>
      <c r="M192" s="18">
        <v>1200.0</v>
      </c>
      <c r="N192" s="18">
        <v>0.0</v>
      </c>
      <c r="O192" s="18">
        <v>305.13</v>
      </c>
    </row>
    <row r="193">
      <c r="A193" s="8" t="s">
        <v>289</v>
      </c>
      <c r="B193" s="9">
        <v>30.0</v>
      </c>
      <c r="C193" s="14" t="s">
        <v>234</v>
      </c>
      <c r="D193" s="9">
        <v>25.0</v>
      </c>
      <c r="E193" s="10">
        <v>2.0</v>
      </c>
      <c r="F193" s="9">
        <v>1.0</v>
      </c>
      <c r="G193" s="9">
        <v>0.0</v>
      </c>
      <c r="H193" s="9">
        <v>1.0</v>
      </c>
      <c r="I193" s="9">
        <v>0.0</v>
      </c>
      <c r="J193" s="17">
        <v>19965.0</v>
      </c>
      <c r="K193" s="18">
        <v>18077.5</v>
      </c>
      <c r="L193" s="17">
        <v>19965.0</v>
      </c>
      <c r="M193" s="18">
        <v>19110.5</v>
      </c>
      <c r="N193" s="18">
        <v>4.27999</v>
      </c>
      <c r="O193" s="18">
        <v>3600.0</v>
      </c>
    </row>
    <row r="194">
      <c r="A194" s="8" t="s">
        <v>290</v>
      </c>
      <c r="B194" s="9">
        <v>30.0</v>
      </c>
      <c r="C194" s="14" t="s">
        <v>234</v>
      </c>
      <c r="D194" s="9">
        <v>25.0</v>
      </c>
      <c r="E194" s="10">
        <v>2.0</v>
      </c>
      <c r="F194" s="9">
        <v>2.0</v>
      </c>
      <c r="G194" s="9">
        <v>0.0</v>
      </c>
      <c r="H194" s="9">
        <v>1.0</v>
      </c>
      <c r="I194" s="9">
        <v>0.0</v>
      </c>
      <c r="J194" s="17">
        <v>19778.0</v>
      </c>
      <c r="K194" s="18">
        <v>17891.2</v>
      </c>
      <c r="L194" s="17">
        <v>17980.0</v>
      </c>
      <c r="M194" s="18">
        <v>17891.2</v>
      </c>
      <c r="N194" s="18">
        <v>0.493827</v>
      </c>
      <c r="O194" s="18">
        <v>3600.0</v>
      </c>
    </row>
    <row r="195">
      <c r="A195" s="8" t="s">
        <v>291</v>
      </c>
      <c r="B195" s="9">
        <v>30.0</v>
      </c>
      <c r="C195" s="14" t="s">
        <v>234</v>
      </c>
      <c r="D195" s="9">
        <v>25.0</v>
      </c>
      <c r="E195" s="10">
        <v>2.0</v>
      </c>
      <c r="F195" s="9">
        <v>3.0</v>
      </c>
      <c r="G195" s="9">
        <v>0.0</v>
      </c>
      <c r="H195" s="9">
        <v>1.0</v>
      </c>
      <c r="I195" s="9">
        <v>0.0</v>
      </c>
      <c r="J195" s="17">
        <v>21589.0</v>
      </c>
      <c r="K195" s="18">
        <v>19429.4</v>
      </c>
      <c r="L195" s="17">
        <v>19580.0</v>
      </c>
      <c r="M195" s="18">
        <v>19431.3</v>
      </c>
      <c r="N195" s="18">
        <v>0.759345</v>
      </c>
      <c r="O195" s="18">
        <v>3600.0</v>
      </c>
    </row>
    <row r="196">
      <c r="A196" s="8" t="s">
        <v>292</v>
      </c>
      <c r="B196" s="9">
        <v>30.0</v>
      </c>
      <c r="C196" s="14" t="s">
        <v>234</v>
      </c>
      <c r="D196" s="9">
        <v>25.0</v>
      </c>
      <c r="E196" s="10">
        <v>2.0</v>
      </c>
      <c r="F196" s="9">
        <v>4.0</v>
      </c>
      <c r="G196" s="9">
        <v>1.0</v>
      </c>
      <c r="H196" s="9">
        <v>0.0</v>
      </c>
      <c r="I196" s="9">
        <v>0.0</v>
      </c>
      <c r="J196" s="17">
        <v>19126.0</v>
      </c>
      <c r="K196" s="18">
        <v>17202.2</v>
      </c>
      <c r="L196" s="17">
        <v>17310.0</v>
      </c>
      <c r="M196" s="18">
        <v>17310.0</v>
      </c>
      <c r="N196" s="18">
        <v>0.0</v>
      </c>
      <c r="O196" s="18">
        <v>573.533</v>
      </c>
    </row>
    <row r="197">
      <c r="A197" s="8" t="s">
        <v>293</v>
      </c>
      <c r="B197" s="9">
        <v>30.0</v>
      </c>
      <c r="C197" s="14" t="s">
        <v>234</v>
      </c>
      <c r="D197" s="9">
        <v>25.0</v>
      </c>
      <c r="E197" s="10">
        <v>2.0</v>
      </c>
      <c r="F197" s="9">
        <v>5.0</v>
      </c>
      <c r="G197" s="9">
        <v>0.0</v>
      </c>
      <c r="H197" s="9">
        <v>1.0</v>
      </c>
      <c r="I197" s="9">
        <v>0.0</v>
      </c>
      <c r="J197" s="17">
        <v>18480.0</v>
      </c>
      <c r="K197" s="18">
        <v>16731.9</v>
      </c>
      <c r="L197" s="17">
        <v>16800.0</v>
      </c>
      <c r="M197" s="18">
        <v>16731.9</v>
      </c>
      <c r="N197" s="18">
        <v>0.405405</v>
      </c>
      <c r="O197" s="18">
        <v>3600.0</v>
      </c>
    </row>
    <row r="198">
      <c r="A198" s="8" t="s">
        <v>294</v>
      </c>
      <c r="B198" s="9">
        <v>30.0</v>
      </c>
      <c r="C198" s="14" t="s">
        <v>234</v>
      </c>
      <c r="D198" s="9">
        <v>50.0</v>
      </c>
      <c r="E198" s="10">
        <v>0.6</v>
      </c>
      <c r="F198" s="9">
        <v>1.0</v>
      </c>
      <c r="G198" s="9">
        <v>1.0</v>
      </c>
      <c r="H198" s="9">
        <v>0.0</v>
      </c>
      <c r="I198" s="9">
        <v>0.0</v>
      </c>
      <c r="J198" s="17">
        <v>1367.0</v>
      </c>
      <c r="K198" s="18">
        <v>382.676</v>
      </c>
      <c r="L198" s="17">
        <v>704.0</v>
      </c>
      <c r="M198" s="18">
        <v>704.0</v>
      </c>
      <c r="N198" s="18">
        <v>0.0</v>
      </c>
      <c r="O198" s="18">
        <v>349.352</v>
      </c>
    </row>
    <row r="199">
      <c r="A199" s="8" t="s">
        <v>295</v>
      </c>
      <c r="B199" s="9">
        <v>30.0</v>
      </c>
      <c r="C199" s="14" t="s">
        <v>234</v>
      </c>
      <c r="D199" s="9">
        <v>50.0</v>
      </c>
      <c r="E199" s="10">
        <v>0.6</v>
      </c>
      <c r="F199" s="9">
        <v>2.0</v>
      </c>
      <c r="G199" s="9">
        <v>1.0</v>
      </c>
      <c r="H199" s="9">
        <v>0.0</v>
      </c>
      <c r="I199" s="9">
        <v>0.0</v>
      </c>
      <c r="J199" s="17">
        <v>1196.0</v>
      </c>
      <c r="K199" s="18">
        <v>455.875</v>
      </c>
      <c r="L199" s="17">
        <v>770.0</v>
      </c>
      <c r="M199" s="18">
        <v>770.0</v>
      </c>
      <c r="N199" s="18">
        <v>0.0</v>
      </c>
      <c r="O199" s="18">
        <v>180.73</v>
      </c>
    </row>
    <row r="200">
      <c r="A200" s="8" t="s">
        <v>296</v>
      </c>
      <c r="B200" s="9">
        <v>30.0</v>
      </c>
      <c r="C200" s="14" t="s">
        <v>234</v>
      </c>
      <c r="D200" s="9">
        <v>50.0</v>
      </c>
      <c r="E200" s="10">
        <v>0.6</v>
      </c>
      <c r="F200" s="9">
        <v>3.0</v>
      </c>
      <c r="G200" s="9">
        <v>1.0</v>
      </c>
      <c r="H200" s="9">
        <v>0.0</v>
      </c>
      <c r="I200" s="9">
        <v>0.0</v>
      </c>
      <c r="J200" s="17">
        <v>1075.0</v>
      </c>
      <c r="K200" s="18">
        <v>407.016</v>
      </c>
      <c r="L200" s="17">
        <v>696.0</v>
      </c>
      <c r="M200" s="18">
        <v>696.0</v>
      </c>
      <c r="N200" s="18">
        <v>0.0</v>
      </c>
      <c r="O200" s="18">
        <v>54.405</v>
      </c>
    </row>
    <row r="201">
      <c r="A201" s="8" t="s">
        <v>297</v>
      </c>
      <c r="B201" s="9">
        <v>30.0</v>
      </c>
      <c r="C201" s="14" t="s">
        <v>234</v>
      </c>
      <c r="D201" s="9">
        <v>50.0</v>
      </c>
      <c r="E201" s="10">
        <v>0.6</v>
      </c>
      <c r="F201" s="9">
        <v>4.0</v>
      </c>
      <c r="G201" s="9">
        <v>1.0</v>
      </c>
      <c r="H201" s="9">
        <v>0.0</v>
      </c>
      <c r="I201" s="9">
        <v>0.0</v>
      </c>
      <c r="J201" s="17">
        <v>1049.0</v>
      </c>
      <c r="K201" s="18">
        <v>387.466</v>
      </c>
      <c r="L201" s="17">
        <v>743.0</v>
      </c>
      <c r="M201" s="18">
        <v>743.0</v>
      </c>
      <c r="N201" s="18">
        <v>0.0</v>
      </c>
      <c r="O201" s="18">
        <v>852.504</v>
      </c>
    </row>
    <row r="202">
      <c r="A202" s="8" t="s">
        <v>298</v>
      </c>
      <c r="B202" s="9">
        <v>30.0</v>
      </c>
      <c r="C202" s="14" t="s">
        <v>234</v>
      </c>
      <c r="D202" s="9">
        <v>50.0</v>
      </c>
      <c r="E202" s="10">
        <v>0.6</v>
      </c>
      <c r="F202" s="9">
        <v>5.0</v>
      </c>
      <c r="G202" s="9">
        <v>1.0</v>
      </c>
      <c r="H202" s="9">
        <v>0.0</v>
      </c>
      <c r="I202" s="9">
        <v>0.0</v>
      </c>
      <c r="J202" s="17">
        <v>1183.0</v>
      </c>
      <c r="K202" s="18">
        <v>446.572</v>
      </c>
      <c r="L202" s="17">
        <v>792.0</v>
      </c>
      <c r="M202" s="18">
        <v>792.0</v>
      </c>
      <c r="N202" s="18">
        <v>0.0</v>
      </c>
      <c r="O202" s="18">
        <v>299.289</v>
      </c>
    </row>
    <row r="203">
      <c r="A203" s="8" t="s">
        <v>299</v>
      </c>
      <c r="B203" s="9">
        <v>30.0</v>
      </c>
      <c r="C203" s="14" t="s">
        <v>234</v>
      </c>
      <c r="D203" s="9">
        <v>50.0</v>
      </c>
      <c r="E203" s="10">
        <v>1.0</v>
      </c>
      <c r="F203" s="9">
        <v>1.0</v>
      </c>
      <c r="G203" s="9">
        <v>0.0</v>
      </c>
      <c r="H203" s="9">
        <v>1.0</v>
      </c>
      <c r="I203" s="9">
        <v>0.0</v>
      </c>
      <c r="J203" s="17">
        <v>4159.0</v>
      </c>
      <c r="K203" s="18">
        <v>2457.85</v>
      </c>
      <c r="L203" s="17">
        <v>2915.0</v>
      </c>
      <c r="M203" s="18">
        <v>2554.64</v>
      </c>
      <c r="N203" s="18">
        <v>12.3623</v>
      </c>
      <c r="O203" s="18">
        <v>3600.0</v>
      </c>
    </row>
    <row r="204">
      <c r="A204" s="8" t="s">
        <v>300</v>
      </c>
      <c r="B204" s="9">
        <v>30.0</v>
      </c>
      <c r="C204" s="14" t="s">
        <v>234</v>
      </c>
      <c r="D204" s="9">
        <v>50.0</v>
      </c>
      <c r="E204" s="10">
        <v>1.0</v>
      </c>
      <c r="F204" s="9">
        <v>2.0</v>
      </c>
      <c r="G204" s="9">
        <v>0.0</v>
      </c>
      <c r="H204" s="9">
        <v>1.0</v>
      </c>
      <c r="I204" s="9">
        <v>0.0</v>
      </c>
      <c r="J204" s="17">
        <v>3598.0</v>
      </c>
      <c r="K204" s="18">
        <v>2681.89</v>
      </c>
      <c r="L204" s="17">
        <v>3301.0</v>
      </c>
      <c r="M204" s="18">
        <v>2871.14</v>
      </c>
      <c r="N204" s="18">
        <v>13.0223</v>
      </c>
      <c r="O204" s="18">
        <v>3600.0</v>
      </c>
    </row>
    <row r="205">
      <c r="A205" s="8" t="s">
        <v>301</v>
      </c>
      <c r="B205" s="9">
        <v>30.0</v>
      </c>
      <c r="C205" s="14" t="s">
        <v>234</v>
      </c>
      <c r="D205" s="9">
        <v>50.0</v>
      </c>
      <c r="E205" s="10">
        <v>1.0</v>
      </c>
      <c r="F205" s="9">
        <v>3.0</v>
      </c>
      <c r="G205" s="9">
        <v>0.0</v>
      </c>
      <c r="H205" s="9">
        <v>1.0</v>
      </c>
      <c r="I205" s="9">
        <v>0.0</v>
      </c>
      <c r="J205" s="17">
        <v>3770.0</v>
      </c>
      <c r="K205" s="18">
        <v>2454.95</v>
      </c>
      <c r="L205" s="17">
        <v>3004.0</v>
      </c>
      <c r="M205" s="18">
        <v>2647.62</v>
      </c>
      <c r="N205" s="18">
        <v>11.8635</v>
      </c>
      <c r="O205" s="18">
        <v>3600.0</v>
      </c>
    </row>
    <row r="206">
      <c r="A206" s="8" t="s">
        <v>302</v>
      </c>
      <c r="B206" s="9">
        <v>30.0</v>
      </c>
      <c r="C206" s="14" t="s">
        <v>234</v>
      </c>
      <c r="D206" s="9">
        <v>50.0</v>
      </c>
      <c r="E206" s="10">
        <v>1.0</v>
      </c>
      <c r="F206" s="9">
        <v>4.0</v>
      </c>
      <c r="G206" s="9">
        <v>0.0</v>
      </c>
      <c r="H206" s="9">
        <v>1.0</v>
      </c>
      <c r="I206" s="9">
        <v>0.0</v>
      </c>
      <c r="J206" s="17">
        <v>3513.0</v>
      </c>
      <c r="K206" s="18">
        <v>2474.2</v>
      </c>
      <c r="L206" s="17">
        <v>2971.0</v>
      </c>
      <c r="M206" s="18">
        <v>2584.09</v>
      </c>
      <c r="N206" s="18">
        <v>13.0231</v>
      </c>
      <c r="O206" s="18">
        <v>3600.0</v>
      </c>
    </row>
    <row r="207">
      <c r="A207" s="8" t="s">
        <v>303</v>
      </c>
      <c r="B207" s="9">
        <v>30.0</v>
      </c>
      <c r="C207" s="14" t="s">
        <v>234</v>
      </c>
      <c r="D207" s="9">
        <v>50.0</v>
      </c>
      <c r="E207" s="10">
        <v>1.0</v>
      </c>
      <c r="F207" s="9">
        <v>5.0</v>
      </c>
      <c r="G207" s="9">
        <v>0.0</v>
      </c>
      <c r="H207" s="9">
        <v>1.0</v>
      </c>
      <c r="I207" s="9">
        <v>0.0</v>
      </c>
      <c r="J207" s="17">
        <v>4183.0</v>
      </c>
      <c r="K207" s="18">
        <v>2675.71</v>
      </c>
      <c r="L207" s="17">
        <v>3302.0</v>
      </c>
      <c r="M207" s="18">
        <v>2845.34</v>
      </c>
      <c r="N207" s="18">
        <v>13.8298</v>
      </c>
      <c r="O207" s="18">
        <v>3600.0</v>
      </c>
    </row>
    <row r="208">
      <c r="A208" s="8" t="s">
        <v>304</v>
      </c>
      <c r="B208" s="9">
        <v>30.0</v>
      </c>
      <c r="C208" s="14" t="s">
        <v>234</v>
      </c>
      <c r="D208" s="9">
        <v>50.0</v>
      </c>
      <c r="E208" s="10">
        <v>2.0</v>
      </c>
      <c r="F208" s="9">
        <v>1.0</v>
      </c>
      <c r="G208" s="9">
        <v>0.0</v>
      </c>
      <c r="H208" s="9">
        <v>1.0</v>
      </c>
      <c r="I208" s="9">
        <v>0.0</v>
      </c>
      <c r="J208" s="17">
        <v>38033.0</v>
      </c>
      <c r="K208" s="18">
        <v>34377.6</v>
      </c>
      <c r="L208" s="17">
        <v>34695.0</v>
      </c>
      <c r="M208" s="18">
        <v>34600.3</v>
      </c>
      <c r="N208" s="18">
        <v>0.273003</v>
      </c>
      <c r="O208" s="18">
        <v>3600.0</v>
      </c>
    </row>
    <row r="209">
      <c r="A209" s="8" t="s">
        <v>305</v>
      </c>
      <c r="B209" s="9">
        <v>30.0</v>
      </c>
      <c r="C209" s="14" t="s">
        <v>234</v>
      </c>
      <c r="D209" s="9">
        <v>50.0</v>
      </c>
      <c r="E209" s="10">
        <v>2.0</v>
      </c>
      <c r="F209" s="9">
        <v>2.0</v>
      </c>
      <c r="G209" s="9">
        <v>0.0</v>
      </c>
      <c r="H209" s="9">
        <v>1.0</v>
      </c>
      <c r="I209" s="9">
        <v>0.0</v>
      </c>
      <c r="J209" s="17">
        <v>41580.0</v>
      </c>
      <c r="K209" s="18">
        <v>37295.3</v>
      </c>
      <c r="L209" s="17">
        <v>37599.0</v>
      </c>
      <c r="M209" s="18">
        <v>37408.5</v>
      </c>
      <c r="N209" s="18">
        <v>0.506673</v>
      </c>
      <c r="O209" s="18">
        <v>3600.0</v>
      </c>
    </row>
    <row r="210">
      <c r="A210" s="8" t="s">
        <v>306</v>
      </c>
      <c r="B210" s="9">
        <v>30.0</v>
      </c>
      <c r="C210" s="14" t="s">
        <v>234</v>
      </c>
      <c r="D210" s="9">
        <v>50.0</v>
      </c>
      <c r="E210" s="10">
        <v>2.0</v>
      </c>
      <c r="F210" s="9">
        <v>3.0</v>
      </c>
      <c r="G210" s="9">
        <v>0.0</v>
      </c>
      <c r="H210" s="9">
        <v>1.0</v>
      </c>
      <c r="I210" s="9">
        <v>0.0</v>
      </c>
      <c r="J210" s="17">
        <v>37919.0</v>
      </c>
      <c r="K210" s="18">
        <v>34154.4</v>
      </c>
      <c r="L210" s="17">
        <v>34509.0</v>
      </c>
      <c r="M210" s="18">
        <v>34238.4</v>
      </c>
      <c r="N210" s="18">
        <v>0.784229</v>
      </c>
      <c r="O210" s="18">
        <v>3600.0</v>
      </c>
    </row>
    <row r="211">
      <c r="A211" s="8" t="s">
        <v>307</v>
      </c>
      <c r="B211" s="9">
        <v>30.0</v>
      </c>
      <c r="C211" s="14" t="s">
        <v>234</v>
      </c>
      <c r="D211" s="9">
        <v>50.0</v>
      </c>
      <c r="E211" s="10">
        <v>2.0</v>
      </c>
      <c r="F211" s="9">
        <v>4.0</v>
      </c>
      <c r="G211" s="9">
        <v>0.0</v>
      </c>
      <c r="H211" s="9">
        <v>1.0</v>
      </c>
      <c r="I211" s="9">
        <v>0.0</v>
      </c>
      <c r="J211" s="17">
        <v>38229.0</v>
      </c>
      <c r="K211" s="18">
        <v>34589.0</v>
      </c>
      <c r="L211" s="17">
        <v>34847.0</v>
      </c>
      <c r="M211" s="18">
        <v>34686.4</v>
      </c>
      <c r="N211" s="18">
        <v>0.461009</v>
      </c>
      <c r="O211" s="18">
        <v>3600.0</v>
      </c>
    </row>
    <row r="212">
      <c r="A212" s="8" t="s">
        <v>308</v>
      </c>
      <c r="B212" s="9">
        <v>30.0</v>
      </c>
      <c r="C212" s="14" t="s">
        <v>234</v>
      </c>
      <c r="D212" s="9">
        <v>50.0</v>
      </c>
      <c r="E212" s="10">
        <v>2.0</v>
      </c>
      <c r="F212" s="9">
        <v>5.0</v>
      </c>
      <c r="G212" s="9">
        <v>1.0</v>
      </c>
      <c r="H212" s="9">
        <v>0.0</v>
      </c>
      <c r="I212" s="9">
        <v>0.0</v>
      </c>
      <c r="J212" s="17">
        <v>41470.0</v>
      </c>
      <c r="K212" s="18">
        <v>37136.3</v>
      </c>
      <c r="L212" s="17">
        <v>37602.0</v>
      </c>
      <c r="M212" s="18">
        <v>37602.0</v>
      </c>
      <c r="N212" s="18">
        <v>0.0</v>
      </c>
      <c r="O212" s="18">
        <v>1190.35</v>
      </c>
    </row>
    <row r="213">
      <c r="A213" s="8" t="s">
        <v>309</v>
      </c>
      <c r="B213" s="9">
        <v>30.0</v>
      </c>
      <c r="C213" s="14" t="s">
        <v>234</v>
      </c>
      <c r="D213" s="9">
        <v>75.0</v>
      </c>
      <c r="E213" s="10">
        <v>0.6</v>
      </c>
      <c r="F213" s="9">
        <v>1.0</v>
      </c>
      <c r="G213" s="9">
        <v>0.0</v>
      </c>
      <c r="H213" s="9">
        <v>1.0</v>
      </c>
      <c r="I213" s="9">
        <v>0.0</v>
      </c>
      <c r="J213" s="17">
        <v>1775.0</v>
      </c>
      <c r="K213" s="18">
        <v>752.726</v>
      </c>
      <c r="L213" s="17">
        <v>1415.0</v>
      </c>
      <c r="M213" s="18">
        <v>1308.0</v>
      </c>
      <c r="N213" s="18">
        <v>7.56184</v>
      </c>
      <c r="O213" s="18">
        <v>3600.0</v>
      </c>
    </row>
    <row r="214">
      <c r="A214" s="8" t="s">
        <v>310</v>
      </c>
      <c r="B214" s="9">
        <v>30.0</v>
      </c>
      <c r="C214" s="14" t="s">
        <v>234</v>
      </c>
      <c r="D214" s="9">
        <v>75.0</v>
      </c>
      <c r="E214" s="10">
        <v>0.6</v>
      </c>
      <c r="F214" s="9">
        <v>2.0</v>
      </c>
      <c r="G214" s="9">
        <v>0.0</v>
      </c>
      <c r="H214" s="9">
        <v>1.0</v>
      </c>
      <c r="I214" s="9">
        <v>0.0</v>
      </c>
      <c r="J214" s="17">
        <v>2342.0</v>
      </c>
      <c r="K214" s="18">
        <v>926.291</v>
      </c>
      <c r="L214" s="17">
        <v>1825.0</v>
      </c>
      <c r="M214" s="18">
        <v>1575.11</v>
      </c>
      <c r="N214" s="18">
        <v>13.6927</v>
      </c>
      <c r="O214" s="18">
        <v>3600.0</v>
      </c>
    </row>
    <row r="215">
      <c r="A215" s="8" t="s">
        <v>311</v>
      </c>
      <c r="B215" s="9">
        <v>30.0</v>
      </c>
      <c r="C215" s="14" t="s">
        <v>234</v>
      </c>
      <c r="D215" s="9">
        <v>75.0</v>
      </c>
      <c r="E215" s="10">
        <v>0.6</v>
      </c>
      <c r="F215" s="9">
        <v>3.0</v>
      </c>
      <c r="G215" s="9">
        <v>0.0</v>
      </c>
      <c r="H215" s="9">
        <v>1.0</v>
      </c>
      <c r="I215" s="9">
        <v>0.0</v>
      </c>
      <c r="J215" s="17">
        <v>1615.0</v>
      </c>
      <c r="K215" s="18">
        <v>727.938</v>
      </c>
      <c r="L215" s="17">
        <v>1433.0</v>
      </c>
      <c r="M215" s="18">
        <v>1367.0</v>
      </c>
      <c r="N215" s="18">
        <v>4.60572</v>
      </c>
      <c r="O215" s="18">
        <v>3600.0</v>
      </c>
    </row>
    <row r="216">
      <c r="A216" s="8" t="s">
        <v>312</v>
      </c>
      <c r="B216" s="9">
        <v>30.0</v>
      </c>
      <c r="C216" s="14" t="s">
        <v>234</v>
      </c>
      <c r="D216" s="9">
        <v>75.0</v>
      </c>
      <c r="E216" s="10">
        <v>0.6</v>
      </c>
      <c r="F216" s="9">
        <v>4.0</v>
      </c>
      <c r="G216" s="9">
        <v>0.0</v>
      </c>
      <c r="H216" s="9">
        <v>1.0</v>
      </c>
      <c r="I216" s="9">
        <v>0.0</v>
      </c>
      <c r="J216" s="17">
        <v>2417.0</v>
      </c>
      <c r="K216" s="18">
        <v>919.136</v>
      </c>
      <c r="L216" s="17">
        <v>1676.0</v>
      </c>
      <c r="M216" s="18">
        <v>1637.0</v>
      </c>
      <c r="N216" s="18">
        <v>2.32697</v>
      </c>
      <c r="O216" s="18">
        <v>3600.0</v>
      </c>
    </row>
    <row r="217">
      <c r="A217" s="8" t="s">
        <v>313</v>
      </c>
      <c r="B217" s="9">
        <v>30.0</v>
      </c>
      <c r="C217" s="14" t="s">
        <v>234</v>
      </c>
      <c r="D217" s="9">
        <v>75.0</v>
      </c>
      <c r="E217" s="10">
        <v>0.6</v>
      </c>
      <c r="F217" s="9">
        <v>5.0</v>
      </c>
      <c r="G217" s="9">
        <v>0.0</v>
      </c>
      <c r="H217" s="9">
        <v>1.0</v>
      </c>
      <c r="I217" s="9">
        <v>0.0</v>
      </c>
      <c r="J217" s="17">
        <v>2090.0</v>
      </c>
      <c r="K217" s="18">
        <v>847.648</v>
      </c>
      <c r="L217" s="17">
        <v>1582.0</v>
      </c>
      <c r="M217" s="18">
        <v>1497.5</v>
      </c>
      <c r="N217" s="18">
        <v>5.34134</v>
      </c>
      <c r="O217" s="18">
        <v>3600.0</v>
      </c>
    </row>
    <row r="218">
      <c r="A218" s="8" t="s">
        <v>314</v>
      </c>
      <c r="B218" s="9">
        <v>30.0</v>
      </c>
      <c r="C218" s="14" t="s">
        <v>234</v>
      </c>
      <c r="D218" s="9">
        <v>75.0</v>
      </c>
      <c r="E218" s="10">
        <v>1.0</v>
      </c>
      <c r="F218" s="9">
        <v>1.0</v>
      </c>
      <c r="G218" s="9">
        <v>0.0</v>
      </c>
      <c r="H218" s="9">
        <v>1.0</v>
      </c>
      <c r="I218" s="9">
        <v>0.0</v>
      </c>
      <c r="J218" s="17">
        <v>6557.0</v>
      </c>
      <c r="K218" s="18">
        <v>3836.97</v>
      </c>
      <c r="L218" s="17">
        <v>4973.0</v>
      </c>
      <c r="M218" s="18">
        <v>4240.54</v>
      </c>
      <c r="N218" s="18">
        <v>14.7286</v>
      </c>
      <c r="O218" s="18">
        <v>3600.0</v>
      </c>
    </row>
    <row r="219">
      <c r="A219" s="8" t="s">
        <v>315</v>
      </c>
      <c r="B219" s="9">
        <v>30.0</v>
      </c>
      <c r="C219" s="14" t="s">
        <v>234</v>
      </c>
      <c r="D219" s="9">
        <v>75.0</v>
      </c>
      <c r="E219" s="10">
        <v>1.0</v>
      </c>
      <c r="F219" s="9">
        <v>2.0</v>
      </c>
      <c r="G219" s="9">
        <v>0.0</v>
      </c>
      <c r="H219" s="9">
        <v>1.0</v>
      </c>
      <c r="I219" s="9">
        <v>0.0</v>
      </c>
      <c r="J219" s="17">
        <v>8122.0</v>
      </c>
      <c r="K219" s="18">
        <v>4609.33</v>
      </c>
      <c r="L219" s="17">
        <v>5911.0</v>
      </c>
      <c r="M219" s="18">
        <v>5062.04</v>
      </c>
      <c r="N219" s="18">
        <v>14.3624</v>
      </c>
      <c r="O219" s="18">
        <v>3600.0</v>
      </c>
    </row>
    <row r="220">
      <c r="A220" s="8" t="s">
        <v>316</v>
      </c>
      <c r="B220" s="9">
        <v>30.0</v>
      </c>
      <c r="C220" s="14" t="s">
        <v>234</v>
      </c>
      <c r="D220" s="9">
        <v>75.0</v>
      </c>
      <c r="E220" s="10">
        <v>1.0</v>
      </c>
      <c r="F220" s="9">
        <v>3.0</v>
      </c>
      <c r="G220" s="9">
        <v>0.0</v>
      </c>
      <c r="H220" s="9">
        <v>1.0</v>
      </c>
      <c r="I220" s="9">
        <v>0.0</v>
      </c>
      <c r="J220" s="17">
        <v>5918.0</v>
      </c>
      <c r="K220" s="18">
        <v>3901.05</v>
      </c>
      <c r="L220" s="17">
        <v>5081.0</v>
      </c>
      <c r="M220" s="18">
        <v>4308.84</v>
      </c>
      <c r="N220" s="18">
        <v>15.197</v>
      </c>
      <c r="O220" s="18">
        <v>3600.0</v>
      </c>
    </row>
    <row r="221">
      <c r="A221" s="8" t="s">
        <v>317</v>
      </c>
      <c r="B221" s="9">
        <v>30.0</v>
      </c>
      <c r="C221" s="14" t="s">
        <v>234</v>
      </c>
      <c r="D221" s="9">
        <v>75.0</v>
      </c>
      <c r="E221" s="10">
        <v>1.0</v>
      </c>
      <c r="F221" s="9">
        <v>4.0</v>
      </c>
      <c r="G221" s="9">
        <v>0.0</v>
      </c>
      <c r="H221" s="9">
        <v>1.0</v>
      </c>
      <c r="I221" s="9">
        <v>0.0</v>
      </c>
      <c r="J221" s="17">
        <v>6840.0</v>
      </c>
      <c r="K221" s="18">
        <v>4543.15</v>
      </c>
      <c r="L221" s="17">
        <v>5692.0</v>
      </c>
      <c r="M221" s="18">
        <v>4988.04</v>
      </c>
      <c r="N221" s="18">
        <v>12.3675</v>
      </c>
      <c r="O221" s="18">
        <v>3600.0</v>
      </c>
    </row>
    <row r="222">
      <c r="A222" s="8" t="s">
        <v>318</v>
      </c>
      <c r="B222" s="9">
        <v>30.0</v>
      </c>
      <c r="C222" s="14" t="s">
        <v>234</v>
      </c>
      <c r="D222" s="9">
        <v>75.0</v>
      </c>
      <c r="E222" s="10">
        <v>1.0</v>
      </c>
      <c r="F222" s="9">
        <v>5.0</v>
      </c>
      <c r="G222" s="9">
        <v>0.0</v>
      </c>
      <c r="H222" s="9">
        <v>1.0</v>
      </c>
      <c r="I222" s="9">
        <v>0.0</v>
      </c>
      <c r="J222" s="17">
        <v>6507.0</v>
      </c>
      <c r="K222" s="18">
        <v>4280.55</v>
      </c>
      <c r="L222" s="17">
        <v>5480.0</v>
      </c>
      <c r="M222" s="18">
        <v>4637.11</v>
      </c>
      <c r="N222" s="18">
        <v>15.3813</v>
      </c>
      <c r="O222" s="18">
        <v>3600.0</v>
      </c>
    </row>
    <row r="223">
      <c r="A223" s="8" t="s">
        <v>319</v>
      </c>
      <c r="B223" s="9">
        <v>30.0</v>
      </c>
      <c r="C223" s="14" t="s">
        <v>234</v>
      </c>
      <c r="D223" s="9">
        <v>75.0</v>
      </c>
      <c r="E223" s="10">
        <v>2.0</v>
      </c>
      <c r="F223" s="9">
        <v>1.0</v>
      </c>
      <c r="G223" s="9">
        <v>0.0</v>
      </c>
      <c r="H223" s="9">
        <v>1.0</v>
      </c>
      <c r="I223" s="9">
        <v>0.0</v>
      </c>
      <c r="J223" s="17">
        <v>56886.0</v>
      </c>
      <c r="K223" s="18">
        <v>51398.2</v>
      </c>
      <c r="L223" s="17">
        <v>52062.0</v>
      </c>
      <c r="M223" s="18">
        <v>51714.7</v>
      </c>
      <c r="N223" s="18">
        <v>0.667168</v>
      </c>
      <c r="O223" s="18">
        <v>3600.0</v>
      </c>
    </row>
    <row r="224">
      <c r="A224" s="8" t="s">
        <v>320</v>
      </c>
      <c r="B224" s="9">
        <v>30.0</v>
      </c>
      <c r="C224" s="14" t="s">
        <v>234</v>
      </c>
      <c r="D224" s="9">
        <v>75.0</v>
      </c>
      <c r="E224" s="10">
        <v>2.0</v>
      </c>
      <c r="F224" s="9">
        <v>2.0</v>
      </c>
      <c r="G224" s="9">
        <v>0.0</v>
      </c>
      <c r="H224" s="9">
        <v>1.0</v>
      </c>
      <c r="I224" s="9">
        <v>0.0</v>
      </c>
      <c r="J224" s="17">
        <v>66130.0</v>
      </c>
      <c r="K224" s="18">
        <v>59767.9</v>
      </c>
      <c r="L224" s="17">
        <v>60374.0</v>
      </c>
      <c r="M224" s="18">
        <v>59982.8</v>
      </c>
      <c r="N224" s="18">
        <v>0.648003</v>
      </c>
      <c r="O224" s="18">
        <v>3600.0</v>
      </c>
    </row>
    <row r="225">
      <c r="A225" s="8" t="s">
        <v>321</v>
      </c>
      <c r="B225" s="9">
        <v>30.0</v>
      </c>
      <c r="C225" s="14" t="s">
        <v>234</v>
      </c>
      <c r="D225" s="9">
        <v>75.0</v>
      </c>
      <c r="E225" s="10">
        <v>2.0</v>
      </c>
      <c r="F225" s="9">
        <v>3.0</v>
      </c>
      <c r="G225" s="9">
        <v>0.0</v>
      </c>
      <c r="H225" s="9">
        <v>1.0</v>
      </c>
      <c r="I225" s="9">
        <v>0.0</v>
      </c>
      <c r="J225" s="17">
        <v>58328.0</v>
      </c>
      <c r="K225" s="18">
        <v>52430.1</v>
      </c>
      <c r="L225" s="17">
        <v>53178.0</v>
      </c>
      <c r="M225" s="18">
        <v>52635.1</v>
      </c>
      <c r="N225" s="18">
        <v>1.02092</v>
      </c>
      <c r="O225" s="18">
        <v>3600.0</v>
      </c>
    </row>
    <row r="226">
      <c r="A226" s="8" t="s">
        <v>322</v>
      </c>
      <c r="B226" s="9">
        <v>30.0</v>
      </c>
      <c r="C226" s="14" t="s">
        <v>234</v>
      </c>
      <c r="D226" s="9">
        <v>75.0</v>
      </c>
      <c r="E226" s="10">
        <v>2.0</v>
      </c>
      <c r="F226" s="9">
        <v>4.0</v>
      </c>
      <c r="G226" s="9">
        <v>1.0</v>
      </c>
      <c r="H226" s="9">
        <v>0.0</v>
      </c>
      <c r="I226" s="9">
        <v>0.0</v>
      </c>
      <c r="J226" s="17">
        <v>64901.0</v>
      </c>
      <c r="K226" s="18">
        <v>58663.9</v>
      </c>
      <c r="L226" s="17">
        <v>59057.0</v>
      </c>
      <c r="M226" s="18">
        <v>59057.0</v>
      </c>
      <c r="N226" s="18">
        <v>0.0</v>
      </c>
      <c r="O226" s="18">
        <v>1424.03</v>
      </c>
    </row>
    <row r="227">
      <c r="A227" s="8" t="s">
        <v>323</v>
      </c>
      <c r="B227" s="9">
        <v>30.0</v>
      </c>
      <c r="C227" s="14" t="s">
        <v>234</v>
      </c>
      <c r="D227" s="9">
        <v>75.0</v>
      </c>
      <c r="E227" s="10">
        <v>2.0</v>
      </c>
      <c r="F227" s="9">
        <v>5.0</v>
      </c>
      <c r="G227" s="9">
        <v>0.0</v>
      </c>
      <c r="H227" s="9">
        <v>1.0</v>
      </c>
      <c r="I227" s="9">
        <v>0.0</v>
      </c>
      <c r="J227" s="17">
        <v>61558.0</v>
      </c>
      <c r="K227" s="18">
        <v>55187.6</v>
      </c>
      <c r="L227" s="17">
        <v>55967.0</v>
      </c>
      <c r="M227" s="18">
        <v>55421.5</v>
      </c>
      <c r="N227" s="18">
        <v>0.974614</v>
      </c>
      <c r="O227" s="18">
        <v>3600.0</v>
      </c>
    </row>
    <row r="228">
      <c r="A228" s="8" t="s">
        <v>324</v>
      </c>
      <c r="B228" s="9">
        <v>35.0</v>
      </c>
      <c r="C228" s="14" t="s">
        <v>234</v>
      </c>
      <c r="D228" s="9">
        <v>25.0</v>
      </c>
      <c r="E228" s="10">
        <v>0.6</v>
      </c>
      <c r="F228" s="9">
        <v>1.0</v>
      </c>
      <c r="G228" s="9">
        <v>1.0</v>
      </c>
      <c r="H228" s="9">
        <v>0.0</v>
      </c>
      <c r="I228" s="9">
        <v>0.0</v>
      </c>
      <c r="J228" s="17">
        <v>1993.0</v>
      </c>
      <c r="K228" s="18">
        <v>183.0</v>
      </c>
      <c r="L228" s="17">
        <v>250.0</v>
      </c>
      <c r="M228" s="18">
        <v>250.0</v>
      </c>
      <c r="N228" s="18">
        <v>0.0</v>
      </c>
      <c r="O228" s="18">
        <v>207.545</v>
      </c>
    </row>
    <row r="229">
      <c r="A229" s="8" t="s">
        <v>325</v>
      </c>
      <c r="B229" s="9">
        <v>35.0</v>
      </c>
      <c r="C229" s="14" t="s">
        <v>234</v>
      </c>
      <c r="D229" s="9">
        <v>25.0</v>
      </c>
      <c r="E229" s="10">
        <v>0.6</v>
      </c>
      <c r="F229" s="9">
        <v>2.0</v>
      </c>
      <c r="G229" s="9">
        <v>1.0</v>
      </c>
      <c r="H229" s="9">
        <v>0.0</v>
      </c>
      <c r="I229" s="9">
        <v>0.0</v>
      </c>
      <c r="J229" s="17">
        <v>515.0</v>
      </c>
      <c r="K229" s="18">
        <v>186.0</v>
      </c>
      <c r="L229" s="17">
        <v>281.0</v>
      </c>
      <c r="M229" s="18">
        <v>281.0</v>
      </c>
      <c r="N229" s="18">
        <v>0.0</v>
      </c>
      <c r="O229" s="18">
        <v>512.042</v>
      </c>
    </row>
    <row r="230">
      <c r="A230" s="8" t="s">
        <v>326</v>
      </c>
      <c r="B230" s="9">
        <v>35.0</v>
      </c>
      <c r="C230" s="14" t="s">
        <v>234</v>
      </c>
      <c r="D230" s="9">
        <v>25.0</v>
      </c>
      <c r="E230" s="10">
        <v>0.6</v>
      </c>
      <c r="F230" s="9">
        <v>3.0</v>
      </c>
      <c r="G230" s="9">
        <v>1.0</v>
      </c>
      <c r="H230" s="9">
        <v>0.0</v>
      </c>
      <c r="I230" s="9">
        <v>0.0</v>
      </c>
      <c r="J230" s="17">
        <v>1152.0</v>
      </c>
      <c r="K230" s="18">
        <v>132.0</v>
      </c>
      <c r="L230" s="17">
        <v>176.0</v>
      </c>
      <c r="M230" s="18">
        <v>176.0</v>
      </c>
      <c r="N230" s="18">
        <v>0.0</v>
      </c>
      <c r="O230" s="18">
        <v>575.243</v>
      </c>
    </row>
    <row r="231">
      <c r="A231" s="8" t="s">
        <v>327</v>
      </c>
      <c r="B231" s="9">
        <v>35.0</v>
      </c>
      <c r="C231" s="14" t="s">
        <v>234</v>
      </c>
      <c r="D231" s="9">
        <v>25.0</v>
      </c>
      <c r="E231" s="10">
        <v>0.6</v>
      </c>
      <c r="F231" s="9">
        <v>4.0</v>
      </c>
      <c r="G231" s="9">
        <v>1.0</v>
      </c>
      <c r="H231" s="9">
        <v>0.0</v>
      </c>
      <c r="I231" s="9">
        <v>0.0</v>
      </c>
      <c r="J231" s="17">
        <v>1210.0</v>
      </c>
      <c r="K231" s="18">
        <v>213.0</v>
      </c>
      <c r="L231" s="17">
        <v>355.0</v>
      </c>
      <c r="M231" s="18">
        <v>355.0</v>
      </c>
      <c r="N231" s="18">
        <v>0.0</v>
      </c>
      <c r="O231" s="18">
        <v>555.017</v>
      </c>
    </row>
    <row r="232">
      <c r="A232" s="8" t="s">
        <v>328</v>
      </c>
      <c r="B232" s="9">
        <v>35.0</v>
      </c>
      <c r="C232" s="14" t="s">
        <v>234</v>
      </c>
      <c r="D232" s="9">
        <v>25.0</v>
      </c>
      <c r="E232" s="10">
        <v>0.6</v>
      </c>
      <c r="F232" s="9">
        <v>5.0</v>
      </c>
      <c r="G232" s="9">
        <v>1.0</v>
      </c>
      <c r="H232" s="9">
        <v>0.0</v>
      </c>
      <c r="I232" s="9">
        <v>0.0</v>
      </c>
      <c r="J232" s="17">
        <v>1079.0</v>
      </c>
      <c r="K232" s="18">
        <v>219.109</v>
      </c>
      <c r="L232" s="17">
        <v>355.0</v>
      </c>
      <c r="M232" s="18">
        <v>355.0</v>
      </c>
      <c r="N232" s="18">
        <v>0.0</v>
      </c>
      <c r="O232" s="18">
        <v>439.322</v>
      </c>
    </row>
    <row r="233">
      <c r="A233" s="8" t="s">
        <v>329</v>
      </c>
      <c r="B233" s="9">
        <v>35.0</v>
      </c>
      <c r="C233" s="14" t="s">
        <v>234</v>
      </c>
      <c r="D233" s="9">
        <v>25.0</v>
      </c>
      <c r="E233" s="10">
        <v>1.0</v>
      </c>
      <c r="F233" s="9">
        <v>1.0</v>
      </c>
      <c r="G233" s="9">
        <v>0.0</v>
      </c>
      <c r="H233" s="9">
        <v>1.0</v>
      </c>
      <c r="I233" s="9">
        <v>0.0</v>
      </c>
      <c r="J233" s="17">
        <v>2340.0</v>
      </c>
      <c r="K233" s="18">
        <v>1325.0</v>
      </c>
      <c r="L233" s="17">
        <v>1334.0</v>
      </c>
      <c r="M233" s="18">
        <v>1325.0</v>
      </c>
      <c r="N233" s="18">
        <v>0.674663</v>
      </c>
      <c r="O233" s="18">
        <v>3600.0</v>
      </c>
    </row>
    <row r="234">
      <c r="A234" s="8" t="s">
        <v>330</v>
      </c>
      <c r="B234" s="9">
        <v>35.0</v>
      </c>
      <c r="C234" s="14" t="s">
        <v>234</v>
      </c>
      <c r="D234" s="9">
        <v>25.0</v>
      </c>
      <c r="E234" s="10">
        <v>1.0</v>
      </c>
      <c r="F234" s="9">
        <v>2.0</v>
      </c>
      <c r="G234" s="9">
        <v>0.0</v>
      </c>
      <c r="H234" s="9">
        <v>1.0</v>
      </c>
      <c r="I234" s="9">
        <v>0.0</v>
      </c>
      <c r="J234" s="17">
        <v>1671.0</v>
      </c>
      <c r="K234" s="18">
        <v>1359.28</v>
      </c>
      <c r="L234" s="17">
        <v>1498.0</v>
      </c>
      <c r="M234" s="18">
        <v>1359.28</v>
      </c>
      <c r="N234" s="18">
        <v>9.26017</v>
      </c>
      <c r="O234" s="18">
        <v>3600.0</v>
      </c>
    </row>
    <row r="235">
      <c r="A235" s="8" t="s">
        <v>331</v>
      </c>
      <c r="B235" s="9">
        <v>35.0</v>
      </c>
      <c r="C235" s="14" t="s">
        <v>234</v>
      </c>
      <c r="D235" s="9">
        <v>25.0</v>
      </c>
      <c r="E235" s="10">
        <v>1.0</v>
      </c>
      <c r="F235" s="9">
        <v>3.0</v>
      </c>
      <c r="G235" s="9">
        <v>0.0</v>
      </c>
      <c r="H235" s="9">
        <v>1.0</v>
      </c>
      <c r="I235" s="9">
        <v>0.0</v>
      </c>
      <c r="J235" s="17">
        <v>1213.0</v>
      </c>
      <c r="K235" s="18">
        <v>966.655</v>
      </c>
      <c r="L235" s="17">
        <v>970.0</v>
      </c>
      <c r="M235" s="18">
        <v>966.655</v>
      </c>
      <c r="N235" s="18">
        <v>0.344828</v>
      </c>
      <c r="O235" s="18">
        <v>3600.0</v>
      </c>
    </row>
    <row r="236">
      <c r="A236" s="8" t="s">
        <v>332</v>
      </c>
      <c r="B236" s="9">
        <v>35.0</v>
      </c>
      <c r="C236" s="14" t="s">
        <v>234</v>
      </c>
      <c r="D236" s="9">
        <v>25.0</v>
      </c>
      <c r="E236" s="10">
        <v>1.0</v>
      </c>
      <c r="F236" s="9">
        <v>4.0</v>
      </c>
      <c r="G236" s="9">
        <v>0.0</v>
      </c>
      <c r="H236" s="9">
        <v>1.0</v>
      </c>
      <c r="I236" s="9">
        <v>0.0</v>
      </c>
      <c r="J236" s="17">
        <v>2593.0</v>
      </c>
      <c r="K236" s="18">
        <v>1541.41</v>
      </c>
      <c r="L236" s="17">
        <v>1697.0</v>
      </c>
      <c r="M236" s="18">
        <v>1541.41</v>
      </c>
      <c r="N236" s="18">
        <v>9.16871</v>
      </c>
      <c r="O236" s="18">
        <v>3600.0</v>
      </c>
    </row>
    <row r="237">
      <c r="A237" s="8" t="s">
        <v>333</v>
      </c>
      <c r="B237" s="9">
        <v>35.0</v>
      </c>
      <c r="C237" s="14" t="s">
        <v>234</v>
      </c>
      <c r="D237" s="9">
        <v>25.0</v>
      </c>
      <c r="E237" s="10">
        <v>1.0</v>
      </c>
      <c r="F237" s="9">
        <v>5.0</v>
      </c>
      <c r="G237" s="9">
        <v>0.0</v>
      </c>
      <c r="H237" s="9">
        <v>1.0</v>
      </c>
      <c r="I237" s="9">
        <v>0.0</v>
      </c>
      <c r="J237" s="17">
        <v>2414.0</v>
      </c>
      <c r="K237" s="18">
        <v>1538.31</v>
      </c>
      <c r="L237" s="17">
        <v>1848.0</v>
      </c>
      <c r="M237" s="18">
        <v>1538.31</v>
      </c>
      <c r="N237" s="18">
        <v>16.7582</v>
      </c>
      <c r="O237" s="18">
        <v>3600.0</v>
      </c>
    </row>
    <row r="238">
      <c r="A238" s="8" t="s">
        <v>334</v>
      </c>
      <c r="B238" s="9">
        <v>35.0</v>
      </c>
      <c r="C238" s="14" t="s">
        <v>234</v>
      </c>
      <c r="D238" s="9">
        <v>25.0</v>
      </c>
      <c r="E238" s="10">
        <v>2.0</v>
      </c>
      <c r="F238" s="9">
        <v>1.0</v>
      </c>
      <c r="G238" s="9">
        <v>0.0</v>
      </c>
      <c r="H238" s="9">
        <v>1.0</v>
      </c>
      <c r="I238" s="9">
        <v>0.0</v>
      </c>
      <c r="J238" s="17">
        <v>20669.0</v>
      </c>
      <c r="K238" s="18">
        <v>18790.0</v>
      </c>
      <c r="L238" s="17">
        <v>18919.0</v>
      </c>
      <c r="M238" s="18">
        <v>18790.0</v>
      </c>
      <c r="N238" s="18">
        <v>0.681854</v>
      </c>
      <c r="O238" s="18">
        <v>3600.0</v>
      </c>
    </row>
    <row r="239">
      <c r="A239" s="8" t="s">
        <v>335</v>
      </c>
      <c r="B239" s="9">
        <v>35.0</v>
      </c>
      <c r="C239" s="14" t="s">
        <v>234</v>
      </c>
      <c r="D239" s="9">
        <v>25.0</v>
      </c>
      <c r="E239" s="10">
        <v>2.0</v>
      </c>
      <c r="F239" s="9">
        <v>2.0</v>
      </c>
      <c r="G239" s="9">
        <v>0.0</v>
      </c>
      <c r="H239" s="9">
        <v>1.0</v>
      </c>
      <c r="I239" s="9">
        <v>0.0</v>
      </c>
      <c r="J239" s="17">
        <v>21357.0</v>
      </c>
      <c r="K239" s="18">
        <v>19208.2</v>
      </c>
      <c r="L239" s="17">
        <v>19390.0</v>
      </c>
      <c r="M239" s="18">
        <v>19208.2</v>
      </c>
      <c r="N239" s="18">
        <v>0.9375</v>
      </c>
      <c r="O239" s="18">
        <v>3600.0</v>
      </c>
    </row>
    <row r="240">
      <c r="A240" s="8" t="s">
        <v>336</v>
      </c>
      <c r="B240" s="9">
        <v>35.0</v>
      </c>
      <c r="C240" s="14" t="s">
        <v>234</v>
      </c>
      <c r="D240" s="9">
        <v>25.0</v>
      </c>
      <c r="E240" s="10">
        <v>2.0</v>
      </c>
      <c r="F240" s="9">
        <v>3.0</v>
      </c>
      <c r="G240" s="9">
        <v>0.0</v>
      </c>
      <c r="H240" s="9">
        <v>1.0</v>
      </c>
      <c r="I240" s="9">
        <v>0.0</v>
      </c>
      <c r="J240" s="17">
        <v>15125.0</v>
      </c>
      <c r="K240" s="18">
        <v>13702.6</v>
      </c>
      <c r="L240" s="17">
        <v>13750.0</v>
      </c>
      <c r="M240" s="18">
        <v>13702.6</v>
      </c>
      <c r="N240" s="18">
        <v>0.344828</v>
      </c>
      <c r="O240" s="18">
        <v>3600.0</v>
      </c>
    </row>
    <row r="241">
      <c r="A241" s="8" t="s">
        <v>337</v>
      </c>
      <c r="B241" s="9">
        <v>35.0</v>
      </c>
      <c r="C241" s="14" t="s">
        <v>234</v>
      </c>
      <c r="D241" s="9">
        <v>25.0</v>
      </c>
      <c r="E241" s="10">
        <v>2.0</v>
      </c>
      <c r="F241" s="9">
        <v>4.0</v>
      </c>
      <c r="G241" s="9">
        <v>0.0</v>
      </c>
      <c r="H241" s="9">
        <v>1.0</v>
      </c>
      <c r="I241" s="9">
        <v>0.0</v>
      </c>
      <c r="J241" s="17">
        <v>26606.0</v>
      </c>
      <c r="K241" s="18">
        <v>21869.0</v>
      </c>
      <c r="L241" s="17">
        <v>22075.0</v>
      </c>
      <c r="M241" s="18">
        <v>21869.0</v>
      </c>
      <c r="N241" s="18">
        <v>0.933077</v>
      </c>
      <c r="O241" s="18">
        <v>3600.0</v>
      </c>
    </row>
    <row r="242">
      <c r="A242" s="8" t="s">
        <v>338</v>
      </c>
      <c r="B242" s="9">
        <v>35.0</v>
      </c>
      <c r="C242" s="14" t="s">
        <v>234</v>
      </c>
      <c r="D242" s="9">
        <v>25.0</v>
      </c>
      <c r="E242" s="10">
        <v>2.0</v>
      </c>
      <c r="F242" s="9">
        <v>5.0</v>
      </c>
      <c r="G242" s="9">
        <v>0.0</v>
      </c>
      <c r="H242" s="9">
        <v>1.0</v>
      </c>
      <c r="I242" s="9">
        <v>0.0</v>
      </c>
      <c r="J242" s="17">
        <v>24090.0</v>
      </c>
      <c r="K242" s="18">
        <v>21875.9</v>
      </c>
      <c r="L242" s="17">
        <v>22033.0</v>
      </c>
      <c r="M242" s="18">
        <v>21875.9</v>
      </c>
      <c r="N242" s="18">
        <v>0.712867</v>
      </c>
      <c r="O242" s="18">
        <v>3600.0</v>
      </c>
    </row>
    <row r="243">
      <c r="A243" s="8" t="s">
        <v>339</v>
      </c>
      <c r="B243" s="9">
        <v>35.0</v>
      </c>
      <c r="C243" s="14" t="s">
        <v>234</v>
      </c>
      <c r="D243" s="9">
        <v>50.0</v>
      </c>
      <c r="E243" s="10">
        <v>0.6</v>
      </c>
      <c r="F243" s="9">
        <v>1.0</v>
      </c>
      <c r="G243" s="9">
        <v>1.0</v>
      </c>
      <c r="H243" s="9">
        <v>0.0</v>
      </c>
      <c r="I243" s="9">
        <v>0.0</v>
      </c>
      <c r="J243" s="17">
        <v>1324.0</v>
      </c>
      <c r="K243" s="18">
        <v>387.375</v>
      </c>
      <c r="L243" s="17">
        <v>768.0</v>
      </c>
      <c r="M243" s="18">
        <v>768.0</v>
      </c>
      <c r="N243" s="18">
        <v>0.0</v>
      </c>
      <c r="O243" s="18">
        <v>2698.91</v>
      </c>
    </row>
    <row r="244">
      <c r="A244" s="8" t="s">
        <v>340</v>
      </c>
      <c r="B244" s="9">
        <v>35.0</v>
      </c>
      <c r="C244" s="14" t="s">
        <v>234</v>
      </c>
      <c r="D244" s="9">
        <v>50.0</v>
      </c>
      <c r="E244" s="10">
        <v>0.6</v>
      </c>
      <c r="F244" s="9">
        <v>2.0</v>
      </c>
      <c r="G244" s="9">
        <v>1.0</v>
      </c>
      <c r="H244" s="9">
        <v>0.0</v>
      </c>
      <c r="I244" s="9">
        <v>0.0</v>
      </c>
      <c r="J244" s="17">
        <v>1158.0</v>
      </c>
      <c r="K244" s="18">
        <v>420.144</v>
      </c>
      <c r="L244" s="17">
        <v>808.0</v>
      </c>
      <c r="M244" s="18">
        <v>808.0</v>
      </c>
      <c r="N244" s="18">
        <v>0.0</v>
      </c>
      <c r="O244" s="18">
        <v>2513.17</v>
      </c>
    </row>
    <row r="245">
      <c r="A245" s="8" t="s">
        <v>341</v>
      </c>
      <c r="B245" s="9">
        <v>35.0</v>
      </c>
      <c r="C245" s="14" t="s">
        <v>234</v>
      </c>
      <c r="D245" s="9">
        <v>50.0</v>
      </c>
      <c r="E245" s="10">
        <v>0.6</v>
      </c>
      <c r="F245" s="9">
        <v>3.0</v>
      </c>
      <c r="G245" s="9">
        <v>1.0</v>
      </c>
      <c r="H245" s="9">
        <v>0.0</v>
      </c>
      <c r="I245" s="9">
        <v>0.0</v>
      </c>
      <c r="J245" s="17">
        <v>1449.0</v>
      </c>
      <c r="K245" s="18">
        <v>461.168</v>
      </c>
      <c r="L245" s="17">
        <v>867.0</v>
      </c>
      <c r="M245" s="18">
        <v>867.0</v>
      </c>
      <c r="N245" s="18">
        <v>0.0</v>
      </c>
      <c r="O245" s="18">
        <v>3132.84</v>
      </c>
    </row>
    <row r="246">
      <c r="A246" s="8" t="s">
        <v>342</v>
      </c>
      <c r="B246" s="9">
        <v>35.0</v>
      </c>
      <c r="C246" s="14" t="s">
        <v>234</v>
      </c>
      <c r="D246" s="9">
        <v>50.0</v>
      </c>
      <c r="E246" s="10">
        <v>0.6</v>
      </c>
      <c r="F246" s="9">
        <v>4.0</v>
      </c>
      <c r="G246" s="9">
        <v>1.0</v>
      </c>
      <c r="H246" s="9">
        <v>0.0</v>
      </c>
      <c r="I246" s="9">
        <v>0.0</v>
      </c>
      <c r="J246" s="17">
        <v>1717.0</v>
      </c>
      <c r="K246" s="18">
        <v>508.549</v>
      </c>
      <c r="L246" s="17">
        <v>920.0</v>
      </c>
      <c r="M246" s="18">
        <v>920.0</v>
      </c>
      <c r="N246" s="18">
        <v>0.0</v>
      </c>
      <c r="O246" s="18">
        <v>1067.42</v>
      </c>
    </row>
    <row r="247">
      <c r="A247" s="8" t="s">
        <v>343</v>
      </c>
      <c r="B247" s="9">
        <v>35.0</v>
      </c>
      <c r="C247" s="14" t="s">
        <v>234</v>
      </c>
      <c r="D247" s="9">
        <v>50.0</v>
      </c>
      <c r="E247" s="10">
        <v>0.6</v>
      </c>
      <c r="F247" s="9">
        <v>5.0</v>
      </c>
      <c r="G247" s="9">
        <v>1.0</v>
      </c>
      <c r="H247" s="9">
        <v>0.0</v>
      </c>
      <c r="I247" s="9">
        <v>0.0</v>
      </c>
      <c r="J247" s="17">
        <v>1471.0</v>
      </c>
      <c r="K247" s="18">
        <v>461.425</v>
      </c>
      <c r="L247" s="17">
        <v>794.0</v>
      </c>
      <c r="M247" s="18">
        <v>794.0</v>
      </c>
      <c r="N247" s="18">
        <v>0.0</v>
      </c>
      <c r="O247" s="18">
        <v>605.38</v>
      </c>
    </row>
    <row r="248">
      <c r="A248" s="8" t="s">
        <v>344</v>
      </c>
      <c r="B248" s="9">
        <v>35.0</v>
      </c>
      <c r="C248" s="14" t="s">
        <v>234</v>
      </c>
      <c r="D248" s="9">
        <v>50.0</v>
      </c>
      <c r="E248" s="10">
        <v>1.0</v>
      </c>
      <c r="F248" s="9">
        <v>1.0</v>
      </c>
      <c r="G248" s="9">
        <v>0.0</v>
      </c>
      <c r="H248" s="9">
        <v>1.0</v>
      </c>
      <c r="I248" s="9">
        <v>0.0</v>
      </c>
      <c r="J248" s="17">
        <v>8814.0</v>
      </c>
      <c r="K248" s="18">
        <v>2514.55</v>
      </c>
      <c r="L248" s="17">
        <v>3178.0</v>
      </c>
      <c r="M248" s="18">
        <v>2549.23</v>
      </c>
      <c r="N248" s="18">
        <v>19.7851</v>
      </c>
      <c r="O248" s="18">
        <v>3600.0</v>
      </c>
    </row>
    <row r="249">
      <c r="A249" s="8" t="s">
        <v>345</v>
      </c>
      <c r="B249" s="9">
        <v>35.0</v>
      </c>
      <c r="C249" s="14" t="s">
        <v>234</v>
      </c>
      <c r="D249" s="9">
        <v>50.0</v>
      </c>
      <c r="E249" s="10">
        <v>1.0</v>
      </c>
      <c r="F249" s="9">
        <v>2.0</v>
      </c>
      <c r="G249" s="9">
        <v>0.0</v>
      </c>
      <c r="H249" s="9">
        <v>1.0</v>
      </c>
      <c r="I249" s="9">
        <v>0.0</v>
      </c>
      <c r="J249" s="17">
        <v>5265.0</v>
      </c>
      <c r="K249" s="18">
        <v>2495.62</v>
      </c>
      <c r="L249" s="17">
        <v>3230.0</v>
      </c>
      <c r="M249" s="18">
        <v>2674.1</v>
      </c>
      <c r="N249" s="18">
        <v>17.2104</v>
      </c>
      <c r="O249" s="18">
        <v>3600.0</v>
      </c>
    </row>
    <row r="250">
      <c r="A250" s="8" t="s">
        <v>346</v>
      </c>
      <c r="B250" s="9">
        <v>35.0</v>
      </c>
      <c r="C250" s="14" t="s">
        <v>234</v>
      </c>
      <c r="D250" s="9">
        <v>50.0</v>
      </c>
      <c r="E250" s="10">
        <v>1.0</v>
      </c>
      <c r="F250" s="9">
        <v>3.0</v>
      </c>
      <c r="G250" s="9">
        <v>0.0</v>
      </c>
      <c r="H250" s="9">
        <v>1.0</v>
      </c>
      <c r="I250" s="9">
        <v>0.0</v>
      </c>
      <c r="J250" s="17">
        <v>4721.0</v>
      </c>
      <c r="K250" s="18">
        <v>2638.75</v>
      </c>
      <c r="L250" s="17">
        <v>3387.0</v>
      </c>
      <c r="M250" s="18">
        <v>2763.71</v>
      </c>
      <c r="N250" s="18">
        <v>18.4025</v>
      </c>
      <c r="O250" s="18">
        <v>3600.0</v>
      </c>
    </row>
    <row r="251">
      <c r="A251" s="8" t="s">
        <v>347</v>
      </c>
      <c r="B251" s="9">
        <v>35.0</v>
      </c>
      <c r="C251" s="14" t="s">
        <v>234</v>
      </c>
      <c r="D251" s="9">
        <v>50.0</v>
      </c>
      <c r="E251" s="10">
        <v>1.0</v>
      </c>
      <c r="F251" s="9">
        <v>4.0</v>
      </c>
      <c r="G251" s="9">
        <v>0.0</v>
      </c>
      <c r="H251" s="9">
        <v>1.0</v>
      </c>
      <c r="I251" s="9">
        <v>0.0</v>
      </c>
      <c r="J251" s="17">
        <v>4495.0</v>
      </c>
      <c r="K251" s="18">
        <v>2833.65</v>
      </c>
      <c r="L251" s="17">
        <v>3631.0</v>
      </c>
      <c r="M251" s="18">
        <v>3049.68</v>
      </c>
      <c r="N251" s="18">
        <v>16.01</v>
      </c>
      <c r="O251" s="18">
        <v>3600.0</v>
      </c>
    </row>
    <row r="252">
      <c r="A252" s="8" t="s">
        <v>348</v>
      </c>
      <c r="B252" s="9">
        <v>35.0</v>
      </c>
      <c r="C252" s="14" t="s">
        <v>234</v>
      </c>
      <c r="D252" s="9">
        <v>50.0</v>
      </c>
      <c r="E252" s="10">
        <v>1.0</v>
      </c>
      <c r="F252" s="9">
        <v>5.0</v>
      </c>
      <c r="G252" s="9">
        <v>0.0</v>
      </c>
      <c r="H252" s="9">
        <v>1.0</v>
      </c>
      <c r="I252" s="9">
        <v>0.0</v>
      </c>
      <c r="J252" s="17">
        <v>4549.0</v>
      </c>
      <c r="K252" s="18">
        <v>2717.42</v>
      </c>
      <c r="L252" s="17">
        <v>3399.0</v>
      </c>
      <c r="M252" s="18">
        <v>2802.06</v>
      </c>
      <c r="N252" s="18">
        <v>17.5622</v>
      </c>
      <c r="O252" s="18">
        <v>3600.0</v>
      </c>
    </row>
    <row r="253">
      <c r="A253" s="8" t="s">
        <v>349</v>
      </c>
      <c r="B253" s="9">
        <v>35.0</v>
      </c>
      <c r="C253" s="14" t="s">
        <v>234</v>
      </c>
      <c r="D253" s="9">
        <v>50.0</v>
      </c>
      <c r="E253" s="10">
        <v>2.0</v>
      </c>
      <c r="F253" s="9">
        <v>1.0</v>
      </c>
      <c r="G253" s="9">
        <v>0.0</v>
      </c>
      <c r="H253" s="9">
        <v>1.0</v>
      </c>
      <c r="I253" s="9">
        <v>0.0</v>
      </c>
      <c r="J253" s="17">
        <v>39710.0</v>
      </c>
      <c r="K253" s="18">
        <v>35550.4</v>
      </c>
      <c r="L253" s="17">
        <v>35904.0</v>
      </c>
      <c r="M253" s="18">
        <v>35550.4</v>
      </c>
      <c r="N253" s="18">
        <v>0.984884</v>
      </c>
      <c r="O253" s="18">
        <v>3600.0</v>
      </c>
    </row>
    <row r="254">
      <c r="A254" s="8" t="s">
        <v>350</v>
      </c>
      <c r="B254" s="9">
        <v>35.0</v>
      </c>
      <c r="C254" s="14" t="s">
        <v>234</v>
      </c>
      <c r="D254" s="9">
        <v>50.0</v>
      </c>
      <c r="E254" s="10">
        <v>2.0</v>
      </c>
      <c r="F254" s="9">
        <v>2.0</v>
      </c>
      <c r="G254" s="9">
        <v>0.0</v>
      </c>
      <c r="H254" s="9">
        <v>1.0</v>
      </c>
      <c r="I254" s="9">
        <v>0.0</v>
      </c>
      <c r="J254" s="17">
        <v>43117.0</v>
      </c>
      <c r="K254" s="18">
        <v>35417.4</v>
      </c>
      <c r="L254" s="17">
        <v>35704.0</v>
      </c>
      <c r="M254" s="18">
        <v>35418.7</v>
      </c>
      <c r="N254" s="18">
        <v>0.79907</v>
      </c>
      <c r="O254" s="18">
        <v>3600.0</v>
      </c>
    </row>
    <row r="255">
      <c r="A255" s="8" t="s">
        <v>351</v>
      </c>
      <c r="B255" s="9">
        <v>35.0</v>
      </c>
      <c r="C255" s="14" t="s">
        <v>234</v>
      </c>
      <c r="D255" s="9">
        <v>50.0</v>
      </c>
      <c r="E255" s="10">
        <v>2.0</v>
      </c>
      <c r="F255" s="9">
        <v>3.0</v>
      </c>
      <c r="G255" s="9">
        <v>0.0</v>
      </c>
      <c r="H255" s="9">
        <v>1.0</v>
      </c>
      <c r="I255" s="9">
        <v>0.0</v>
      </c>
      <c r="J255" s="17">
        <v>41381.0</v>
      </c>
      <c r="K255" s="18">
        <v>37290.4</v>
      </c>
      <c r="L255" s="17">
        <v>37717.0</v>
      </c>
      <c r="M255" s="18">
        <v>37290.4</v>
      </c>
      <c r="N255" s="18">
        <v>1.13118</v>
      </c>
      <c r="O255" s="18">
        <v>3600.0</v>
      </c>
    </row>
    <row r="256">
      <c r="A256" s="8" t="s">
        <v>352</v>
      </c>
      <c r="B256" s="9">
        <v>35.0</v>
      </c>
      <c r="C256" s="14" t="s">
        <v>234</v>
      </c>
      <c r="D256" s="9">
        <v>50.0</v>
      </c>
      <c r="E256" s="10">
        <v>2.0</v>
      </c>
      <c r="F256" s="9">
        <v>4.0</v>
      </c>
      <c r="G256" s="9">
        <v>0.0</v>
      </c>
      <c r="H256" s="9">
        <v>1.0</v>
      </c>
      <c r="I256" s="9">
        <v>0.0</v>
      </c>
      <c r="J256" s="17">
        <v>60645.0</v>
      </c>
      <c r="K256" s="18">
        <v>39873.2</v>
      </c>
      <c r="L256" s="17">
        <v>40429.0</v>
      </c>
      <c r="M256" s="18">
        <v>39873.2</v>
      </c>
      <c r="N256" s="18">
        <v>1.37474</v>
      </c>
      <c r="O256" s="18">
        <v>3600.0</v>
      </c>
    </row>
    <row r="257">
      <c r="A257" s="8" t="s">
        <v>353</v>
      </c>
      <c r="B257" s="9">
        <v>35.0</v>
      </c>
      <c r="C257" s="14" t="s">
        <v>234</v>
      </c>
      <c r="D257" s="9">
        <v>50.0</v>
      </c>
      <c r="E257" s="10">
        <v>2.0</v>
      </c>
      <c r="F257" s="9">
        <v>5.0</v>
      </c>
      <c r="G257" s="9">
        <v>0.0</v>
      </c>
      <c r="H257" s="9">
        <v>1.0</v>
      </c>
      <c r="I257" s="9">
        <v>0.0</v>
      </c>
      <c r="J257" s="17">
        <v>42649.0</v>
      </c>
      <c r="K257" s="18">
        <v>38355.9</v>
      </c>
      <c r="L257" s="17">
        <v>38998.0</v>
      </c>
      <c r="M257" s="18">
        <v>38355.9</v>
      </c>
      <c r="N257" s="18">
        <v>1.64641</v>
      </c>
      <c r="O257" s="18">
        <v>3600.0</v>
      </c>
    </row>
    <row r="258">
      <c r="A258" s="8" t="s">
        <v>354</v>
      </c>
      <c r="B258" s="9">
        <v>35.0</v>
      </c>
      <c r="C258" s="14" t="s">
        <v>234</v>
      </c>
      <c r="D258" s="9">
        <v>75.0</v>
      </c>
      <c r="E258" s="10">
        <v>0.6</v>
      </c>
      <c r="F258" s="9">
        <v>1.0</v>
      </c>
      <c r="G258" s="9">
        <v>0.0</v>
      </c>
      <c r="H258" s="9">
        <v>1.0</v>
      </c>
      <c r="I258" s="9">
        <v>0.0</v>
      </c>
      <c r="J258" s="17">
        <v>2241.0</v>
      </c>
      <c r="K258" s="18">
        <v>835.464</v>
      </c>
      <c r="L258" s="17">
        <v>1700.0</v>
      </c>
      <c r="M258" s="18">
        <v>1388.54</v>
      </c>
      <c r="N258" s="18">
        <v>18.3209</v>
      </c>
      <c r="O258" s="18">
        <v>3600.0</v>
      </c>
    </row>
    <row r="259">
      <c r="A259" s="8" t="s">
        <v>355</v>
      </c>
      <c r="B259" s="9">
        <v>35.0</v>
      </c>
      <c r="C259" s="14" t="s">
        <v>234</v>
      </c>
      <c r="D259" s="9">
        <v>75.0</v>
      </c>
      <c r="E259" s="10">
        <v>0.6</v>
      </c>
      <c r="F259" s="9">
        <v>2.0</v>
      </c>
      <c r="G259" s="9">
        <v>0.0</v>
      </c>
      <c r="H259" s="9">
        <v>1.0</v>
      </c>
      <c r="I259" s="9">
        <v>0.0</v>
      </c>
      <c r="J259" s="17">
        <v>2286.0</v>
      </c>
      <c r="K259" s="18">
        <v>713.435</v>
      </c>
      <c r="L259" s="17">
        <v>1653.0</v>
      </c>
      <c r="M259" s="18">
        <v>1256.5</v>
      </c>
      <c r="N259" s="18">
        <v>23.9867</v>
      </c>
      <c r="O259" s="18">
        <v>3600.0</v>
      </c>
    </row>
    <row r="260">
      <c r="A260" s="8" t="s">
        <v>356</v>
      </c>
      <c r="B260" s="9">
        <v>35.0</v>
      </c>
      <c r="C260" s="14" t="s">
        <v>234</v>
      </c>
      <c r="D260" s="9">
        <v>75.0</v>
      </c>
      <c r="E260" s="10">
        <v>0.6</v>
      </c>
      <c r="F260" s="9">
        <v>3.0</v>
      </c>
      <c r="G260" s="9">
        <v>0.0</v>
      </c>
      <c r="H260" s="9">
        <v>1.0</v>
      </c>
      <c r="I260" s="9">
        <v>0.0</v>
      </c>
      <c r="J260" s="17">
        <v>2111.0</v>
      </c>
      <c r="K260" s="18">
        <v>835.277</v>
      </c>
      <c r="L260" s="17">
        <v>1705.0</v>
      </c>
      <c r="M260" s="18">
        <v>1395.22</v>
      </c>
      <c r="N260" s="18">
        <v>18.1691</v>
      </c>
      <c r="O260" s="18">
        <v>3600.0</v>
      </c>
    </row>
    <row r="261">
      <c r="A261" s="8" t="s">
        <v>357</v>
      </c>
      <c r="B261" s="9">
        <v>35.0</v>
      </c>
      <c r="C261" s="14" t="s">
        <v>234</v>
      </c>
      <c r="D261" s="9">
        <v>75.0</v>
      </c>
      <c r="E261" s="10">
        <v>0.6</v>
      </c>
      <c r="F261" s="9">
        <v>4.0</v>
      </c>
      <c r="G261" s="9">
        <v>0.0</v>
      </c>
      <c r="H261" s="9">
        <v>1.0</v>
      </c>
      <c r="I261" s="9">
        <v>0.0</v>
      </c>
      <c r="J261" s="17">
        <v>4337.0</v>
      </c>
      <c r="K261" s="18">
        <v>910.801</v>
      </c>
      <c r="L261" s="17">
        <v>1924.0</v>
      </c>
      <c r="M261" s="18">
        <v>1537.67</v>
      </c>
      <c r="N261" s="18">
        <v>20.0794</v>
      </c>
      <c r="O261" s="18">
        <v>3600.0</v>
      </c>
    </row>
    <row r="262">
      <c r="A262" s="8" t="s">
        <v>358</v>
      </c>
      <c r="B262" s="9">
        <v>35.0</v>
      </c>
      <c r="C262" s="14" t="s">
        <v>234</v>
      </c>
      <c r="D262" s="9">
        <v>75.0</v>
      </c>
      <c r="E262" s="10">
        <v>0.6</v>
      </c>
      <c r="F262" s="9">
        <v>5.0</v>
      </c>
      <c r="G262" s="9">
        <v>0.0</v>
      </c>
      <c r="H262" s="9">
        <v>1.0</v>
      </c>
      <c r="I262" s="9">
        <v>0.0</v>
      </c>
      <c r="J262" s="17">
        <v>2517.0</v>
      </c>
      <c r="K262" s="18">
        <v>767.13</v>
      </c>
      <c r="L262" s="17">
        <v>1698.0</v>
      </c>
      <c r="M262" s="18">
        <v>1241.75</v>
      </c>
      <c r="N262" s="18">
        <v>26.8698</v>
      </c>
      <c r="O262" s="18">
        <v>3600.0</v>
      </c>
    </row>
    <row r="263">
      <c r="A263" s="8" t="s">
        <v>359</v>
      </c>
      <c r="B263" s="9">
        <v>35.0</v>
      </c>
      <c r="C263" s="14" t="s">
        <v>234</v>
      </c>
      <c r="D263" s="9">
        <v>75.0</v>
      </c>
      <c r="E263" s="10">
        <v>1.0</v>
      </c>
      <c r="F263" s="9">
        <v>1.0</v>
      </c>
      <c r="G263" s="9">
        <v>0.0</v>
      </c>
      <c r="H263" s="9">
        <v>1.0</v>
      </c>
      <c r="I263" s="9">
        <v>0.0</v>
      </c>
      <c r="J263" s="17">
        <v>7787.0</v>
      </c>
      <c r="K263" s="18">
        <v>4277.56</v>
      </c>
      <c r="L263" s="17">
        <v>6014.0</v>
      </c>
      <c r="M263" s="18">
        <v>4634.3</v>
      </c>
      <c r="N263" s="18">
        <v>22.9414</v>
      </c>
      <c r="O263" s="18">
        <v>3600.0</v>
      </c>
    </row>
    <row r="264">
      <c r="A264" s="8" t="s">
        <v>360</v>
      </c>
      <c r="B264" s="9">
        <v>35.0</v>
      </c>
      <c r="C264" s="14" t="s">
        <v>234</v>
      </c>
      <c r="D264" s="9">
        <v>75.0</v>
      </c>
      <c r="E264" s="10">
        <v>1.0</v>
      </c>
      <c r="F264" s="9">
        <v>2.0</v>
      </c>
      <c r="G264" s="9">
        <v>0.0</v>
      </c>
      <c r="H264" s="9">
        <v>1.0</v>
      </c>
      <c r="I264" s="9">
        <v>0.0</v>
      </c>
      <c r="J264" s="17">
        <v>8107.0</v>
      </c>
      <c r="K264" s="18">
        <v>4027.07</v>
      </c>
      <c r="L264" s="17">
        <v>5525.0</v>
      </c>
      <c r="M264" s="18">
        <v>4382.24</v>
      </c>
      <c r="N264" s="18">
        <v>20.6835</v>
      </c>
      <c r="O264" s="18">
        <v>3600.0</v>
      </c>
    </row>
    <row r="265">
      <c r="A265" s="8" t="s">
        <v>361</v>
      </c>
      <c r="B265" s="9">
        <v>35.0</v>
      </c>
      <c r="C265" s="14" t="s">
        <v>234</v>
      </c>
      <c r="D265" s="9">
        <v>75.0</v>
      </c>
      <c r="E265" s="10">
        <v>1.0</v>
      </c>
      <c r="F265" s="9">
        <v>3.0</v>
      </c>
      <c r="G265" s="9">
        <v>0.0</v>
      </c>
      <c r="H265" s="9">
        <v>1.0</v>
      </c>
      <c r="I265" s="9">
        <v>0.0</v>
      </c>
      <c r="J265" s="17">
        <v>8419.0</v>
      </c>
      <c r="K265" s="18">
        <v>4246.67</v>
      </c>
      <c r="L265" s="17">
        <v>5900.0</v>
      </c>
      <c r="M265" s="18">
        <v>4666.56</v>
      </c>
      <c r="N265" s="18">
        <v>20.9057</v>
      </c>
      <c r="O265" s="18">
        <v>3600.0</v>
      </c>
    </row>
    <row r="266">
      <c r="A266" s="8" t="s">
        <v>362</v>
      </c>
      <c r="B266" s="9">
        <v>35.0</v>
      </c>
      <c r="C266" s="14" t="s">
        <v>234</v>
      </c>
      <c r="D266" s="9">
        <v>75.0</v>
      </c>
      <c r="E266" s="10">
        <v>1.0</v>
      </c>
      <c r="F266" s="9">
        <v>4.0</v>
      </c>
      <c r="G266" s="9">
        <v>0.0</v>
      </c>
      <c r="H266" s="9">
        <v>1.0</v>
      </c>
      <c r="I266" s="9">
        <v>0.0</v>
      </c>
      <c r="J266" s="17">
        <v>9585.0</v>
      </c>
      <c r="K266" s="18">
        <v>4577.93</v>
      </c>
      <c r="L266" s="17">
        <v>6256.0</v>
      </c>
      <c r="M266" s="18">
        <v>4977.44</v>
      </c>
      <c r="N266" s="18">
        <v>20.4374</v>
      </c>
      <c r="O266" s="18">
        <v>3600.0</v>
      </c>
    </row>
    <row r="267">
      <c r="A267" s="8" t="s">
        <v>363</v>
      </c>
      <c r="B267" s="9">
        <v>35.0</v>
      </c>
      <c r="C267" s="14" t="s">
        <v>234</v>
      </c>
      <c r="D267" s="9">
        <v>75.0</v>
      </c>
      <c r="E267" s="10">
        <v>1.0</v>
      </c>
      <c r="F267" s="9">
        <v>5.0</v>
      </c>
      <c r="G267" s="9">
        <v>0.0</v>
      </c>
      <c r="H267" s="9">
        <v>1.0</v>
      </c>
      <c r="I267" s="9">
        <v>0.0</v>
      </c>
      <c r="J267" s="17">
        <v>6565.0</v>
      </c>
      <c r="K267" s="18">
        <v>4124.6</v>
      </c>
      <c r="L267" s="17">
        <v>5720.0</v>
      </c>
      <c r="M267" s="18">
        <v>4439.44</v>
      </c>
      <c r="N267" s="18">
        <v>22.3875</v>
      </c>
      <c r="O267" s="18">
        <v>3600.0</v>
      </c>
    </row>
    <row r="268">
      <c r="A268" s="8" t="s">
        <v>364</v>
      </c>
      <c r="B268" s="9">
        <v>35.0</v>
      </c>
      <c r="C268" s="14" t="s">
        <v>234</v>
      </c>
      <c r="D268" s="9">
        <v>75.0</v>
      </c>
      <c r="E268" s="10">
        <v>2.0</v>
      </c>
      <c r="F268" s="9">
        <v>1.0</v>
      </c>
      <c r="G268" s="9">
        <v>0.0</v>
      </c>
      <c r="H268" s="9">
        <v>1.0</v>
      </c>
      <c r="I268" s="9">
        <v>0.0</v>
      </c>
      <c r="J268" s="17">
        <v>63915.0</v>
      </c>
      <c r="K268" s="18">
        <v>56979.1</v>
      </c>
      <c r="L268" s="17">
        <v>57885.0</v>
      </c>
      <c r="M268" s="18">
        <v>57102.1</v>
      </c>
      <c r="N268" s="18">
        <v>1.3525</v>
      </c>
      <c r="O268" s="18">
        <v>3600.0</v>
      </c>
    </row>
    <row r="269">
      <c r="A269" s="8" t="s">
        <v>365</v>
      </c>
      <c r="B269" s="9">
        <v>35.0</v>
      </c>
      <c r="C269" s="14" t="s">
        <v>234</v>
      </c>
      <c r="D269" s="9">
        <v>75.0</v>
      </c>
      <c r="E269" s="10">
        <v>2.0</v>
      </c>
      <c r="F269" s="9">
        <v>2.0</v>
      </c>
      <c r="G269" s="9">
        <v>0.0</v>
      </c>
      <c r="H269" s="9">
        <v>1.0</v>
      </c>
      <c r="I269" s="9">
        <v>0.0</v>
      </c>
      <c r="J269" s="17">
        <v>60842.0</v>
      </c>
      <c r="K269" s="18">
        <v>54600.7</v>
      </c>
      <c r="L269" s="17">
        <v>55470.0</v>
      </c>
      <c r="M269" s="18">
        <v>54659.6</v>
      </c>
      <c r="N269" s="18">
        <v>1.46094</v>
      </c>
      <c r="O269" s="18">
        <v>3600.0</v>
      </c>
    </row>
    <row r="270">
      <c r="A270" s="8" t="s">
        <v>366</v>
      </c>
      <c r="B270" s="9">
        <v>35.0</v>
      </c>
      <c r="C270" s="14" t="s">
        <v>234</v>
      </c>
      <c r="D270" s="9">
        <v>75.0</v>
      </c>
      <c r="E270" s="10">
        <v>2.0</v>
      </c>
      <c r="F270" s="9">
        <v>3.0</v>
      </c>
      <c r="G270" s="9">
        <v>0.0</v>
      </c>
      <c r="H270" s="9">
        <v>1.0</v>
      </c>
      <c r="I270" s="9">
        <v>0.0</v>
      </c>
      <c r="J270" s="17">
        <v>63027.0</v>
      </c>
      <c r="K270" s="18">
        <v>56674.8</v>
      </c>
      <c r="L270" s="17">
        <v>57403.0</v>
      </c>
      <c r="M270" s="18">
        <v>56792.5</v>
      </c>
      <c r="N270" s="18">
        <v>1.06357</v>
      </c>
      <c r="O270" s="18">
        <v>3600.0</v>
      </c>
    </row>
    <row r="271">
      <c r="A271" s="8" t="s">
        <v>367</v>
      </c>
      <c r="B271" s="9">
        <v>35.0</v>
      </c>
      <c r="C271" s="14" t="s">
        <v>234</v>
      </c>
      <c r="D271" s="9">
        <v>75.0</v>
      </c>
      <c r="E271" s="10">
        <v>2.0</v>
      </c>
      <c r="F271" s="9">
        <v>4.0</v>
      </c>
      <c r="G271" s="9">
        <v>0.0</v>
      </c>
      <c r="H271" s="9">
        <v>1.0</v>
      </c>
      <c r="I271" s="9">
        <v>0.0</v>
      </c>
      <c r="J271" s="17">
        <v>66551.0</v>
      </c>
      <c r="K271" s="18">
        <v>59926.9</v>
      </c>
      <c r="L271" s="17">
        <v>60957.0</v>
      </c>
      <c r="M271" s="18">
        <v>60052.1</v>
      </c>
      <c r="N271" s="18">
        <v>1.48456</v>
      </c>
      <c r="O271" s="18">
        <v>3600.0</v>
      </c>
    </row>
    <row r="272">
      <c r="A272" s="8" t="s">
        <v>368</v>
      </c>
      <c r="B272" s="9">
        <v>35.0</v>
      </c>
      <c r="C272" s="14" t="s">
        <v>234</v>
      </c>
      <c r="D272" s="9">
        <v>75.0</v>
      </c>
      <c r="E272" s="10">
        <v>2.0</v>
      </c>
      <c r="F272" s="9">
        <v>5.0</v>
      </c>
      <c r="G272" s="9">
        <v>0.0</v>
      </c>
      <c r="H272" s="9">
        <v>1.0</v>
      </c>
      <c r="I272" s="9">
        <v>0.0</v>
      </c>
      <c r="J272" s="17">
        <v>61605.0</v>
      </c>
      <c r="K272" s="18">
        <v>55338.1</v>
      </c>
      <c r="L272" s="17">
        <v>56016.0</v>
      </c>
      <c r="M272" s="18">
        <v>55419.4</v>
      </c>
      <c r="N272" s="18">
        <v>1.0651</v>
      </c>
      <c r="O272" s="18">
        <v>3600.0</v>
      </c>
    </row>
    <row r="273">
      <c r="A273" s="8" t="s">
        <v>459</v>
      </c>
      <c r="B273" s="9">
        <v>25.0</v>
      </c>
      <c r="C273" s="9" t="s">
        <v>460</v>
      </c>
      <c r="D273" s="9">
        <v>25.0</v>
      </c>
      <c r="E273" s="10">
        <v>0.6</v>
      </c>
      <c r="F273" s="9">
        <v>1.0</v>
      </c>
      <c r="G273" s="9">
        <v>1.0</v>
      </c>
      <c r="H273" s="9">
        <v>0.0</v>
      </c>
      <c r="I273" s="9">
        <v>0.0</v>
      </c>
      <c r="J273" s="17">
        <v>-1686.0</v>
      </c>
      <c r="K273" s="18">
        <v>-3104.65</v>
      </c>
      <c r="L273" s="17">
        <v>-2193.0</v>
      </c>
      <c r="M273" s="18">
        <v>-2193.0</v>
      </c>
      <c r="N273" s="18">
        <v>0.0</v>
      </c>
      <c r="O273" s="18">
        <v>122.033</v>
      </c>
    </row>
    <row r="274">
      <c r="A274" s="8" t="s">
        <v>461</v>
      </c>
      <c r="B274" s="9">
        <v>25.0</v>
      </c>
      <c r="C274" s="9" t="s">
        <v>460</v>
      </c>
      <c r="D274" s="9">
        <v>25.0</v>
      </c>
      <c r="E274" s="10">
        <v>0.6</v>
      </c>
      <c r="F274" s="9">
        <v>2.0</v>
      </c>
      <c r="G274" s="9">
        <v>1.0</v>
      </c>
      <c r="H274" s="9">
        <v>0.0</v>
      </c>
      <c r="I274" s="9">
        <v>0.0</v>
      </c>
      <c r="J274" s="17">
        <v>-1623.0</v>
      </c>
      <c r="K274" s="18">
        <v>-2629.37</v>
      </c>
      <c r="L274" s="17">
        <v>-2087.0</v>
      </c>
      <c r="M274" s="18">
        <v>-2087.0</v>
      </c>
      <c r="N274" s="18">
        <v>0.0</v>
      </c>
      <c r="O274" s="18">
        <v>33.269</v>
      </c>
    </row>
    <row r="275">
      <c r="A275" s="8" t="s">
        <v>462</v>
      </c>
      <c r="B275" s="9">
        <v>25.0</v>
      </c>
      <c r="C275" s="9" t="s">
        <v>460</v>
      </c>
      <c r="D275" s="9">
        <v>25.0</v>
      </c>
      <c r="E275" s="10">
        <v>0.6</v>
      </c>
      <c r="F275" s="9">
        <v>3.0</v>
      </c>
      <c r="G275" s="9">
        <v>1.0</v>
      </c>
      <c r="H275" s="9">
        <v>0.0</v>
      </c>
      <c r="I275" s="9">
        <v>0.0</v>
      </c>
      <c r="J275" s="17">
        <v>114.0</v>
      </c>
      <c r="K275" s="18">
        <v>-2636.98</v>
      </c>
      <c r="L275" s="17">
        <v>-2022.0</v>
      </c>
      <c r="M275" s="18">
        <v>-2022.0</v>
      </c>
      <c r="N275" s="18">
        <v>0.0</v>
      </c>
      <c r="O275" s="18">
        <v>94.118</v>
      </c>
    </row>
    <row r="276">
      <c r="A276" s="8" t="s">
        <v>463</v>
      </c>
      <c r="B276" s="9">
        <v>25.0</v>
      </c>
      <c r="C276" s="9" t="s">
        <v>460</v>
      </c>
      <c r="D276" s="9">
        <v>25.0</v>
      </c>
      <c r="E276" s="10">
        <v>0.6</v>
      </c>
      <c r="F276" s="9">
        <v>4.0</v>
      </c>
      <c r="G276" s="9">
        <v>1.0</v>
      </c>
      <c r="H276" s="9">
        <v>0.0</v>
      </c>
      <c r="I276" s="9">
        <v>0.0</v>
      </c>
      <c r="J276" s="17">
        <v>-1592.0</v>
      </c>
      <c r="K276" s="18">
        <v>-2793.32</v>
      </c>
      <c r="L276" s="17">
        <v>-2079.0</v>
      </c>
      <c r="M276" s="18">
        <v>-2079.0</v>
      </c>
      <c r="N276" s="18">
        <v>0.0</v>
      </c>
      <c r="O276" s="18">
        <v>232.288</v>
      </c>
    </row>
    <row r="277">
      <c r="A277" s="8" t="s">
        <v>464</v>
      </c>
      <c r="B277" s="9">
        <v>25.0</v>
      </c>
      <c r="C277" s="9" t="s">
        <v>460</v>
      </c>
      <c r="D277" s="9">
        <v>25.0</v>
      </c>
      <c r="E277" s="10">
        <v>0.6</v>
      </c>
      <c r="F277" s="9">
        <v>5.0</v>
      </c>
      <c r="G277" s="9">
        <v>1.0</v>
      </c>
      <c r="H277" s="9">
        <v>0.0</v>
      </c>
      <c r="I277" s="9">
        <v>0.0</v>
      </c>
      <c r="J277" s="17">
        <v>-1627.0</v>
      </c>
      <c r="K277" s="18">
        <v>-3400.28</v>
      </c>
      <c r="L277" s="17">
        <v>-2427.0</v>
      </c>
      <c r="M277" s="18">
        <v>-2427.0</v>
      </c>
      <c r="N277" s="18">
        <v>0.0</v>
      </c>
      <c r="O277" s="18">
        <v>203.164</v>
      </c>
    </row>
    <row r="278">
      <c r="A278" s="8" t="s">
        <v>465</v>
      </c>
      <c r="B278" s="9">
        <v>25.0</v>
      </c>
      <c r="C278" s="9" t="s">
        <v>460</v>
      </c>
      <c r="D278" s="9">
        <v>25.0</v>
      </c>
      <c r="E278" s="10">
        <v>1.0</v>
      </c>
      <c r="F278" s="9">
        <v>1.0</v>
      </c>
      <c r="G278" s="9">
        <v>0.0</v>
      </c>
      <c r="H278" s="9">
        <v>1.0</v>
      </c>
      <c r="I278" s="9">
        <v>0.0</v>
      </c>
      <c r="J278" s="17">
        <v>1755.0</v>
      </c>
      <c r="K278" s="18">
        <v>-1178.63</v>
      </c>
      <c r="L278" s="17">
        <v>-226.0</v>
      </c>
      <c r="M278" s="18">
        <v>-579.662</v>
      </c>
      <c r="N278" s="18">
        <v>156.488</v>
      </c>
      <c r="O278" s="18">
        <v>3600.0</v>
      </c>
    </row>
    <row r="279">
      <c r="A279" s="8" t="s">
        <v>466</v>
      </c>
      <c r="B279" s="9">
        <v>25.0</v>
      </c>
      <c r="C279" s="9" t="s">
        <v>460</v>
      </c>
      <c r="D279" s="9">
        <v>25.0</v>
      </c>
      <c r="E279" s="10">
        <v>1.0</v>
      </c>
      <c r="F279" s="9">
        <v>2.0</v>
      </c>
      <c r="G279" s="9">
        <v>1.0</v>
      </c>
      <c r="H279" s="9">
        <v>0.0</v>
      </c>
      <c r="I279" s="9">
        <v>0.0</v>
      </c>
      <c r="J279" s="17">
        <v>-74.0</v>
      </c>
      <c r="K279" s="18">
        <v>-1124.47</v>
      </c>
      <c r="L279" s="17">
        <v>-532.0</v>
      </c>
      <c r="M279" s="18">
        <v>-532.0</v>
      </c>
      <c r="N279" s="18">
        <v>0.0</v>
      </c>
      <c r="O279" s="18">
        <v>1594.59</v>
      </c>
    </row>
    <row r="280">
      <c r="A280" s="8" t="s">
        <v>467</v>
      </c>
      <c r="B280" s="9">
        <v>25.0</v>
      </c>
      <c r="C280" s="9" t="s">
        <v>460</v>
      </c>
      <c r="D280" s="9">
        <v>25.0</v>
      </c>
      <c r="E280" s="10">
        <v>1.0</v>
      </c>
      <c r="F280" s="9">
        <v>3.0</v>
      </c>
      <c r="G280" s="9">
        <v>1.0</v>
      </c>
      <c r="H280" s="9">
        <v>0.0</v>
      </c>
      <c r="I280" s="9">
        <v>0.0</v>
      </c>
      <c r="J280" s="17">
        <v>0.0</v>
      </c>
      <c r="K280" s="18">
        <v>-1152.11</v>
      </c>
      <c r="L280" s="17">
        <v>-516.0</v>
      </c>
      <c r="M280" s="18">
        <v>-516.0</v>
      </c>
      <c r="N280" s="18">
        <v>0.0</v>
      </c>
      <c r="O280" s="18">
        <v>2124.84</v>
      </c>
    </row>
    <row r="281">
      <c r="A281" s="8" t="s">
        <v>468</v>
      </c>
      <c r="B281" s="9">
        <v>25.0</v>
      </c>
      <c r="C281" s="9" t="s">
        <v>460</v>
      </c>
      <c r="D281" s="9">
        <v>25.0</v>
      </c>
      <c r="E281" s="10">
        <v>1.0</v>
      </c>
      <c r="F281" s="9">
        <v>4.0</v>
      </c>
      <c r="G281" s="9">
        <v>0.0</v>
      </c>
      <c r="H281" s="9">
        <v>1.0</v>
      </c>
      <c r="I281" s="9">
        <v>0.0</v>
      </c>
      <c r="J281" s="17">
        <v>242.0</v>
      </c>
      <c r="K281" s="18">
        <v>-1174.58</v>
      </c>
      <c r="L281" s="17">
        <v>-375.0</v>
      </c>
      <c r="M281" s="18">
        <v>-510.449</v>
      </c>
      <c r="N281" s="18">
        <v>36.1198</v>
      </c>
      <c r="O281" s="18">
        <v>3600.0</v>
      </c>
    </row>
    <row r="282">
      <c r="A282" s="8" t="s">
        <v>469</v>
      </c>
      <c r="B282" s="9">
        <v>25.0</v>
      </c>
      <c r="C282" s="9" t="s">
        <v>460</v>
      </c>
      <c r="D282" s="9">
        <v>25.0</v>
      </c>
      <c r="E282" s="10">
        <v>1.0</v>
      </c>
      <c r="F282" s="9">
        <v>5.0</v>
      </c>
      <c r="G282" s="9">
        <v>0.0</v>
      </c>
      <c r="H282" s="9">
        <v>1.0</v>
      </c>
      <c r="I282" s="9">
        <v>0.0</v>
      </c>
      <c r="J282" s="17">
        <v>12.0</v>
      </c>
      <c r="K282" s="18">
        <v>-1243.54</v>
      </c>
      <c r="L282" s="17">
        <v>-350.0</v>
      </c>
      <c r="M282" s="18">
        <v>-491.714</v>
      </c>
      <c r="N282" s="18">
        <v>40.4898</v>
      </c>
      <c r="O282" s="18">
        <v>3600.0</v>
      </c>
    </row>
    <row r="283">
      <c r="A283" s="8" t="s">
        <v>470</v>
      </c>
      <c r="B283" s="9">
        <v>25.0</v>
      </c>
      <c r="C283" s="9" t="s">
        <v>460</v>
      </c>
      <c r="D283" s="9">
        <v>25.0</v>
      </c>
      <c r="E283" s="10">
        <v>2.0</v>
      </c>
      <c r="F283" s="9">
        <v>1.0</v>
      </c>
      <c r="G283" s="9">
        <v>1.0</v>
      </c>
      <c r="H283" s="9">
        <v>0.0</v>
      </c>
      <c r="I283" s="9">
        <v>0.0</v>
      </c>
      <c r="J283" s="17">
        <v>18971.0</v>
      </c>
      <c r="K283" s="18">
        <v>17964.8</v>
      </c>
      <c r="L283" s="17">
        <v>18775.0</v>
      </c>
      <c r="M283" s="18">
        <v>18775.0</v>
      </c>
      <c r="N283" s="18">
        <v>0.0</v>
      </c>
      <c r="O283" s="18">
        <v>0.629</v>
      </c>
    </row>
    <row r="284">
      <c r="A284" s="8" t="s">
        <v>471</v>
      </c>
      <c r="B284" s="9">
        <v>25.0</v>
      </c>
      <c r="C284" s="9" t="s">
        <v>460</v>
      </c>
      <c r="D284" s="9">
        <v>25.0</v>
      </c>
      <c r="E284" s="10">
        <v>2.0</v>
      </c>
      <c r="F284" s="9">
        <v>2.0</v>
      </c>
      <c r="G284" s="9">
        <v>1.0</v>
      </c>
      <c r="H284" s="9">
        <v>0.0</v>
      </c>
      <c r="I284" s="9">
        <v>0.0</v>
      </c>
      <c r="J284" s="17">
        <v>17134.0</v>
      </c>
      <c r="K284" s="18">
        <v>17042.9</v>
      </c>
      <c r="L284" s="17">
        <v>17134.0</v>
      </c>
      <c r="M284" s="18">
        <v>17134.0</v>
      </c>
      <c r="N284" s="18">
        <v>0.0</v>
      </c>
      <c r="O284" s="18">
        <v>0.803</v>
      </c>
    </row>
    <row r="285">
      <c r="A285" s="8" t="s">
        <v>472</v>
      </c>
      <c r="B285" s="9">
        <v>25.0</v>
      </c>
      <c r="C285" s="9" t="s">
        <v>460</v>
      </c>
      <c r="D285" s="9">
        <v>25.0</v>
      </c>
      <c r="E285" s="10">
        <v>2.0</v>
      </c>
      <c r="F285" s="9">
        <v>3.0</v>
      </c>
      <c r="G285" s="9">
        <v>1.0</v>
      </c>
      <c r="H285" s="9">
        <v>0.0</v>
      </c>
      <c r="I285" s="9">
        <v>0.0</v>
      </c>
      <c r="J285" s="17">
        <v>16515.0</v>
      </c>
      <c r="K285" s="18">
        <v>14681.5</v>
      </c>
      <c r="L285" s="17">
        <v>15104.0</v>
      </c>
      <c r="M285" s="18">
        <v>15104.0</v>
      </c>
      <c r="N285" s="18">
        <v>0.0</v>
      </c>
      <c r="O285" s="18">
        <v>17.794</v>
      </c>
    </row>
    <row r="286">
      <c r="A286" s="8" t="s">
        <v>473</v>
      </c>
      <c r="B286" s="9">
        <v>25.0</v>
      </c>
      <c r="C286" s="9" t="s">
        <v>460</v>
      </c>
      <c r="D286" s="9">
        <v>25.0</v>
      </c>
      <c r="E286" s="10">
        <v>2.0</v>
      </c>
      <c r="F286" s="9">
        <v>4.0</v>
      </c>
      <c r="G286" s="9">
        <v>1.0</v>
      </c>
      <c r="H286" s="9">
        <v>0.0</v>
      </c>
      <c r="I286" s="9">
        <v>0.0</v>
      </c>
      <c r="J286" s="17">
        <v>17709.0</v>
      </c>
      <c r="K286" s="18">
        <v>15924.9</v>
      </c>
      <c r="L286" s="17">
        <v>16247.0</v>
      </c>
      <c r="M286" s="18">
        <v>16247.0</v>
      </c>
      <c r="N286" s="18">
        <v>0.0</v>
      </c>
      <c r="O286" s="18">
        <v>19.611</v>
      </c>
    </row>
    <row r="287">
      <c r="A287" s="8" t="s">
        <v>474</v>
      </c>
      <c r="B287" s="9">
        <v>25.0</v>
      </c>
      <c r="C287" s="9" t="s">
        <v>460</v>
      </c>
      <c r="D287" s="9">
        <v>25.0</v>
      </c>
      <c r="E287" s="10">
        <v>2.0</v>
      </c>
      <c r="F287" s="9">
        <v>5.0</v>
      </c>
      <c r="G287" s="9">
        <v>1.0</v>
      </c>
      <c r="H287" s="9">
        <v>0.0</v>
      </c>
      <c r="I287" s="9">
        <v>0.0</v>
      </c>
      <c r="J287" s="17">
        <v>20919.0</v>
      </c>
      <c r="K287" s="18">
        <v>18745.0</v>
      </c>
      <c r="L287" s="17">
        <v>19127.0</v>
      </c>
      <c r="M287" s="18">
        <v>19127.0</v>
      </c>
      <c r="N287" s="18">
        <v>0.0</v>
      </c>
      <c r="O287" s="18">
        <v>10.448</v>
      </c>
    </row>
    <row r="288">
      <c r="A288" s="8" t="s">
        <v>475</v>
      </c>
      <c r="B288" s="9">
        <v>25.0</v>
      </c>
      <c r="C288" s="9" t="s">
        <v>460</v>
      </c>
      <c r="D288" s="9">
        <v>50.0</v>
      </c>
      <c r="E288" s="10">
        <v>0.6</v>
      </c>
      <c r="F288" s="9">
        <v>1.0</v>
      </c>
      <c r="G288" s="9">
        <v>1.0</v>
      </c>
      <c r="H288" s="9">
        <v>0.0</v>
      </c>
      <c r="I288" s="9">
        <v>0.0</v>
      </c>
      <c r="J288" s="17">
        <v>-2464.0</v>
      </c>
      <c r="K288" s="18">
        <v>-5304.04</v>
      </c>
      <c r="L288" s="17">
        <v>-3641.0</v>
      </c>
      <c r="M288" s="18">
        <v>-3641.0</v>
      </c>
      <c r="N288" s="18">
        <v>0.0</v>
      </c>
      <c r="O288" s="18">
        <v>2362.02</v>
      </c>
    </row>
    <row r="289">
      <c r="A289" s="8" t="s">
        <v>476</v>
      </c>
      <c r="B289" s="9">
        <v>25.0</v>
      </c>
      <c r="C289" s="9" t="s">
        <v>460</v>
      </c>
      <c r="D289" s="9">
        <v>50.0</v>
      </c>
      <c r="E289" s="10">
        <v>0.6</v>
      </c>
      <c r="F289" s="9">
        <v>2.0</v>
      </c>
      <c r="G289" s="9">
        <v>1.0</v>
      </c>
      <c r="H289" s="9">
        <v>0.0</v>
      </c>
      <c r="I289" s="9">
        <v>0.0</v>
      </c>
      <c r="J289" s="17">
        <v>-2472.0</v>
      </c>
      <c r="K289" s="18">
        <v>-5003.31</v>
      </c>
      <c r="L289" s="17">
        <v>-3462.0</v>
      </c>
      <c r="M289" s="18">
        <v>-3462.0</v>
      </c>
      <c r="N289" s="18">
        <v>0.0</v>
      </c>
      <c r="O289" s="18">
        <v>735.725</v>
      </c>
    </row>
    <row r="290">
      <c r="A290" s="8" t="s">
        <v>477</v>
      </c>
      <c r="B290" s="9">
        <v>25.0</v>
      </c>
      <c r="C290" s="9" t="s">
        <v>460</v>
      </c>
      <c r="D290" s="9">
        <v>50.0</v>
      </c>
      <c r="E290" s="10">
        <v>0.6</v>
      </c>
      <c r="F290" s="9">
        <v>3.0</v>
      </c>
      <c r="G290" s="9">
        <v>1.0</v>
      </c>
      <c r="H290" s="9">
        <v>0.0</v>
      </c>
      <c r="I290" s="9">
        <v>0.0</v>
      </c>
      <c r="J290" s="17">
        <v>-1892.0</v>
      </c>
      <c r="K290" s="18">
        <v>-4803.81</v>
      </c>
      <c r="L290" s="17">
        <v>-3379.0</v>
      </c>
      <c r="M290" s="18">
        <v>-3379.0</v>
      </c>
      <c r="N290" s="18">
        <v>0.0</v>
      </c>
      <c r="O290" s="18">
        <v>688.536</v>
      </c>
    </row>
    <row r="291">
      <c r="A291" s="8" t="s">
        <v>478</v>
      </c>
      <c r="B291" s="9">
        <v>25.0</v>
      </c>
      <c r="C291" s="9" t="s">
        <v>460</v>
      </c>
      <c r="D291" s="9">
        <v>50.0</v>
      </c>
      <c r="E291" s="10">
        <v>0.6</v>
      </c>
      <c r="F291" s="9">
        <v>4.0</v>
      </c>
      <c r="G291" s="9">
        <v>1.0</v>
      </c>
      <c r="H291" s="9">
        <v>0.0</v>
      </c>
      <c r="I291" s="9">
        <v>0.0</v>
      </c>
      <c r="J291" s="17">
        <v>-1790.0</v>
      </c>
      <c r="K291" s="18">
        <v>-5327.5</v>
      </c>
      <c r="L291" s="17">
        <v>-3528.0</v>
      </c>
      <c r="M291" s="18">
        <v>-3528.0</v>
      </c>
      <c r="N291" s="18">
        <v>0.0</v>
      </c>
      <c r="O291" s="18">
        <v>2417.24</v>
      </c>
    </row>
    <row r="292">
      <c r="A292" s="8" t="s">
        <v>479</v>
      </c>
      <c r="B292" s="9">
        <v>25.0</v>
      </c>
      <c r="C292" s="9" t="s">
        <v>460</v>
      </c>
      <c r="D292" s="9">
        <v>50.0</v>
      </c>
      <c r="E292" s="10">
        <v>0.6</v>
      </c>
      <c r="F292" s="9">
        <v>5.0</v>
      </c>
      <c r="G292" s="9">
        <v>0.0</v>
      </c>
      <c r="H292" s="9">
        <v>1.0</v>
      </c>
      <c r="I292" s="9">
        <v>0.0</v>
      </c>
      <c r="J292" s="17">
        <v>-2113.0</v>
      </c>
      <c r="K292" s="18">
        <v>-5190.74</v>
      </c>
      <c r="L292" s="17">
        <v>-3527.0</v>
      </c>
      <c r="M292" s="18">
        <v>-3708.85</v>
      </c>
      <c r="N292" s="18">
        <v>5.15606</v>
      </c>
      <c r="O292" s="18">
        <v>3600.0</v>
      </c>
    </row>
    <row r="293">
      <c r="A293" s="8" t="s">
        <v>480</v>
      </c>
      <c r="B293" s="9">
        <v>25.0</v>
      </c>
      <c r="C293" s="9" t="s">
        <v>460</v>
      </c>
      <c r="D293" s="9">
        <v>50.0</v>
      </c>
      <c r="E293" s="10">
        <v>1.0</v>
      </c>
      <c r="F293" s="9">
        <v>1.0</v>
      </c>
      <c r="G293" s="9">
        <v>0.0</v>
      </c>
      <c r="H293" s="9">
        <v>1.0</v>
      </c>
      <c r="I293" s="9">
        <v>0.0</v>
      </c>
      <c r="J293" s="17">
        <v>1192.0</v>
      </c>
      <c r="K293" s="18">
        <v>-1176.56</v>
      </c>
      <c r="L293" s="17">
        <v>34.0</v>
      </c>
      <c r="M293" s="18">
        <v>-247.597</v>
      </c>
      <c r="N293" s="18">
        <v>828.226</v>
      </c>
      <c r="O293" s="18">
        <v>3600.0</v>
      </c>
    </row>
    <row r="294">
      <c r="A294" s="8" t="s">
        <v>481</v>
      </c>
      <c r="B294" s="9">
        <v>25.0</v>
      </c>
      <c r="C294" s="9" t="s">
        <v>460</v>
      </c>
      <c r="D294" s="9">
        <v>50.0</v>
      </c>
      <c r="E294" s="10">
        <v>1.0</v>
      </c>
      <c r="F294" s="9">
        <v>2.0</v>
      </c>
      <c r="G294" s="9">
        <v>0.0</v>
      </c>
      <c r="H294" s="9">
        <v>1.0</v>
      </c>
      <c r="I294" s="9">
        <v>0.0</v>
      </c>
      <c r="J294" s="17">
        <v>4427.0</v>
      </c>
      <c r="K294" s="18">
        <v>-1046.36</v>
      </c>
      <c r="L294" s="17">
        <v>11.0</v>
      </c>
      <c r="M294" s="18">
        <v>-215.942</v>
      </c>
      <c r="N294" s="18">
        <v>2063.11</v>
      </c>
      <c r="O294" s="18">
        <v>3600.0</v>
      </c>
    </row>
    <row r="295">
      <c r="A295" s="8" t="s">
        <v>482</v>
      </c>
      <c r="B295" s="9">
        <v>25.0</v>
      </c>
      <c r="C295" s="9" t="s">
        <v>460</v>
      </c>
      <c r="D295" s="9">
        <v>50.0</v>
      </c>
      <c r="E295" s="10">
        <v>1.0</v>
      </c>
      <c r="F295" s="9">
        <v>3.0</v>
      </c>
      <c r="G295" s="9">
        <v>0.0</v>
      </c>
      <c r="H295" s="9">
        <v>1.0</v>
      </c>
      <c r="I295" s="9">
        <v>0.0</v>
      </c>
      <c r="J295" s="17">
        <v>1108.0</v>
      </c>
      <c r="K295" s="18">
        <v>-1023.03</v>
      </c>
      <c r="L295" s="17">
        <v>353.0</v>
      </c>
      <c r="M295" s="18">
        <v>-311.137</v>
      </c>
      <c r="N295" s="18">
        <v>188.141</v>
      </c>
      <c r="O295" s="18">
        <v>3600.0</v>
      </c>
    </row>
    <row r="296">
      <c r="A296" s="8" t="s">
        <v>483</v>
      </c>
      <c r="B296" s="9">
        <v>25.0</v>
      </c>
      <c r="C296" s="9" t="s">
        <v>460</v>
      </c>
      <c r="D296" s="9">
        <v>50.0</v>
      </c>
      <c r="E296" s="10">
        <v>1.0</v>
      </c>
      <c r="F296" s="9">
        <v>4.0</v>
      </c>
      <c r="G296" s="9">
        <v>0.0</v>
      </c>
      <c r="H296" s="9">
        <v>1.0</v>
      </c>
      <c r="I296" s="9">
        <v>0.0</v>
      </c>
      <c r="J296" s="17">
        <v>1476.0</v>
      </c>
      <c r="K296" s="18">
        <v>-1169.49</v>
      </c>
      <c r="L296" s="17">
        <v>397.0</v>
      </c>
      <c r="M296" s="18">
        <v>-400.686</v>
      </c>
      <c r="N296" s="18">
        <v>200.929</v>
      </c>
      <c r="O296" s="18">
        <v>3600.0</v>
      </c>
    </row>
    <row r="297">
      <c r="A297" s="8" t="s">
        <v>484</v>
      </c>
      <c r="B297" s="9">
        <v>25.0</v>
      </c>
      <c r="C297" s="9" t="s">
        <v>460</v>
      </c>
      <c r="D297" s="9">
        <v>50.0</v>
      </c>
      <c r="E297" s="10">
        <v>1.0</v>
      </c>
      <c r="F297" s="9">
        <v>5.0</v>
      </c>
      <c r="G297" s="9">
        <v>0.0</v>
      </c>
      <c r="H297" s="9">
        <v>1.0</v>
      </c>
      <c r="I297" s="9">
        <v>0.0</v>
      </c>
      <c r="J297" s="17">
        <v>967.0</v>
      </c>
      <c r="K297" s="18">
        <v>-956.891</v>
      </c>
      <c r="L297" s="17">
        <v>62.0</v>
      </c>
      <c r="M297" s="18">
        <v>-309.168</v>
      </c>
      <c r="N297" s="18">
        <v>598.659</v>
      </c>
      <c r="O297" s="18">
        <v>3600.0</v>
      </c>
    </row>
    <row r="298">
      <c r="A298" s="8" t="s">
        <v>485</v>
      </c>
      <c r="B298" s="9">
        <v>25.0</v>
      </c>
      <c r="C298" s="9" t="s">
        <v>460</v>
      </c>
      <c r="D298" s="9">
        <v>50.0</v>
      </c>
      <c r="E298" s="10">
        <v>2.0</v>
      </c>
      <c r="F298" s="9">
        <v>1.0</v>
      </c>
      <c r="G298" s="9">
        <v>1.0</v>
      </c>
      <c r="H298" s="9">
        <v>0.0</v>
      </c>
      <c r="I298" s="9">
        <v>0.0</v>
      </c>
      <c r="J298" s="17">
        <v>36218.0</v>
      </c>
      <c r="K298" s="18">
        <v>35833.2</v>
      </c>
      <c r="L298" s="17">
        <v>36116.0</v>
      </c>
      <c r="M298" s="18">
        <v>36116.0</v>
      </c>
      <c r="N298" s="18">
        <v>0.0</v>
      </c>
      <c r="O298" s="18">
        <v>6.955</v>
      </c>
    </row>
    <row r="299">
      <c r="A299" s="8" t="s">
        <v>486</v>
      </c>
      <c r="B299" s="9">
        <v>25.0</v>
      </c>
      <c r="C299" s="9" t="s">
        <v>460</v>
      </c>
      <c r="D299" s="9">
        <v>50.0</v>
      </c>
      <c r="E299" s="10">
        <v>2.0</v>
      </c>
      <c r="F299" s="9">
        <v>2.0</v>
      </c>
      <c r="G299" s="9">
        <v>1.0</v>
      </c>
      <c r="H299" s="9">
        <v>0.0</v>
      </c>
      <c r="I299" s="9">
        <v>0.0</v>
      </c>
      <c r="J299" s="17">
        <v>38064.0</v>
      </c>
      <c r="K299" s="18">
        <v>37750.3</v>
      </c>
      <c r="L299" s="17">
        <v>37996.0</v>
      </c>
      <c r="M299" s="18">
        <v>37996.0</v>
      </c>
      <c r="N299" s="18">
        <v>0.0</v>
      </c>
      <c r="O299" s="18">
        <v>3.373</v>
      </c>
    </row>
    <row r="300">
      <c r="A300" s="8" t="s">
        <v>487</v>
      </c>
      <c r="B300" s="9">
        <v>25.0</v>
      </c>
      <c r="C300" s="9" t="s">
        <v>460</v>
      </c>
      <c r="D300" s="9">
        <v>50.0</v>
      </c>
      <c r="E300" s="10">
        <v>2.0</v>
      </c>
      <c r="F300" s="9">
        <v>3.0</v>
      </c>
      <c r="G300" s="9">
        <v>0.0</v>
      </c>
      <c r="H300" s="9">
        <v>1.0</v>
      </c>
      <c r="I300" s="9">
        <v>0.0</v>
      </c>
      <c r="J300" s="17">
        <v>35820.0</v>
      </c>
      <c r="K300" s="18">
        <v>32349.3</v>
      </c>
      <c r="L300" s="17">
        <v>35467.0</v>
      </c>
      <c r="M300" s="18">
        <v>33474.0</v>
      </c>
      <c r="N300" s="18">
        <v>5.61941</v>
      </c>
      <c r="O300" s="18">
        <v>3600.0</v>
      </c>
    </row>
    <row r="301">
      <c r="A301" s="8" t="s">
        <v>488</v>
      </c>
      <c r="B301" s="9">
        <v>25.0</v>
      </c>
      <c r="C301" s="9" t="s">
        <v>460</v>
      </c>
      <c r="D301" s="9">
        <v>50.0</v>
      </c>
      <c r="E301" s="10">
        <v>2.0</v>
      </c>
      <c r="F301" s="9">
        <v>4.0</v>
      </c>
      <c r="G301" s="9">
        <v>1.0</v>
      </c>
      <c r="H301" s="9">
        <v>0.0</v>
      </c>
      <c r="I301" s="9">
        <v>0.0</v>
      </c>
      <c r="J301" s="17">
        <v>38918.0</v>
      </c>
      <c r="K301" s="18">
        <v>35359.3</v>
      </c>
      <c r="L301" s="17">
        <v>38535.0</v>
      </c>
      <c r="M301" s="18">
        <v>38535.0</v>
      </c>
      <c r="N301" s="18">
        <v>0.0</v>
      </c>
      <c r="O301" s="18">
        <v>1432.21</v>
      </c>
    </row>
    <row r="302">
      <c r="A302" s="8" t="s">
        <v>489</v>
      </c>
      <c r="B302" s="9">
        <v>25.0</v>
      </c>
      <c r="C302" s="9" t="s">
        <v>460</v>
      </c>
      <c r="D302" s="9">
        <v>50.0</v>
      </c>
      <c r="E302" s="10">
        <v>2.0</v>
      </c>
      <c r="F302" s="9">
        <v>5.0</v>
      </c>
      <c r="G302" s="9">
        <v>1.0</v>
      </c>
      <c r="H302" s="9">
        <v>0.0</v>
      </c>
      <c r="I302" s="9">
        <v>0.0</v>
      </c>
      <c r="J302" s="17">
        <v>36040.0</v>
      </c>
      <c r="K302" s="18">
        <v>35124.2</v>
      </c>
      <c r="L302" s="17">
        <v>35714.0</v>
      </c>
      <c r="M302" s="18">
        <v>35714.0</v>
      </c>
      <c r="N302" s="18">
        <v>0.0</v>
      </c>
      <c r="O302" s="18">
        <v>6.987</v>
      </c>
    </row>
    <row r="303">
      <c r="A303" s="8" t="s">
        <v>490</v>
      </c>
      <c r="B303" s="9">
        <v>25.0</v>
      </c>
      <c r="C303" s="9" t="s">
        <v>460</v>
      </c>
      <c r="D303" s="9">
        <v>75.0</v>
      </c>
      <c r="E303" s="10">
        <v>0.6</v>
      </c>
      <c r="F303" s="9">
        <v>1.0</v>
      </c>
      <c r="G303" s="9">
        <v>1.0</v>
      </c>
      <c r="H303" s="9">
        <v>0.0</v>
      </c>
      <c r="I303" s="9">
        <v>0.0</v>
      </c>
      <c r="J303" s="17">
        <v>-3621.0</v>
      </c>
      <c r="K303" s="18">
        <v>-5930.16</v>
      </c>
      <c r="L303" s="17">
        <v>-4328.0</v>
      </c>
      <c r="M303" s="18">
        <v>-4328.0</v>
      </c>
      <c r="N303" s="18">
        <v>0.0</v>
      </c>
      <c r="O303" s="18">
        <v>3475.5</v>
      </c>
    </row>
    <row r="304">
      <c r="A304" s="8" t="s">
        <v>491</v>
      </c>
      <c r="B304" s="9">
        <v>25.0</v>
      </c>
      <c r="C304" s="9" t="s">
        <v>460</v>
      </c>
      <c r="D304" s="9">
        <v>75.0</v>
      </c>
      <c r="E304" s="10">
        <v>0.6</v>
      </c>
      <c r="F304" s="9">
        <v>2.0</v>
      </c>
      <c r="G304" s="9">
        <v>1.0</v>
      </c>
      <c r="H304" s="9">
        <v>0.0</v>
      </c>
      <c r="I304" s="9">
        <v>0.0</v>
      </c>
      <c r="J304" s="17">
        <v>-3631.0</v>
      </c>
      <c r="K304" s="18">
        <v>-6042.34</v>
      </c>
      <c r="L304" s="17">
        <v>-4666.0</v>
      </c>
      <c r="M304" s="18">
        <v>-4666.0</v>
      </c>
      <c r="N304" s="18">
        <v>0.0</v>
      </c>
      <c r="O304" s="18">
        <v>379.236</v>
      </c>
    </row>
    <row r="305">
      <c r="A305" s="8" t="s">
        <v>492</v>
      </c>
      <c r="B305" s="9">
        <v>25.0</v>
      </c>
      <c r="C305" s="9" t="s">
        <v>460</v>
      </c>
      <c r="D305" s="9">
        <v>75.0</v>
      </c>
      <c r="E305" s="10">
        <v>0.6</v>
      </c>
      <c r="F305" s="9">
        <v>3.0</v>
      </c>
      <c r="G305" s="9">
        <v>0.0</v>
      </c>
      <c r="H305" s="9">
        <v>1.0</v>
      </c>
      <c r="I305" s="9">
        <v>0.0</v>
      </c>
      <c r="J305" s="17">
        <v>-2897.0</v>
      </c>
      <c r="K305" s="18">
        <v>-5946.38</v>
      </c>
      <c r="L305" s="17">
        <v>-4395.0</v>
      </c>
      <c r="M305" s="18">
        <v>-4592.17</v>
      </c>
      <c r="N305" s="18">
        <v>4.48612</v>
      </c>
      <c r="O305" s="18">
        <v>3600.0</v>
      </c>
    </row>
    <row r="306">
      <c r="A306" s="8" t="s">
        <v>493</v>
      </c>
      <c r="B306" s="9">
        <v>25.0</v>
      </c>
      <c r="C306" s="9" t="s">
        <v>460</v>
      </c>
      <c r="D306" s="9">
        <v>75.0</v>
      </c>
      <c r="E306" s="10">
        <v>0.6</v>
      </c>
      <c r="F306" s="9">
        <v>4.0</v>
      </c>
      <c r="G306" s="9">
        <v>1.0</v>
      </c>
      <c r="H306" s="9">
        <v>0.0</v>
      </c>
      <c r="I306" s="9">
        <v>0.0</v>
      </c>
      <c r="J306" s="17">
        <v>-3913.0</v>
      </c>
      <c r="K306" s="18">
        <v>-6290.62</v>
      </c>
      <c r="L306" s="17">
        <v>-4935.0</v>
      </c>
      <c r="M306" s="18">
        <v>-4935.0</v>
      </c>
      <c r="N306" s="18">
        <v>0.0</v>
      </c>
      <c r="O306" s="18">
        <v>1358.48</v>
      </c>
    </row>
    <row r="307">
      <c r="A307" s="8" t="s">
        <v>494</v>
      </c>
      <c r="B307" s="9">
        <v>25.0</v>
      </c>
      <c r="C307" s="9" t="s">
        <v>460</v>
      </c>
      <c r="D307" s="9">
        <v>75.0</v>
      </c>
      <c r="E307" s="10">
        <v>0.6</v>
      </c>
      <c r="F307" s="9">
        <v>5.0</v>
      </c>
      <c r="G307" s="9">
        <v>1.0</v>
      </c>
      <c r="H307" s="9">
        <v>0.0</v>
      </c>
      <c r="I307" s="9">
        <v>0.0</v>
      </c>
      <c r="J307" s="17">
        <v>855.0</v>
      </c>
      <c r="K307" s="18">
        <v>-6248.01</v>
      </c>
      <c r="L307" s="17">
        <v>-4548.0</v>
      </c>
      <c r="M307" s="18">
        <v>-4548.0</v>
      </c>
      <c r="N307" s="18">
        <v>0.0</v>
      </c>
      <c r="O307" s="18">
        <v>2654.72</v>
      </c>
    </row>
    <row r="308">
      <c r="A308" s="8" t="s">
        <v>495</v>
      </c>
      <c r="B308" s="9">
        <v>25.0</v>
      </c>
      <c r="C308" s="9" t="s">
        <v>460</v>
      </c>
      <c r="D308" s="9">
        <v>75.0</v>
      </c>
      <c r="E308" s="10">
        <v>1.0</v>
      </c>
      <c r="F308" s="9">
        <v>1.0</v>
      </c>
      <c r="G308" s="9">
        <v>0.0</v>
      </c>
      <c r="H308" s="9">
        <v>1.0</v>
      </c>
      <c r="I308" s="9">
        <v>0.0</v>
      </c>
      <c r="J308" s="17">
        <v>1943.0</v>
      </c>
      <c r="K308" s="18">
        <v>-415.523</v>
      </c>
      <c r="L308" s="17">
        <v>758.0</v>
      </c>
      <c r="M308" s="18">
        <v>280.885</v>
      </c>
      <c r="N308" s="18">
        <v>62.9439</v>
      </c>
      <c r="O308" s="18">
        <v>3600.0</v>
      </c>
    </row>
    <row r="309">
      <c r="A309" s="8" t="s">
        <v>496</v>
      </c>
      <c r="B309" s="9">
        <v>25.0</v>
      </c>
      <c r="C309" s="9" t="s">
        <v>460</v>
      </c>
      <c r="D309" s="9">
        <v>75.0</v>
      </c>
      <c r="E309" s="10">
        <v>1.0</v>
      </c>
      <c r="F309" s="9">
        <v>2.0</v>
      </c>
      <c r="G309" s="9">
        <v>0.0</v>
      </c>
      <c r="H309" s="9">
        <v>1.0</v>
      </c>
      <c r="I309" s="9">
        <v>0.0</v>
      </c>
      <c r="J309" s="17">
        <v>1849.0</v>
      </c>
      <c r="K309" s="18">
        <v>-524.927</v>
      </c>
      <c r="L309" s="17">
        <v>579.0</v>
      </c>
      <c r="M309" s="18">
        <v>268.596</v>
      </c>
      <c r="N309" s="18">
        <v>53.6103</v>
      </c>
      <c r="O309" s="18">
        <v>3600.0</v>
      </c>
    </row>
    <row r="310">
      <c r="A310" s="8" t="s">
        <v>497</v>
      </c>
      <c r="B310" s="9">
        <v>25.0</v>
      </c>
      <c r="C310" s="9" t="s">
        <v>460</v>
      </c>
      <c r="D310" s="9">
        <v>75.0</v>
      </c>
      <c r="E310" s="10">
        <v>1.0</v>
      </c>
      <c r="F310" s="9">
        <v>3.0</v>
      </c>
      <c r="G310" s="9">
        <v>0.0</v>
      </c>
      <c r="H310" s="9">
        <v>1.0</v>
      </c>
      <c r="I310" s="9">
        <v>0.0</v>
      </c>
      <c r="J310" s="17">
        <v>2142.0</v>
      </c>
      <c r="K310" s="18">
        <v>-338.201</v>
      </c>
      <c r="L310" s="17">
        <v>750.0</v>
      </c>
      <c r="M310" s="18">
        <v>287.417</v>
      </c>
      <c r="N310" s="18">
        <v>61.6777</v>
      </c>
      <c r="O310" s="18">
        <v>3600.0</v>
      </c>
    </row>
    <row r="311">
      <c r="A311" s="8" t="s">
        <v>498</v>
      </c>
      <c r="B311" s="9">
        <v>25.0</v>
      </c>
      <c r="C311" s="9" t="s">
        <v>460</v>
      </c>
      <c r="D311" s="9">
        <v>75.0</v>
      </c>
      <c r="E311" s="10">
        <v>1.0</v>
      </c>
      <c r="F311" s="9">
        <v>4.0</v>
      </c>
      <c r="G311" s="9">
        <v>0.0</v>
      </c>
      <c r="H311" s="9">
        <v>1.0</v>
      </c>
      <c r="I311" s="9">
        <v>0.0</v>
      </c>
      <c r="J311" s="17">
        <v>7569.0</v>
      </c>
      <c r="K311" s="18">
        <v>-143.93</v>
      </c>
      <c r="L311" s="17">
        <v>881.0</v>
      </c>
      <c r="M311" s="18">
        <v>479.329</v>
      </c>
      <c r="N311" s="18">
        <v>45.5927</v>
      </c>
      <c r="O311" s="18">
        <v>3600.0</v>
      </c>
    </row>
    <row r="312">
      <c r="A312" s="8" t="s">
        <v>499</v>
      </c>
      <c r="B312" s="9">
        <v>25.0</v>
      </c>
      <c r="C312" s="9" t="s">
        <v>460</v>
      </c>
      <c r="D312" s="9">
        <v>75.0</v>
      </c>
      <c r="E312" s="10">
        <v>1.0</v>
      </c>
      <c r="F312" s="9">
        <v>5.0</v>
      </c>
      <c r="G312" s="9">
        <v>0.0</v>
      </c>
      <c r="H312" s="9">
        <v>1.0</v>
      </c>
      <c r="I312" s="9">
        <v>0.0</v>
      </c>
      <c r="J312" s="17">
        <v>2446.0</v>
      </c>
      <c r="K312" s="18">
        <v>-546.28</v>
      </c>
      <c r="L312" s="17">
        <v>381.0</v>
      </c>
      <c r="M312" s="18">
        <v>253.696</v>
      </c>
      <c r="N312" s="18">
        <v>33.4132</v>
      </c>
      <c r="O312" s="18">
        <v>3600.0</v>
      </c>
    </row>
    <row r="313">
      <c r="A313" s="8" t="s">
        <v>500</v>
      </c>
      <c r="B313" s="9">
        <v>25.0</v>
      </c>
      <c r="C313" s="9" t="s">
        <v>460</v>
      </c>
      <c r="D313" s="9">
        <v>75.0</v>
      </c>
      <c r="E313" s="10">
        <v>2.0</v>
      </c>
      <c r="F313" s="9">
        <v>1.0</v>
      </c>
      <c r="G313" s="9">
        <v>1.0</v>
      </c>
      <c r="H313" s="9">
        <v>0.0</v>
      </c>
      <c r="I313" s="9">
        <v>0.0</v>
      </c>
      <c r="J313" s="17">
        <v>54960.0</v>
      </c>
      <c r="K313" s="18">
        <v>54708.9</v>
      </c>
      <c r="L313" s="17">
        <v>54898.0</v>
      </c>
      <c r="M313" s="18">
        <v>54898.0</v>
      </c>
      <c r="N313" s="18">
        <v>0.0</v>
      </c>
      <c r="O313" s="18">
        <v>5.298</v>
      </c>
    </row>
    <row r="314">
      <c r="A314" s="8" t="s">
        <v>501</v>
      </c>
      <c r="B314" s="9">
        <v>25.0</v>
      </c>
      <c r="C314" s="9" t="s">
        <v>460</v>
      </c>
      <c r="D314" s="9">
        <v>75.0</v>
      </c>
      <c r="E314" s="10">
        <v>2.0</v>
      </c>
      <c r="F314" s="9">
        <v>2.0</v>
      </c>
      <c r="G314" s="9">
        <v>1.0</v>
      </c>
      <c r="H314" s="9">
        <v>0.0</v>
      </c>
      <c r="I314" s="9">
        <v>0.0</v>
      </c>
      <c r="J314" s="17">
        <v>55301.0</v>
      </c>
      <c r="K314" s="18">
        <v>54675.5</v>
      </c>
      <c r="L314" s="17">
        <v>54977.0</v>
      </c>
      <c r="M314" s="18">
        <v>54977.0</v>
      </c>
      <c r="N314" s="18">
        <v>0.0</v>
      </c>
      <c r="O314" s="18">
        <v>42.804</v>
      </c>
    </row>
    <row r="315">
      <c r="A315" s="8" t="s">
        <v>502</v>
      </c>
      <c r="B315" s="9">
        <v>25.0</v>
      </c>
      <c r="C315" s="9" t="s">
        <v>460</v>
      </c>
      <c r="D315" s="9">
        <v>75.0</v>
      </c>
      <c r="E315" s="10">
        <v>2.0</v>
      </c>
      <c r="F315" s="9">
        <v>3.0</v>
      </c>
      <c r="G315" s="9">
        <v>1.0</v>
      </c>
      <c r="H315" s="9">
        <v>0.0</v>
      </c>
      <c r="I315" s="9">
        <v>0.0</v>
      </c>
      <c r="J315" s="17">
        <v>55972.0</v>
      </c>
      <c r="K315" s="18">
        <v>50491.1</v>
      </c>
      <c r="L315" s="17">
        <v>55574.0</v>
      </c>
      <c r="M315" s="18">
        <v>55574.0</v>
      </c>
      <c r="N315" s="18">
        <v>0.0</v>
      </c>
      <c r="O315" s="18">
        <v>1667.14</v>
      </c>
    </row>
    <row r="316">
      <c r="A316" s="8" t="s">
        <v>503</v>
      </c>
      <c r="B316" s="9">
        <v>25.0</v>
      </c>
      <c r="C316" s="9" t="s">
        <v>460</v>
      </c>
      <c r="D316" s="9">
        <v>75.0</v>
      </c>
      <c r="E316" s="10">
        <v>2.0</v>
      </c>
      <c r="F316" s="9">
        <v>4.0</v>
      </c>
      <c r="G316" s="9">
        <v>0.0</v>
      </c>
      <c r="H316" s="9">
        <v>1.0</v>
      </c>
      <c r="I316" s="9">
        <v>0.0</v>
      </c>
      <c r="J316" s="17">
        <v>61690.0</v>
      </c>
      <c r="K316" s="18">
        <v>55494.6</v>
      </c>
      <c r="L316" s="17">
        <v>61230.0</v>
      </c>
      <c r="M316" s="18">
        <v>56407.7</v>
      </c>
      <c r="N316" s="18">
        <v>7.87563</v>
      </c>
      <c r="O316" s="18">
        <v>3600.0</v>
      </c>
    </row>
    <row r="317">
      <c r="A317" s="8" t="s">
        <v>504</v>
      </c>
      <c r="B317" s="9">
        <v>25.0</v>
      </c>
      <c r="C317" s="9" t="s">
        <v>460</v>
      </c>
      <c r="D317" s="9">
        <v>75.0</v>
      </c>
      <c r="E317" s="10">
        <v>2.0</v>
      </c>
      <c r="F317" s="9">
        <v>5.0</v>
      </c>
      <c r="G317" s="9">
        <v>1.0</v>
      </c>
      <c r="H317" s="9">
        <v>0.0</v>
      </c>
      <c r="I317" s="9">
        <v>0.0</v>
      </c>
      <c r="J317" s="17">
        <v>56889.0</v>
      </c>
      <c r="K317" s="18">
        <v>52823.6</v>
      </c>
      <c r="L317" s="17">
        <v>56606.0</v>
      </c>
      <c r="M317" s="18">
        <v>56606.0</v>
      </c>
      <c r="N317" s="18">
        <v>0.0</v>
      </c>
      <c r="O317" s="18">
        <v>16.889</v>
      </c>
    </row>
    <row r="318">
      <c r="A318" s="8" t="s">
        <v>505</v>
      </c>
      <c r="B318" s="9">
        <v>30.0</v>
      </c>
      <c r="C318" s="9" t="s">
        <v>460</v>
      </c>
      <c r="D318" s="9">
        <v>25.0</v>
      </c>
      <c r="E318" s="10">
        <v>0.6</v>
      </c>
      <c r="F318" s="9">
        <v>1.0</v>
      </c>
      <c r="G318" s="9">
        <v>1.0</v>
      </c>
      <c r="H318" s="9">
        <v>0.0</v>
      </c>
      <c r="I318" s="9">
        <v>0.0</v>
      </c>
      <c r="J318" s="17">
        <v>-2119.0</v>
      </c>
      <c r="K318" s="18">
        <v>-4362.57</v>
      </c>
      <c r="L318" s="17">
        <v>-3074.0</v>
      </c>
      <c r="M318" s="18">
        <v>-3074.0</v>
      </c>
      <c r="N318" s="18">
        <v>0.0</v>
      </c>
      <c r="O318" s="18">
        <v>2008.96</v>
      </c>
    </row>
    <row r="319">
      <c r="A319" s="8" t="s">
        <v>506</v>
      </c>
      <c r="B319" s="9">
        <v>30.0</v>
      </c>
      <c r="C319" s="9" t="s">
        <v>460</v>
      </c>
      <c r="D319" s="9">
        <v>25.0</v>
      </c>
      <c r="E319" s="10">
        <v>0.6</v>
      </c>
      <c r="F319" s="9">
        <v>2.0</v>
      </c>
      <c r="G319" s="9">
        <v>1.0</v>
      </c>
      <c r="H319" s="9">
        <v>0.0</v>
      </c>
      <c r="I319" s="9">
        <v>0.0</v>
      </c>
      <c r="J319" s="17">
        <v>1327.0</v>
      </c>
      <c r="K319" s="18">
        <v>-4488.12</v>
      </c>
      <c r="L319" s="17">
        <v>-3114.0</v>
      </c>
      <c r="M319" s="18">
        <v>-3114.0</v>
      </c>
      <c r="N319" s="18">
        <v>0.0</v>
      </c>
      <c r="O319" s="18">
        <v>1126.36</v>
      </c>
    </row>
    <row r="320">
      <c r="A320" s="8" t="s">
        <v>507</v>
      </c>
      <c r="B320" s="9">
        <v>30.0</v>
      </c>
      <c r="C320" s="9" t="s">
        <v>460</v>
      </c>
      <c r="D320" s="9">
        <v>25.0</v>
      </c>
      <c r="E320" s="10">
        <v>0.6</v>
      </c>
      <c r="F320" s="9">
        <v>3.0</v>
      </c>
      <c r="G320" s="9">
        <v>0.0</v>
      </c>
      <c r="H320" s="9">
        <v>1.0</v>
      </c>
      <c r="I320" s="9">
        <v>0.0</v>
      </c>
      <c r="J320" s="17">
        <v>-1983.0</v>
      </c>
      <c r="K320" s="18">
        <v>-4300.61</v>
      </c>
      <c r="L320" s="17">
        <v>-2944.0</v>
      </c>
      <c r="M320" s="18">
        <v>-2996.07</v>
      </c>
      <c r="N320" s="18">
        <v>1.76871</v>
      </c>
      <c r="O320" s="18">
        <v>3600.0</v>
      </c>
    </row>
    <row r="321">
      <c r="A321" s="8" t="s">
        <v>508</v>
      </c>
      <c r="B321" s="9">
        <v>30.0</v>
      </c>
      <c r="C321" s="9" t="s">
        <v>460</v>
      </c>
      <c r="D321" s="9">
        <v>25.0</v>
      </c>
      <c r="E321" s="10">
        <v>0.6</v>
      </c>
      <c r="F321" s="9">
        <v>4.0</v>
      </c>
      <c r="G321" s="9">
        <v>1.0</v>
      </c>
      <c r="H321" s="9">
        <v>0.0</v>
      </c>
      <c r="I321" s="9">
        <v>0.0</v>
      </c>
      <c r="J321" s="17">
        <v>-2174.0</v>
      </c>
      <c r="K321" s="18">
        <v>-4448.61</v>
      </c>
      <c r="L321" s="17">
        <v>-2948.0</v>
      </c>
      <c r="M321" s="18">
        <v>-2948.0</v>
      </c>
      <c r="N321" s="18">
        <v>0.0</v>
      </c>
      <c r="O321" s="18">
        <v>3558.37</v>
      </c>
    </row>
    <row r="322">
      <c r="A322" s="8" t="s">
        <v>509</v>
      </c>
      <c r="B322" s="9">
        <v>30.0</v>
      </c>
      <c r="C322" s="9" t="s">
        <v>460</v>
      </c>
      <c r="D322" s="9">
        <v>25.0</v>
      </c>
      <c r="E322" s="10">
        <v>0.6</v>
      </c>
      <c r="F322" s="9">
        <v>5.0</v>
      </c>
      <c r="G322" s="9">
        <v>0.0</v>
      </c>
      <c r="H322" s="9">
        <v>1.0</v>
      </c>
      <c r="I322" s="9">
        <v>0.0</v>
      </c>
      <c r="J322" s="17">
        <v>-1647.0</v>
      </c>
      <c r="K322" s="18">
        <v>-5129.1</v>
      </c>
      <c r="L322" s="17">
        <v>-3323.0</v>
      </c>
      <c r="M322" s="18">
        <v>-3627.88</v>
      </c>
      <c r="N322" s="18">
        <v>9.1747</v>
      </c>
      <c r="O322" s="18">
        <v>3600.0</v>
      </c>
    </row>
    <row r="323">
      <c r="A323" s="8" t="s">
        <v>510</v>
      </c>
      <c r="B323" s="9">
        <v>30.0</v>
      </c>
      <c r="C323" s="9" t="s">
        <v>460</v>
      </c>
      <c r="D323" s="9">
        <v>25.0</v>
      </c>
      <c r="E323" s="10">
        <v>1.0</v>
      </c>
      <c r="F323" s="9">
        <v>1.0</v>
      </c>
      <c r="G323" s="9">
        <v>0.0</v>
      </c>
      <c r="H323" s="9">
        <v>1.0</v>
      </c>
      <c r="I323" s="9">
        <v>0.0</v>
      </c>
      <c r="J323" s="17">
        <v>462.0</v>
      </c>
      <c r="K323" s="18">
        <v>-2424.73</v>
      </c>
      <c r="L323" s="17">
        <v>-1090.0</v>
      </c>
      <c r="M323" s="18">
        <v>-1759.98</v>
      </c>
      <c r="N323" s="18">
        <v>61.4664</v>
      </c>
      <c r="O323" s="18">
        <v>3600.0</v>
      </c>
    </row>
    <row r="324">
      <c r="A324" s="8" t="s">
        <v>511</v>
      </c>
      <c r="B324" s="9">
        <v>30.0</v>
      </c>
      <c r="C324" s="9" t="s">
        <v>460</v>
      </c>
      <c r="D324" s="9">
        <v>25.0</v>
      </c>
      <c r="E324" s="10">
        <v>1.0</v>
      </c>
      <c r="F324" s="9">
        <v>2.0</v>
      </c>
      <c r="G324" s="9">
        <v>0.0</v>
      </c>
      <c r="H324" s="9">
        <v>1.0</v>
      </c>
      <c r="I324" s="9">
        <v>0.0</v>
      </c>
      <c r="J324" s="17">
        <v>-149.0</v>
      </c>
      <c r="K324" s="18">
        <v>-2280.83</v>
      </c>
      <c r="L324" s="17">
        <v>-1063.0</v>
      </c>
      <c r="M324" s="18">
        <v>-1525.15</v>
      </c>
      <c r="N324" s="18">
        <v>43.476</v>
      </c>
      <c r="O324" s="18">
        <v>3600.0</v>
      </c>
    </row>
    <row r="325">
      <c r="A325" s="8" t="s">
        <v>512</v>
      </c>
      <c r="B325" s="9">
        <v>30.0</v>
      </c>
      <c r="C325" s="9" t="s">
        <v>460</v>
      </c>
      <c r="D325" s="9">
        <v>25.0</v>
      </c>
      <c r="E325" s="10">
        <v>1.0</v>
      </c>
      <c r="F325" s="9">
        <v>3.0</v>
      </c>
      <c r="G325" s="9">
        <v>0.0</v>
      </c>
      <c r="H325" s="9">
        <v>1.0</v>
      </c>
      <c r="I325" s="9">
        <v>0.0</v>
      </c>
      <c r="J325" s="17">
        <v>-233.0</v>
      </c>
      <c r="K325" s="18">
        <v>-2330.72</v>
      </c>
      <c r="L325" s="17">
        <v>-944.0</v>
      </c>
      <c r="M325" s="18">
        <v>-1673.49</v>
      </c>
      <c r="N325" s="18">
        <v>77.2767</v>
      </c>
      <c r="O325" s="18">
        <v>3600.0</v>
      </c>
    </row>
    <row r="326">
      <c r="A326" s="8" t="s">
        <v>513</v>
      </c>
      <c r="B326" s="9">
        <v>30.0</v>
      </c>
      <c r="C326" s="9" t="s">
        <v>460</v>
      </c>
      <c r="D326" s="9">
        <v>25.0</v>
      </c>
      <c r="E326" s="10">
        <v>1.0</v>
      </c>
      <c r="F326" s="9">
        <v>4.0</v>
      </c>
      <c r="G326" s="9">
        <v>0.0</v>
      </c>
      <c r="H326" s="9">
        <v>1.0</v>
      </c>
      <c r="I326" s="9">
        <v>0.0</v>
      </c>
      <c r="J326" s="17">
        <v>-111.0</v>
      </c>
      <c r="K326" s="18">
        <v>-2384.6</v>
      </c>
      <c r="L326" s="17">
        <v>-996.0</v>
      </c>
      <c r="M326" s="18">
        <v>-1664.78</v>
      </c>
      <c r="N326" s="18">
        <v>67.1464</v>
      </c>
      <c r="O326" s="18">
        <v>3600.0</v>
      </c>
    </row>
    <row r="327">
      <c r="A327" s="8" t="s">
        <v>514</v>
      </c>
      <c r="B327" s="9">
        <v>30.0</v>
      </c>
      <c r="C327" s="9" t="s">
        <v>460</v>
      </c>
      <c r="D327" s="9">
        <v>25.0</v>
      </c>
      <c r="E327" s="10">
        <v>1.0</v>
      </c>
      <c r="F327" s="9">
        <v>5.0</v>
      </c>
      <c r="G327" s="9">
        <v>0.0</v>
      </c>
      <c r="H327" s="9">
        <v>1.0</v>
      </c>
      <c r="I327" s="9">
        <v>0.0</v>
      </c>
      <c r="J327" s="17">
        <v>-164.0</v>
      </c>
      <c r="K327" s="18">
        <v>-2591.38</v>
      </c>
      <c r="L327" s="17">
        <v>-1016.0</v>
      </c>
      <c r="M327" s="18">
        <v>-1836.91</v>
      </c>
      <c r="N327" s="18">
        <v>80.7978</v>
      </c>
      <c r="O327" s="18">
        <v>3600.0</v>
      </c>
    </row>
    <row r="328">
      <c r="A328" s="8" t="s">
        <v>515</v>
      </c>
      <c r="B328" s="9">
        <v>30.0</v>
      </c>
      <c r="C328" s="9" t="s">
        <v>460</v>
      </c>
      <c r="D328" s="9">
        <v>25.0</v>
      </c>
      <c r="E328" s="10">
        <v>2.0</v>
      </c>
      <c r="F328" s="9">
        <v>1.0</v>
      </c>
      <c r="G328" s="9">
        <v>0.0</v>
      </c>
      <c r="H328" s="9">
        <v>1.0</v>
      </c>
      <c r="I328" s="9">
        <v>0.0</v>
      </c>
      <c r="J328" s="17">
        <v>17672.0</v>
      </c>
      <c r="K328" s="18">
        <v>15498.1</v>
      </c>
      <c r="L328" s="17">
        <v>16370.0</v>
      </c>
      <c r="M328" s="18">
        <v>15932.4</v>
      </c>
      <c r="N328" s="18">
        <v>2.67347</v>
      </c>
      <c r="O328" s="18">
        <v>3600.0</v>
      </c>
    </row>
    <row r="329">
      <c r="A329" s="8" t="s">
        <v>516</v>
      </c>
      <c r="B329" s="9">
        <v>30.0</v>
      </c>
      <c r="C329" s="9" t="s">
        <v>460</v>
      </c>
      <c r="D329" s="9">
        <v>25.0</v>
      </c>
      <c r="E329" s="10">
        <v>2.0</v>
      </c>
      <c r="F329" s="9">
        <v>2.0</v>
      </c>
      <c r="G329" s="9">
        <v>0.0</v>
      </c>
      <c r="H329" s="9">
        <v>1.0</v>
      </c>
      <c r="I329" s="9">
        <v>0.0</v>
      </c>
      <c r="J329" s="17">
        <v>19257.0</v>
      </c>
      <c r="K329" s="18">
        <v>16911.0</v>
      </c>
      <c r="L329" s="17">
        <v>17533.0</v>
      </c>
      <c r="M329" s="18">
        <v>17266.7</v>
      </c>
      <c r="N329" s="18">
        <v>1.51882</v>
      </c>
      <c r="O329" s="18">
        <v>3600.0</v>
      </c>
    </row>
    <row r="330">
      <c r="A330" s="8" t="s">
        <v>517</v>
      </c>
      <c r="B330" s="9">
        <v>30.0</v>
      </c>
      <c r="C330" s="9" t="s">
        <v>460</v>
      </c>
      <c r="D330" s="9">
        <v>25.0</v>
      </c>
      <c r="E330" s="10">
        <v>2.0</v>
      </c>
      <c r="F330" s="9">
        <v>3.0</v>
      </c>
      <c r="G330" s="9">
        <v>0.0</v>
      </c>
      <c r="H330" s="9">
        <v>1.0</v>
      </c>
      <c r="I330" s="9">
        <v>0.0</v>
      </c>
      <c r="J330" s="17">
        <v>17491.0</v>
      </c>
      <c r="K330" s="18">
        <v>15257.0</v>
      </c>
      <c r="L330" s="17">
        <v>15870.0</v>
      </c>
      <c r="M330" s="18">
        <v>15719.3</v>
      </c>
      <c r="N330" s="18">
        <v>0.949335</v>
      </c>
      <c r="O330" s="18">
        <v>3600.0</v>
      </c>
    </row>
    <row r="331">
      <c r="A331" s="8" t="s">
        <v>518</v>
      </c>
      <c r="B331" s="9">
        <v>30.0</v>
      </c>
      <c r="C331" s="9" t="s">
        <v>460</v>
      </c>
      <c r="D331" s="9">
        <v>25.0</v>
      </c>
      <c r="E331" s="10">
        <v>2.0</v>
      </c>
      <c r="F331" s="9">
        <v>4.0</v>
      </c>
      <c r="G331" s="9">
        <v>0.0</v>
      </c>
      <c r="H331" s="9">
        <v>1.0</v>
      </c>
      <c r="I331" s="9">
        <v>0.0</v>
      </c>
      <c r="J331" s="17">
        <v>18358.0</v>
      </c>
      <c r="K331" s="18">
        <v>16017.1</v>
      </c>
      <c r="L331" s="17">
        <v>16871.0</v>
      </c>
      <c r="M331" s="18">
        <v>16429.7</v>
      </c>
      <c r="N331" s="18">
        <v>2.61548</v>
      </c>
      <c r="O331" s="18">
        <v>3600.0</v>
      </c>
    </row>
    <row r="332">
      <c r="A332" s="8" t="s">
        <v>519</v>
      </c>
      <c r="B332" s="9">
        <v>30.0</v>
      </c>
      <c r="C332" s="9" t="s">
        <v>460</v>
      </c>
      <c r="D332" s="9">
        <v>25.0</v>
      </c>
      <c r="E332" s="10">
        <v>2.0</v>
      </c>
      <c r="F332" s="9">
        <v>5.0</v>
      </c>
      <c r="G332" s="9">
        <v>1.0</v>
      </c>
      <c r="H332" s="9">
        <v>0.0</v>
      </c>
      <c r="I332" s="9">
        <v>0.0</v>
      </c>
      <c r="J332" s="17">
        <v>21206.0</v>
      </c>
      <c r="K332" s="18">
        <v>20327.3</v>
      </c>
      <c r="L332" s="17">
        <v>20663.0</v>
      </c>
      <c r="M332" s="18">
        <v>20663.0</v>
      </c>
      <c r="N332" s="18">
        <v>0.0</v>
      </c>
      <c r="O332" s="18">
        <v>160.544</v>
      </c>
    </row>
    <row r="333">
      <c r="A333" s="8" t="s">
        <v>520</v>
      </c>
      <c r="B333" s="9">
        <v>30.0</v>
      </c>
      <c r="C333" s="9" t="s">
        <v>460</v>
      </c>
      <c r="D333" s="9">
        <v>50.0</v>
      </c>
      <c r="E333" s="10">
        <v>0.6</v>
      </c>
      <c r="F333" s="9">
        <v>1.0</v>
      </c>
      <c r="G333" s="9">
        <v>0.0</v>
      </c>
      <c r="H333" s="9">
        <v>1.0</v>
      </c>
      <c r="I333" s="9">
        <v>0.0</v>
      </c>
      <c r="J333" s="17">
        <v>-3456.0</v>
      </c>
      <c r="K333" s="18">
        <v>-7595.89</v>
      </c>
      <c r="L333" s="17">
        <v>-4852.0</v>
      </c>
      <c r="M333" s="18">
        <v>-5863.48</v>
      </c>
      <c r="N333" s="18">
        <v>20.8466</v>
      </c>
      <c r="O333" s="18">
        <v>3600.0</v>
      </c>
    </row>
    <row r="334">
      <c r="A334" s="8" t="s">
        <v>521</v>
      </c>
      <c r="B334" s="9">
        <v>30.0</v>
      </c>
      <c r="C334" s="9" t="s">
        <v>460</v>
      </c>
      <c r="D334" s="9">
        <v>50.0</v>
      </c>
      <c r="E334" s="10">
        <v>0.6</v>
      </c>
      <c r="F334" s="9">
        <v>2.0</v>
      </c>
      <c r="G334" s="9">
        <v>1.0</v>
      </c>
      <c r="H334" s="9">
        <v>0.0</v>
      </c>
      <c r="I334" s="9">
        <v>0.0</v>
      </c>
      <c r="J334" s="17">
        <v>-3401.0</v>
      </c>
      <c r="K334" s="18">
        <v>-7843.58</v>
      </c>
      <c r="L334" s="17">
        <v>-5618.0</v>
      </c>
      <c r="M334" s="18">
        <v>-5618.0</v>
      </c>
      <c r="N334" s="18">
        <v>0.0</v>
      </c>
      <c r="O334" s="18">
        <v>3460.57</v>
      </c>
    </row>
    <row r="335">
      <c r="A335" s="8" t="s">
        <v>522</v>
      </c>
      <c r="B335" s="9">
        <v>30.0</v>
      </c>
      <c r="C335" s="9" t="s">
        <v>460</v>
      </c>
      <c r="D335" s="9">
        <v>50.0</v>
      </c>
      <c r="E335" s="10">
        <v>0.6</v>
      </c>
      <c r="F335" s="9">
        <v>3.0</v>
      </c>
      <c r="G335" s="9">
        <v>0.0</v>
      </c>
      <c r="H335" s="9">
        <v>1.0</v>
      </c>
      <c r="I335" s="9">
        <v>0.0</v>
      </c>
      <c r="J335" s="17">
        <v>-4282.0</v>
      </c>
      <c r="K335" s="18">
        <v>-7969.81</v>
      </c>
      <c r="L335" s="17">
        <v>-4803.0</v>
      </c>
      <c r="M335" s="18">
        <v>-6393.22</v>
      </c>
      <c r="N335" s="18">
        <v>33.1089</v>
      </c>
      <c r="O335" s="18">
        <v>3600.0</v>
      </c>
    </row>
    <row r="336">
      <c r="A336" s="8" t="s">
        <v>523</v>
      </c>
      <c r="B336" s="9">
        <v>30.0</v>
      </c>
      <c r="C336" s="9" t="s">
        <v>460</v>
      </c>
      <c r="D336" s="9">
        <v>50.0</v>
      </c>
      <c r="E336" s="10">
        <v>0.6</v>
      </c>
      <c r="F336" s="9">
        <v>4.0</v>
      </c>
      <c r="G336" s="9">
        <v>0.0</v>
      </c>
      <c r="H336" s="9">
        <v>1.0</v>
      </c>
      <c r="I336" s="9">
        <v>0.0</v>
      </c>
      <c r="J336" s="17">
        <v>992.0</v>
      </c>
      <c r="K336" s="18">
        <v>-7833.96</v>
      </c>
      <c r="L336" s="17">
        <v>-4841.0</v>
      </c>
      <c r="M336" s="18">
        <v>-6144.4</v>
      </c>
      <c r="N336" s="18">
        <v>26.9241</v>
      </c>
      <c r="O336" s="18">
        <v>3600.0</v>
      </c>
    </row>
    <row r="337">
      <c r="A337" s="8" t="s">
        <v>524</v>
      </c>
      <c r="B337" s="9">
        <v>30.0</v>
      </c>
      <c r="C337" s="9" t="s">
        <v>460</v>
      </c>
      <c r="D337" s="9">
        <v>50.0</v>
      </c>
      <c r="E337" s="10">
        <v>0.6</v>
      </c>
      <c r="F337" s="9">
        <v>5.0</v>
      </c>
      <c r="G337" s="9">
        <v>0.0</v>
      </c>
      <c r="H337" s="9">
        <v>1.0</v>
      </c>
      <c r="I337" s="9">
        <v>0.0</v>
      </c>
      <c r="J337" s="17">
        <v>-2859.0</v>
      </c>
      <c r="K337" s="18">
        <v>-7820.27</v>
      </c>
      <c r="L337" s="17">
        <v>-4797.0</v>
      </c>
      <c r="M337" s="18">
        <v>-6094.8</v>
      </c>
      <c r="N337" s="18">
        <v>27.0543</v>
      </c>
      <c r="O337" s="18">
        <v>3600.0</v>
      </c>
    </row>
    <row r="338">
      <c r="A338" s="8" t="s">
        <v>525</v>
      </c>
      <c r="B338" s="9">
        <v>30.0</v>
      </c>
      <c r="C338" s="9" t="s">
        <v>460</v>
      </c>
      <c r="D338" s="9">
        <v>50.0</v>
      </c>
      <c r="E338" s="10">
        <v>1.0</v>
      </c>
      <c r="F338" s="9">
        <v>1.0</v>
      </c>
      <c r="G338" s="9">
        <v>0.0</v>
      </c>
      <c r="H338" s="9">
        <v>1.0</v>
      </c>
      <c r="I338" s="9">
        <v>0.0</v>
      </c>
      <c r="J338" s="17">
        <v>301.0</v>
      </c>
      <c r="K338" s="18">
        <v>-2818.24</v>
      </c>
      <c r="L338" s="17">
        <v>-792.0</v>
      </c>
      <c r="M338" s="18">
        <v>-2034.33</v>
      </c>
      <c r="N338" s="18">
        <v>156.86</v>
      </c>
      <c r="O338" s="18">
        <v>3600.0</v>
      </c>
    </row>
    <row r="339">
      <c r="A339" s="8" t="s">
        <v>526</v>
      </c>
      <c r="B339" s="9">
        <v>30.0</v>
      </c>
      <c r="C339" s="9" t="s">
        <v>460</v>
      </c>
      <c r="D339" s="9">
        <v>50.0</v>
      </c>
      <c r="E339" s="10">
        <v>1.0</v>
      </c>
      <c r="F339" s="9">
        <v>2.0</v>
      </c>
      <c r="G339" s="9">
        <v>0.0</v>
      </c>
      <c r="H339" s="9">
        <v>1.0</v>
      </c>
      <c r="I339" s="9">
        <v>0.0</v>
      </c>
      <c r="J339" s="17">
        <v>842.0</v>
      </c>
      <c r="K339" s="18">
        <v>-3750.49</v>
      </c>
      <c r="L339" s="17">
        <v>-1459.0</v>
      </c>
      <c r="M339" s="18">
        <v>-2670.35</v>
      </c>
      <c r="N339" s="18">
        <v>83.0262</v>
      </c>
      <c r="O339" s="18">
        <v>3600.0</v>
      </c>
    </row>
    <row r="340">
      <c r="A340" s="8" t="s">
        <v>527</v>
      </c>
      <c r="B340" s="9">
        <v>30.0</v>
      </c>
      <c r="C340" s="9" t="s">
        <v>460</v>
      </c>
      <c r="D340" s="9">
        <v>50.0</v>
      </c>
      <c r="E340" s="10">
        <v>1.0</v>
      </c>
      <c r="F340" s="9">
        <v>3.0</v>
      </c>
      <c r="G340" s="9">
        <v>0.0</v>
      </c>
      <c r="H340" s="9">
        <v>1.0</v>
      </c>
      <c r="I340" s="9">
        <v>0.0</v>
      </c>
      <c r="J340" s="17">
        <v>1187.0</v>
      </c>
      <c r="K340" s="18">
        <v>-2750.87</v>
      </c>
      <c r="L340" s="17">
        <v>-707.0</v>
      </c>
      <c r="M340" s="18">
        <v>-2079.44</v>
      </c>
      <c r="N340" s="18">
        <v>194.121</v>
      </c>
      <c r="O340" s="18">
        <v>3600.0</v>
      </c>
    </row>
    <row r="341">
      <c r="A341" s="8" t="s">
        <v>528</v>
      </c>
      <c r="B341" s="9">
        <v>30.0</v>
      </c>
      <c r="C341" s="9" t="s">
        <v>460</v>
      </c>
      <c r="D341" s="9">
        <v>50.0</v>
      </c>
      <c r="E341" s="10">
        <v>1.0</v>
      </c>
      <c r="F341" s="9">
        <v>4.0</v>
      </c>
      <c r="G341" s="9">
        <v>0.0</v>
      </c>
      <c r="H341" s="9">
        <v>1.0</v>
      </c>
      <c r="I341" s="9">
        <v>0.0</v>
      </c>
      <c r="J341" s="17">
        <v>1836.0</v>
      </c>
      <c r="K341" s="18">
        <v>-2926.66</v>
      </c>
      <c r="L341" s="17">
        <v>-451.0</v>
      </c>
      <c r="M341" s="18">
        <v>-2094.71</v>
      </c>
      <c r="N341" s="18">
        <v>364.459</v>
      </c>
      <c r="O341" s="18">
        <v>3600.0</v>
      </c>
    </row>
    <row r="342">
      <c r="A342" s="8" t="s">
        <v>529</v>
      </c>
      <c r="B342" s="9">
        <v>30.0</v>
      </c>
      <c r="C342" s="9" t="s">
        <v>460</v>
      </c>
      <c r="D342" s="9">
        <v>50.0</v>
      </c>
      <c r="E342" s="10">
        <v>1.0</v>
      </c>
      <c r="F342" s="9">
        <v>5.0</v>
      </c>
      <c r="G342" s="9">
        <v>0.0</v>
      </c>
      <c r="H342" s="9">
        <v>1.0</v>
      </c>
      <c r="I342" s="9">
        <v>0.0</v>
      </c>
      <c r="J342" s="17">
        <v>-56.0</v>
      </c>
      <c r="K342" s="18">
        <v>-3003.59</v>
      </c>
      <c r="L342" s="17">
        <v>-963.0</v>
      </c>
      <c r="M342" s="18">
        <v>-2085.54</v>
      </c>
      <c r="N342" s="18">
        <v>116.567</v>
      </c>
      <c r="O342" s="18">
        <v>3600.0</v>
      </c>
    </row>
    <row r="343">
      <c r="A343" s="8" t="s">
        <v>530</v>
      </c>
      <c r="B343" s="9">
        <v>30.0</v>
      </c>
      <c r="C343" s="9" t="s">
        <v>460</v>
      </c>
      <c r="D343" s="9">
        <v>50.0</v>
      </c>
      <c r="E343" s="10">
        <v>2.0</v>
      </c>
      <c r="F343" s="9">
        <v>1.0</v>
      </c>
      <c r="G343" s="9">
        <v>0.0</v>
      </c>
      <c r="H343" s="9">
        <v>1.0</v>
      </c>
      <c r="I343" s="9">
        <v>0.0</v>
      </c>
      <c r="J343" s="17">
        <v>38364.0</v>
      </c>
      <c r="K343" s="18">
        <v>33696.6</v>
      </c>
      <c r="L343" s="17">
        <v>34421.0</v>
      </c>
      <c r="M343" s="18">
        <v>34309.9</v>
      </c>
      <c r="N343" s="18">
        <v>0.322639</v>
      </c>
      <c r="O343" s="18">
        <v>3600.0</v>
      </c>
    </row>
    <row r="344">
      <c r="A344" s="8" t="s">
        <v>531</v>
      </c>
      <c r="B344" s="9">
        <v>30.0</v>
      </c>
      <c r="C344" s="9" t="s">
        <v>460</v>
      </c>
      <c r="D344" s="9">
        <v>50.0</v>
      </c>
      <c r="E344" s="10">
        <v>2.0</v>
      </c>
      <c r="F344" s="9">
        <v>2.0</v>
      </c>
      <c r="G344" s="9">
        <v>0.0</v>
      </c>
      <c r="H344" s="9">
        <v>1.0</v>
      </c>
      <c r="I344" s="9">
        <v>0.0</v>
      </c>
      <c r="J344" s="17">
        <v>36356.0</v>
      </c>
      <c r="K344" s="18">
        <v>31459.9</v>
      </c>
      <c r="L344" s="17">
        <v>32568.0</v>
      </c>
      <c r="M344" s="18">
        <v>32258.0</v>
      </c>
      <c r="N344" s="18">
        <v>0.952001</v>
      </c>
      <c r="O344" s="18">
        <v>3600.0</v>
      </c>
    </row>
    <row r="345">
      <c r="A345" s="8" t="s">
        <v>532</v>
      </c>
      <c r="B345" s="9">
        <v>30.0</v>
      </c>
      <c r="C345" s="9" t="s">
        <v>460</v>
      </c>
      <c r="D345" s="9">
        <v>50.0</v>
      </c>
      <c r="E345" s="10">
        <v>2.0</v>
      </c>
      <c r="F345" s="9">
        <v>3.0</v>
      </c>
      <c r="G345" s="9">
        <v>0.0</v>
      </c>
      <c r="H345" s="9">
        <v>1.0</v>
      </c>
      <c r="I345" s="9">
        <v>0.0</v>
      </c>
      <c r="J345" s="17">
        <v>41169.0</v>
      </c>
      <c r="K345" s="18">
        <v>36364.6</v>
      </c>
      <c r="L345" s="17">
        <v>37084.0</v>
      </c>
      <c r="M345" s="18">
        <v>36764.4</v>
      </c>
      <c r="N345" s="18">
        <v>0.861871</v>
      </c>
      <c r="O345" s="18">
        <v>3600.0</v>
      </c>
    </row>
    <row r="346">
      <c r="A346" s="8" t="s">
        <v>533</v>
      </c>
      <c r="B346" s="9">
        <v>30.0</v>
      </c>
      <c r="C346" s="9" t="s">
        <v>460</v>
      </c>
      <c r="D346" s="9">
        <v>50.0</v>
      </c>
      <c r="E346" s="10">
        <v>2.0</v>
      </c>
      <c r="F346" s="9">
        <v>4.0</v>
      </c>
      <c r="G346" s="9">
        <v>0.0</v>
      </c>
      <c r="H346" s="9">
        <v>1.0</v>
      </c>
      <c r="I346" s="9">
        <v>0.0</v>
      </c>
      <c r="J346" s="17">
        <v>39750.0</v>
      </c>
      <c r="K346" s="18">
        <v>34834.3</v>
      </c>
      <c r="L346" s="17">
        <v>35847.0</v>
      </c>
      <c r="M346" s="18">
        <v>35321.1</v>
      </c>
      <c r="N346" s="18">
        <v>1.46709</v>
      </c>
      <c r="O346" s="18">
        <v>3600.0</v>
      </c>
    </row>
    <row r="347">
      <c r="A347" s="8" t="s">
        <v>534</v>
      </c>
      <c r="B347" s="9">
        <v>30.0</v>
      </c>
      <c r="C347" s="9" t="s">
        <v>460</v>
      </c>
      <c r="D347" s="9">
        <v>50.0</v>
      </c>
      <c r="E347" s="10">
        <v>2.0</v>
      </c>
      <c r="F347" s="9">
        <v>5.0</v>
      </c>
      <c r="G347" s="9">
        <v>0.0</v>
      </c>
      <c r="H347" s="9">
        <v>1.0</v>
      </c>
      <c r="I347" s="9">
        <v>0.0</v>
      </c>
      <c r="J347" s="17">
        <v>38426.0</v>
      </c>
      <c r="K347" s="18">
        <v>33834.3</v>
      </c>
      <c r="L347" s="17">
        <v>34942.0</v>
      </c>
      <c r="M347" s="18">
        <v>34382.4</v>
      </c>
      <c r="N347" s="18">
        <v>1.60149</v>
      </c>
      <c r="O347" s="18">
        <v>3600.0</v>
      </c>
    </row>
    <row r="348">
      <c r="A348" s="8" t="s">
        <v>535</v>
      </c>
      <c r="B348" s="9">
        <v>30.0</v>
      </c>
      <c r="C348" s="9" t="s">
        <v>460</v>
      </c>
      <c r="D348" s="9">
        <v>75.0</v>
      </c>
      <c r="E348" s="10">
        <v>0.6</v>
      </c>
      <c r="F348" s="9">
        <v>1.0</v>
      </c>
      <c r="G348" s="9">
        <v>0.0</v>
      </c>
      <c r="H348" s="9">
        <v>1.0</v>
      </c>
      <c r="I348" s="9">
        <v>0.0</v>
      </c>
      <c r="J348" s="17">
        <v>-3679.0</v>
      </c>
      <c r="K348" s="18">
        <v>-9369.9</v>
      </c>
      <c r="L348" s="17">
        <v>-6422.0</v>
      </c>
      <c r="M348" s="18">
        <v>-7612.47</v>
      </c>
      <c r="N348" s="18">
        <v>18.5374</v>
      </c>
      <c r="O348" s="18">
        <v>3600.0</v>
      </c>
    </row>
    <row r="349">
      <c r="A349" s="8" t="s">
        <v>536</v>
      </c>
      <c r="B349" s="9">
        <v>30.0</v>
      </c>
      <c r="C349" s="9" t="s">
        <v>460</v>
      </c>
      <c r="D349" s="9">
        <v>75.0</v>
      </c>
      <c r="E349" s="10">
        <v>0.6</v>
      </c>
      <c r="F349" s="9">
        <v>2.0</v>
      </c>
      <c r="G349" s="9">
        <v>0.0</v>
      </c>
      <c r="H349" s="9">
        <v>1.0</v>
      </c>
      <c r="I349" s="9">
        <v>0.0</v>
      </c>
      <c r="J349" s="17">
        <v>-4314.0</v>
      </c>
      <c r="K349" s="18">
        <v>-9498.17</v>
      </c>
      <c r="L349" s="17">
        <v>-6328.0</v>
      </c>
      <c r="M349" s="18">
        <v>-7908.21</v>
      </c>
      <c r="N349" s="18">
        <v>24.9716</v>
      </c>
      <c r="O349" s="18">
        <v>3600.0</v>
      </c>
    </row>
    <row r="350">
      <c r="A350" s="8" t="s">
        <v>537</v>
      </c>
      <c r="B350" s="9">
        <v>30.0</v>
      </c>
      <c r="C350" s="9" t="s">
        <v>460</v>
      </c>
      <c r="D350" s="9">
        <v>75.0</v>
      </c>
      <c r="E350" s="10">
        <v>0.6</v>
      </c>
      <c r="F350" s="9">
        <v>3.0</v>
      </c>
      <c r="G350" s="9">
        <v>0.0</v>
      </c>
      <c r="H350" s="9">
        <v>1.0</v>
      </c>
      <c r="I350" s="9">
        <v>0.0</v>
      </c>
      <c r="J350" s="17">
        <v>-4181.0</v>
      </c>
      <c r="K350" s="18">
        <v>-8792.3</v>
      </c>
      <c r="L350" s="17">
        <v>-5702.0</v>
      </c>
      <c r="M350" s="18">
        <v>-7117.49</v>
      </c>
      <c r="N350" s="18">
        <v>24.8244</v>
      </c>
      <c r="O350" s="18">
        <v>3600.0</v>
      </c>
    </row>
    <row r="351">
      <c r="A351" s="8" t="s">
        <v>538</v>
      </c>
      <c r="B351" s="9">
        <v>30.0</v>
      </c>
      <c r="C351" s="9" t="s">
        <v>460</v>
      </c>
      <c r="D351" s="9">
        <v>75.0</v>
      </c>
      <c r="E351" s="10">
        <v>0.6</v>
      </c>
      <c r="F351" s="9">
        <v>4.0</v>
      </c>
      <c r="G351" s="9">
        <v>0.0</v>
      </c>
      <c r="H351" s="9">
        <v>1.0</v>
      </c>
      <c r="I351" s="9">
        <v>0.0</v>
      </c>
      <c r="J351" s="17">
        <v>-4826.0</v>
      </c>
      <c r="K351" s="18">
        <v>-9185.49</v>
      </c>
      <c r="L351" s="17">
        <v>-6365.0</v>
      </c>
      <c r="M351" s="18">
        <v>-7680.77</v>
      </c>
      <c r="N351" s="18">
        <v>20.672</v>
      </c>
      <c r="O351" s="18">
        <v>3600.0</v>
      </c>
    </row>
    <row r="352">
      <c r="A352" s="8" t="s">
        <v>539</v>
      </c>
      <c r="B352" s="9">
        <v>30.0</v>
      </c>
      <c r="C352" s="9" t="s">
        <v>460</v>
      </c>
      <c r="D352" s="9">
        <v>75.0</v>
      </c>
      <c r="E352" s="10">
        <v>0.6</v>
      </c>
      <c r="F352" s="9">
        <v>5.0</v>
      </c>
      <c r="G352" s="9">
        <v>0.0</v>
      </c>
      <c r="H352" s="9">
        <v>1.0</v>
      </c>
      <c r="I352" s="9">
        <v>0.0</v>
      </c>
      <c r="J352" s="17">
        <v>-4831.0</v>
      </c>
      <c r="K352" s="18">
        <v>-9165.67</v>
      </c>
      <c r="L352" s="17">
        <v>-6074.0</v>
      </c>
      <c r="M352" s="18">
        <v>-7536.66</v>
      </c>
      <c r="N352" s="18">
        <v>24.0806</v>
      </c>
      <c r="O352" s="18">
        <v>3600.0</v>
      </c>
    </row>
    <row r="353">
      <c r="A353" s="8" t="s">
        <v>540</v>
      </c>
      <c r="B353" s="9">
        <v>30.0</v>
      </c>
      <c r="C353" s="9" t="s">
        <v>460</v>
      </c>
      <c r="D353" s="9">
        <v>75.0</v>
      </c>
      <c r="E353" s="10">
        <v>1.0</v>
      </c>
      <c r="F353" s="9">
        <v>1.0</v>
      </c>
      <c r="G353" s="9">
        <v>0.0</v>
      </c>
      <c r="H353" s="9">
        <v>1.0</v>
      </c>
      <c r="I353" s="9">
        <v>0.0</v>
      </c>
      <c r="J353" s="17">
        <v>1782.0</v>
      </c>
      <c r="K353" s="18">
        <v>-2682.55</v>
      </c>
      <c r="L353" s="17">
        <v>-587.0</v>
      </c>
      <c r="M353" s="18">
        <v>-1791.9</v>
      </c>
      <c r="N353" s="18">
        <v>205.263</v>
      </c>
      <c r="O353" s="18">
        <v>3600.0</v>
      </c>
    </row>
    <row r="354">
      <c r="A354" s="8" t="s">
        <v>541</v>
      </c>
      <c r="B354" s="9">
        <v>30.0</v>
      </c>
      <c r="C354" s="9" t="s">
        <v>460</v>
      </c>
      <c r="D354" s="9">
        <v>75.0</v>
      </c>
      <c r="E354" s="10">
        <v>1.0</v>
      </c>
      <c r="F354" s="9">
        <v>2.0</v>
      </c>
      <c r="G354" s="9">
        <v>0.0</v>
      </c>
      <c r="H354" s="9">
        <v>1.0</v>
      </c>
      <c r="I354" s="9">
        <v>0.0</v>
      </c>
      <c r="J354" s="17">
        <v>3801.0</v>
      </c>
      <c r="K354" s="18">
        <v>-2602.46</v>
      </c>
      <c r="L354" s="17">
        <v>-420.0</v>
      </c>
      <c r="M354" s="18">
        <v>-1936.53</v>
      </c>
      <c r="N354" s="18">
        <v>361.078</v>
      </c>
      <c r="O354" s="18">
        <v>3600.0</v>
      </c>
    </row>
    <row r="355">
      <c r="A355" s="8" t="s">
        <v>542</v>
      </c>
      <c r="B355" s="9">
        <v>30.0</v>
      </c>
      <c r="C355" s="9" t="s">
        <v>460</v>
      </c>
      <c r="D355" s="9">
        <v>75.0</v>
      </c>
      <c r="E355" s="10">
        <v>1.0</v>
      </c>
      <c r="F355" s="9">
        <v>3.0</v>
      </c>
      <c r="G355" s="9">
        <v>0.0</v>
      </c>
      <c r="H355" s="9">
        <v>1.0</v>
      </c>
      <c r="I355" s="9">
        <v>0.0</v>
      </c>
      <c r="J355" s="17">
        <v>802.0</v>
      </c>
      <c r="K355" s="18">
        <v>-2760.16</v>
      </c>
      <c r="L355" s="17">
        <v>-513.0</v>
      </c>
      <c r="M355" s="18">
        <v>-1934.02</v>
      </c>
      <c r="N355" s="18">
        <v>277.001</v>
      </c>
      <c r="O355" s="18">
        <v>3600.0</v>
      </c>
    </row>
    <row r="356">
      <c r="A356" s="8" t="s">
        <v>543</v>
      </c>
      <c r="B356" s="9">
        <v>30.0</v>
      </c>
      <c r="C356" s="9" t="s">
        <v>460</v>
      </c>
      <c r="D356" s="9">
        <v>75.0</v>
      </c>
      <c r="E356" s="10">
        <v>1.0</v>
      </c>
      <c r="F356" s="9">
        <v>4.0</v>
      </c>
      <c r="G356" s="9">
        <v>0.0</v>
      </c>
      <c r="H356" s="9">
        <v>1.0</v>
      </c>
      <c r="I356" s="9">
        <v>0.0</v>
      </c>
      <c r="J356" s="17">
        <v>784.0</v>
      </c>
      <c r="K356" s="18">
        <v>-2459.04</v>
      </c>
      <c r="L356" s="17">
        <v>-122.0</v>
      </c>
      <c r="M356" s="18">
        <v>-1751.8</v>
      </c>
      <c r="N356" s="18">
        <v>1335.9</v>
      </c>
      <c r="O356" s="18">
        <v>3600.0</v>
      </c>
    </row>
    <row r="357">
      <c r="A357" s="8" t="s">
        <v>544</v>
      </c>
      <c r="B357" s="9">
        <v>30.0</v>
      </c>
      <c r="C357" s="9" t="s">
        <v>460</v>
      </c>
      <c r="D357" s="9">
        <v>75.0</v>
      </c>
      <c r="E357" s="10">
        <v>1.0</v>
      </c>
      <c r="F357" s="9">
        <v>5.0</v>
      </c>
      <c r="G357" s="9">
        <v>0.0</v>
      </c>
      <c r="H357" s="9">
        <v>1.0</v>
      </c>
      <c r="I357" s="9">
        <v>0.0</v>
      </c>
      <c r="J357" s="17">
        <v>812.0</v>
      </c>
      <c r="K357" s="18">
        <v>-2557.78</v>
      </c>
      <c r="L357" s="17">
        <v>-876.0</v>
      </c>
      <c r="M357" s="18">
        <v>-1743.2</v>
      </c>
      <c r="N357" s="18">
        <v>98.995</v>
      </c>
      <c r="O357" s="18">
        <v>3600.0</v>
      </c>
    </row>
    <row r="358">
      <c r="A358" s="8" t="s">
        <v>545</v>
      </c>
      <c r="B358" s="9">
        <v>30.0</v>
      </c>
      <c r="C358" s="9" t="s">
        <v>460</v>
      </c>
      <c r="D358" s="9">
        <v>75.0</v>
      </c>
      <c r="E358" s="10">
        <v>2.0</v>
      </c>
      <c r="F358" s="9">
        <v>1.0</v>
      </c>
      <c r="G358" s="9">
        <v>0.0</v>
      </c>
      <c r="H358" s="9">
        <v>1.0</v>
      </c>
      <c r="I358" s="9">
        <v>0.0</v>
      </c>
      <c r="J358" s="17">
        <v>57695.0</v>
      </c>
      <c r="K358" s="18">
        <v>50992.3</v>
      </c>
      <c r="L358" s="17">
        <v>52122.0</v>
      </c>
      <c r="M358" s="18">
        <v>51581.6</v>
      </c>
      <c r="N358" s="18">
        <v>1.03675</v>
      </c>
      <c r="O358" s="18">
        <v>3600.0</v>
      </c>
    </row>
    <row r="359">
      <c r="A359" s="8" t="s">
        <v>546</v>
      </c>
      <c r="B359" s="9">
        <v>30.0</v>
      </c>
      <c r="C359" s="9" t="s">
        <v>460</v>
      </c>
      <c r="D359" s="9">
        <v>75.0</v>
      </c>
      <c r="E359" s="10">
        <v>2.0</v>
      </c>
      <c r="F359" s="9">
        <v>2.0</v>
      </c>
      <c r="G359" s="9">
        <v>0.0</v>
      </c>
      <c r="H359" s="9">
        <v>1.0</v>
      </c>
      <c r="I359" s="9">
        <v>0.0</v>
      </c>
      <c r="J359" s="17">
        <v>58640.0</v>
      </c>
      <c r="K359" s="18">
        <v>52075.0</v>
      </c>
      <c r="L359" s="17">
        <v>57741.0</v>
      </c>
      <c r="M359" s="18">
        <v>52466.3</v>
      </c>
      <c r="N359" s="18">
        <v>9.13505</v>
      </c>
      <c r="O359" s="18">
        <v>3600.0</v>
      </c>
    </row>
    <row r="360">
      <c r="A360" s="8" t="s">
        <v>547</v>
      </c>
      <c r="B360" s="9">
        <v>30.0</v>
      </c>
      <c r="C360" s="9" t="s">
        <v>460</v>
      </c>
      <c r="D360" s="9">
        <v>75.0</v>
      </c>
      <c r="E360" s="10">
        <v>2.0</v>
      </c>
      <c r="F360" s="9">
        <v>3.0</v>
      </c>
      <c r="G360" s="9">
        <v>0.0</v>
      </c>
      <c r="H360" s="9">
        <v>1.0</v>
      </c>
      <c r="I360" s="9">
        <v>0.0</v>
      </c>
      <c r="J360" s="17">
        <v>53951.0</v>
      </c>
      <c r="K360" s="18">
        <v>47299.0</v>
      </c>
      <c r="L360" s="17">
        <v>48432.0</v>
      </c>
      <c r="M360" s="18">
        <v>47915.2</v>
      </c>
      <c r="N360" s="18">
        <v>1.06706</v>
      </c>
      <c r="O360" s="18">
        <v>3600.0</v>
      </c>
    </row>
    <row r="361">
      <c r="A361" s="8" t="s">
        <v>548</v>
      </c>
      <c r="B361" s="9">
        <v>30.0</v>
      </c>
      <c r="C361" s="9" t="s">
        <v>460</v>
      </c>
      <c r="D361" s="9">
        <v>75.0</v>
      </c>
      <c r="E361" s="10">
        <v>2.0</v>
      </c>
      <c r="F361" s="9">
        <v>4.0</v>
      </c>
      <c r="G361" s="9">
        <v>0.0</v>
      </c>
      <c r="H361" s="9">
        <v>1.0</v>
      </c>
      <c r="I361" s="9">
        <v>0.0</v>
      </c>
      <c r="J361" s="17">
        <v>56756.0</v>
      </c>
      <c r="K361" s="18">
        <v>50313.1</v>
      </c>
      <c r="L361" s="17">
        <v>51321.0</v>
      </c>
      <c r="M361" s="18">
        <v>50736.1</v>
      </c>
      <c r="N361" s="18">
        <v>1.13975</v>
      </c>
      <c r="O361" s="18">
        <v>3600.0</v>
      </c>
    </row>
    <row r="362">
      <c r="A362" s="8" t="s">
        <v>549</v>
      </c>
      <c r="B362" s="9">
        <v>30.0</v>
      </c>
      <c r="C362" s="9" t="s">
        <v>460</v>
      </c>
      <c r="D362" s="9">
        <v>75.0</v>
      </c>
      <c r="E362" s="10">
        <v>2.0</v>
      </c>
      <c r="F362" s="9">
        <v>5.0</v>
      </c>
      <c r="G362" s="9">
        <v>0.0</v>
      </c>
      <c r="H362" s="9">
        <v>1.0</v>
      </c>
      <c r="I362" s="9">
        <v>0.0</v>
      </c>
      <c r="J362" s="17">
        <v>57078.0</v>
      </c>
      <c r="K362" s="18">
        <v>50731.8</v>
      </c>
      <c r="L362" s="17">
        <v>51740.0</v>
      </c>
      <c r="M362" s="18">
        <v>51248.9</v>
      </c>
      <c r="N362" s="18">
        <v>0.949201</v>
      </c>
      <c r="O362" s="18">
        <v>3600.0</v>
      </c>
    </row>
    <row r="363">
      <c r="A363" s="8" t="s">
        <v>550</v>
      </c>
      <c r="B363" s="9">
        <v>35.0</v>
      </c>
      <c r="C363" s="9" t="s">
        <v>460</v>
      </c>
      <c r="D363" s="9">
        <v>25.0</v>
      </c>
      <c r="E363" s="10">
        <v>0.6</v>
      </c>
      <c r="F363" s="9">
        <v>1.0</v>
      </c>
      <c r="G363" s="9">
        <v>0.0</v>
      </c>
      <c r="H363" s="9">
        <v>1.0</v>
      </c>
      <c r="I363" s="9">
        <v>0.0</v>
      </c>
      <c r="J363" s="17">
        <v>-2518.0</v>
      </c>
      <c r="K363" s="18">
        <v>-6527.25</v>
      </c>
      <c r="L363" s="17">
        <v>-3790.0</v>
      </c>
      <c r="M363" s="18">
        <v>-5239.66</v>
      </c>
      <c r="N363" s="18">
        <v>38.2496</v>
      </c>
      <c r="O363" s="18">
        <v>3600.0</v>
      </c>
    </row>
    <row r="364">
      <c r="A364" s="8" t="s">
        <v>551</v>
      </c>
      <c r="B364" s="9">
        <v>35.0</v>
      </c>
      <c r="C364" s="9" t="s">
        <v>460</v>
      </c>
      <c r="D364" s="9">
        <v>25.0</v>
      </c>
      <c r="E364" s="10">
        <v>0.6</v>
      </c>
      <c r="F364" s="9">
        <v>2.0</v>
      </c>
      <c r="G364" s="9">
        <v>0.0</v>
      </c>
      <c r="H364" s="9">
        <v>1.0</v>
      </c>
      <c r="I364" s="9">
        <v>0.0</v>
      </c>
      <c r="J364" s="17">
        <v>-2238.0</v>
      </c>
      <c r="K364" s="18">
        <v>-6935.56</v>
      </c>
      <c r="L364" s="17">
        <v>-4025.0</v>
      </c>
      <c r="M364" s="18">
        <v>-5481.27</v>
      </c>
      <c r="N364" s="18">
        <v>36.1805</v>
      </c>
      <c r="O364" s="18">
        <v>3600.0</v>
      </c>
    </row>
    <row r="365">
      <c r="A365" s="8" t="s">
        <v>552</v>
      </c>
      <c r="B365" s="9">
        <v>35.0</v>
      </c>
      <c r="C365" s="9" t="s">
        <v>460</v>
      </c>
      <c r="D365" s="9">
        <v>25.0</v>
      </c>
      <c r="E365" s="10">
        <v>0.6</v>
      </c>
      <c r="F365" s="9">
        <v>3.0</v>
      </c>
      <c r="G365" s="9">
        <v>0.0</v>
      </c>
      <c r="H365" s="9">
        <v>1.0</v>
      </c>
      <c r="I365" s="9">
        <v>0.0</v>
      </c>
      <c r="J365" s="17">
        <v>-2940.0</v>
      </c>
      <c r="K365" s="18">
        <v>-5958.99</v>
      </c>
      <c r="L365" s="17">
        <v>-3765.0</v>
      </c>
      <c r="M365" s="18">
        <v>-4672.55</v>
      </c>
      <c r="N365" s="18">
        <v>24.1048</v>
      </c>
      <c r="O365" s="18">
        <v>3600.0</v>
      </c>
    </row>
    <row r="366">
      <c r="A366" s="8" t="s">
        <v>553</v>
      </c>
      <c r="B366" s="9">
        <v>35.0</v>
      </c>
      <c r="C366" s="9" t="s">
        <v>460</v>
      </c>
      <c r="D366" s="9">
        <v>25.0</v>
      </c>
      <c r="E366" s="10">
        <v>0.6</v>
      </c>
      <c r="F366" s="9">
        <v>4.0</v>
      </c>
      <c r="G366" s="9">
        <v>0.0</v>
      </c>
      <c r="H366" s="9">
        <v>1.0</v>
      </c>
      <c r="I366" s="9">
        <v>0.0</v>
      </c>
      <c r="J366" s="17">
        <v>-2479.0</v>
      </c>
      <c r="K366" s="18">
        <v>-6223.03</v>
      </c>
      <c r="L366" s="17">
        <v>-4279.0</v>
      </c>
      <c r="M366" s="18">
        <v>-4808.25</v>
      </c>
      <c r="N366" s="18">
        <v>12.3684</v>
      </c>
      <c r="O366" s="18">
        <v>3600.0</v>
      </c>
    </row>
    <row r="367">
      <c r="A367" s="8" t="s">
        <v>554</v>
      </c>
      <c r="B367" s="9">
        <v>35.0</v>
      </c>
      <c r="C367" s="9" t="s">
        <v>460</v>
      </c>
      <c r="D367" s="9">
        <v>25.0</v>
      </c>
      <c r="E367" s="10">
        <v>0.6</v>
      </c>
      <c r="F367" s="9">
        <v>5.0</v>
      </c>
      <c r="G367" s="9">
        <v>0.0</v>
      </c>
      <c r="H367" s="9">
        <v>1.0</v>
      </c>
      <c r="I367" s="9">
        <v>0.0</v>
      </c>
      <c r="J367" s="17">
        <v>464.0</v>
      </c>
      <c r="K367" s="18">
        <v>-6229.13</v>
      </c>
      <c r="L367" s="17">
        <v>-4336.0</v>
      </c>
      <c r="M367" s="18">
        <v>-4817.05</v>
      </c>
      <c r="N367" s="18">
        <v>11.0943</v>
      </c>
      <c r="O367" s="18">
        <v>3600.0</v>
      </c>
    </row>
    <row r="368">
      <c r="A368" s="8" t="s">
        <v>555</v>
      </c>
      <c r="B368" s="9">
        <v>35.0</v>
      </c>
      <c r="C368" s="9" t="s">
        <v>460</v>
      </c>
      <c r="D368" s="9">
        <v>25.0</v>
      </c>
      <c r="E368" s="10">
        <v>1.0</v>
      </c>
      <c r="F368" s="9">
        <v>1.0</v>
      </c>
      <c r="G368" s="9">
        <v>0.0</v>
      </c>
      <c r="H368" s="9">
        <v>1.0</v>
      </c>
      <c r="I368" s="9">
        <v>0.0</v>
      </c>
      <c r="J368" s="17">
        <v>-257.0</v>
      </c>
      <c r="K368" s="18">
        <v>-4019.89</v>
      </c>
      <c r="L368" s="17">
        <v>-1618.0</v>
      </c>
      <c r="M368" s="18">
        <v>-3409.95</v>
      </c>
      <c r="N368" s="18">
        <v>110.751</v>
      </c>
      <c r="O368" s="18">
        <v>3600.0</v>
      </c>
    </row>
    <row r="369">
      <c r="A369" s="8" t="s">
        <v>556</v>
      </c>
      <c r="B369" s="9">
        <v>35.0</v>
      </c>
      <c r="C369" s="9" t="s">
        <v>460</v>
      </c>
      <c r="D369" s="9">
        <v>25.0</v>
      </c>
      <c r="E369" s="10">
        <v>1.0</v>
      </c>
      <c r="F369" s="9">
        <v>2.0</v>
      </c>
      <c r="G369" s="9">
        <v>0.0</v>
      </c>
      <c r="H369" s="9">
        <v>1.0</v>
      </c>
      <c r="I369" s="9">
        <v>0.0</v>
      </c>
      <c r="J369" s="17">
        <v>1772.0</v>
      </c>
      <c r="K369" s="18">
        <v>-4173.98</v>
      </c>
      <c r="L369" s="17">
        <v>-1632.0</v>
      </c>
      <c r="M369" s="18">
        <v>-3398.55</v>
      </c>
      <c r="N369" s="18">
        <v>108.244</v>
      </c>
      <c r="O369" s="18">
        <v>3600.0</v>
      </c>
    </row>
    <row r="370">
      <c r="A370" s="8" t="s">
        <v>557</v>
      </c>
      <c r="B370" s="9">
        <v>35.0</v>
      </c>
      <c r="C370" s="9" t="s">
        <v>460</v>
      </c>
      <c r="D370" s="9">
        <v>25.0</v>
      </c>
      <c r="E370" s="10">
        <v>1.0</v>
      </c>
      <c r="F370" s="9">
        <v>3.0</v>
      </c>
      <c r="G370" s="9">
        <v>0.0</v>
      </c>
      <c r="H370" s="9">
        <v>1.0</v>
      </c>
      <c r="I370" s="9">
        <v>0.0</v>
      </c>
      <c r="J370" s="17">
        <v>-497.0</v>
      </c>
      <c r="K370" s="18">
        <v>-3668.47</v>
      </c>
      <c r="L370" s="17">
        <v>-1519.0</v>
      </c>
      <c r="M370" s="18">
        <v>-3101.39</v>
      </c>
      <c r="N370" s="18">
        <v>104.173</v>
      </c>
      <c r="O370" s="18">
        <v>3600.0</v>
      </c>
    </row>
    <row r="371">
      <c r="A371" s="8" t="s">
        <v>558</v>
      </c>
      <c r="B371" s="9">
        <v>35.0</v>
      </c>
      <c r="C371" s="9" t="s">
        <v>460</v>
      </c>
      <c r="D371" s="9">
        <v>25.0</v>
      </c>
      <c r="E371" s="10">
        <v>1.0</v>
      </c>
      <c r="F371" s="9">
        <v>4.0</v>
      </c>
      <c r="G371" s="9">
        <v>0.0</v>
      </c>
      <c r="H371" s="9">
        <v>1.0</v>
      </c>
      <c r="I371" s="9">
        <v>0.0</v>
      </c>
      <c r="J371" s="17">
        <v>-1045.0</v>
      </c>
      <c r="K371" s="18">
        <v>-3799.83</v>
      </c>
      <c r="L371" s="17">
        <v>-1745.0</v>
      </c>
      <c r="M371" s="18">
        <v>-3139.56</v>
      </c>
      <c r="N371" s="18">
        <v>79.9172</v>
      </c>
      <c r="O371" s="18">
        <v>3600.0</v>
      </c>
    </row>
    <row r="372">
      <c r="A372" s="8" t="s">
        <v>559</v>
      </c>
      <c r="B372" s="9">
        <v>35.0</v>
      </c>
      <c r="C372" s="9" t="s">
        <v>460</v>
      </c>
      <c r="D372" s="9">
        <v>25.0</v>
      </c>
      <c r="E372" s="10">
        <v>1.0</v>
      </c>
      <c r="F372" s="9">
        <v>5.0</v>
      </c>
      <c r="G372" s="9">
        <v>0.0</v>
      </c>
      <c r="H372" s="9">
        <v>1.0</v>
      </c>
      <c r="I372" s="9">
        <v>0.0</v>
      </c>
      <c r="J372" s="17">
        <v>34.0</v>
      </c>
      <c r="K372" s="18">
        <v>-3978.38</v>
      </c>
      <c r="L372" s="17">
        <v>-1829.0</v>
      </c>
      <c r="M372" s="18">
        <v>-3258.59</v>
      </c>
      <c r="N372" s="18">
        <v>78.1625</v>
      </c>
      <c r="O372" s="18">
        <v>3600.0</v>
      </c>
    </row>
    <row r="373">
      <c r="A373" s="8" t="s">
        <v>560</v>
      </c>
      <c r="B373" s="9">
        <v>35.0</v>
      </c>
      <c r="C373" s="9" t="s">
        <v>460</v>
      </c>
      <c r="D373" s="9">
        <v>25.0</v>
      </c>
      <c r="E373" s="10">
        <v>2.0</v>
      </c>
      <c r="F373" s="9">
        <v>1.0</v>
      </c>
      <c r="G373" s="9">
        <v>0.0</v>
      </c>
      <c r="H373" s="9">
        <v>1.0</v>
      </c>
      <c r="I373" s="9">
        <v>0.0</v>
      </c>
      <c r="J373" s="17">
        <v>19300.0</v>
      </c>
      <c r="K373" s="18">
        <v>15796.3</v>
      </c>
      <c r="L373" s="17">
        <v>18352.0</v>
      </c>
      <c r="M373" s="18">
        <v>16058.0</v>
      </c>
      <c r="N373" s="18">
        <v>12.4998</v>
      </c>
      <c r="O373" s="18">
        <v>3600.0</v>
      </c>
    </row>
    <row r="374">
      <c r="A374" s="8" t="s">
        <v>561</v>
      </c>
      <c r="B374" s="9">
        <v>35.0</v>
      </c>
      <c r="C374" s="9" t="s">
        <v>460</v>
      </c>
      <c r="D374" s="9">
        <v>25.0</v>
      </c>
      <c r="E374" s="10">
        <v>2.0</v>
      </c>
      <c r="F374" s="9">
        <v>2.0</v>
      </c>
      <c r="G374" s="9">
        <v>0.0</v>
      </c>
      <c r="H374" s="9">
        <v>1.0</v>
      </c>
      <c r="I374" s="9">
        <v>0.0</v>
      </c>
      <c r="J374" s="17">
        <v>21260.0</v>
      </c>
      <c r="K374" s="18">
        <v>17745.3</v>
      </c>
      <c r="L374" s="17">
        <v>19288.0</v>
      </c>
      <c r="M374" s="18">
        <v>18006.8</v>
      </c>
      <c r="N374" s="18">
        <v>6.64265</v>
      </c>
      <c r="O374" s="18">
        <v>3600.0</v>
      </c>
    </row>
    <row r="375">
      <c r="A375" s="8" t="s">
        <v>562</v>
      </c>
      <c r="B375" s="9">
        <v>35.0</v>
      </c>
      <c r="C375" s="9" t="s">
        <v>460</v>
      </c>
      <c r="D375" s="9">
        <v>25.0</v>
      </c>
      <c r="E375" s="10">
        <v>2.0</v>
      </c>
      <c r="F375" s="9">
        <v>3.0</v>
      </c>
      <c r="G375" s="9">
        <v>0.0</v>
      </c>
      <c r="H375" s="9">
        <v>1.0</v>
      </c>
      <c r="I375" s="9">
        <v>0.0</v>
      </c>
      <c r="J375" s="17">
        <v>17878.0</v>
      </c>
      <c r="K375" s="18">
        <v>14431.2</v>
      </c>
      <c r="L375" s="17">
        <v>17033.0</v>
      </c>
      <c r="M375" s="18">
        <v>14660.5</v>
      </c>
      <c r="N375" s="18">
        <v>13.9291</v>
      </c>
      <c r="O375" s="18">
        <v>3600.0</v>
      </c>
    </row>
    <row r="376">
      <c r="A376" s="8" t="s">
        <v>563</v>
      </c>
      <c r="B376" s="9">
        <v>35.0</v>
      </c>
      <c r="C376" s="9" t="s">
        <v>460</v>
      </c>
      <c r="D376" s="9">
        <v>25.0</v>
      </c>
      <c r="E376" s="10">
        <v>2.0</v>
      </c>
      <c r="F376" s="9">
        <v>4.0</v>
      </c>
      <c r="G376" s="9">
        <v>0.0</v>
      </c>
      <c r="H376" s="9">
        <v>1.0</v>
      </c>
      <c r="I376" s="9">
        <v>0.0</v>
      </c>
      <c r="J376" s="17">
        <v>25855.0</v>
      </c>
      <c r="K376" s="18">
        <v>16358.2</v>
      </c>
      <c r="L376" s="17">
        <v>17610.0</v>
      </c>
      <c r="M376" s="18">
        <v>16658.6</v>
      </c>
      <c r="N376" s="18">
        <v>5.40283</v>
      </c>
      <c r="O376" s="18">
        <v>3600.0</v>
      </c>
    </row>
    <row r="377">
      <c r="A377" s="8" t="s">
        <v>564</v>
      </c>
      <c r="B377" s="9">
        <v>35.0</v>
      </c>
      <c r="C377" s="9" t="s">
        <v>460</v>
      </c>
      <c r="D377" s="9">
        <v>25.0</v>
      </c>
      <c r="E377" s="10">
        <v>2.0</v>
      </c>
      <c r="F377" s="9">
        <v>5.0</v>
      </c>
      <c r="G377" s="9">
        <v>0.0</v>
      </c>
      <c r="H377" s="9">
        <v>1.0</v>
      </c>
      <c r="I377" s="9">
        <v>0.0</v>
      </c>
      <c r="J377" s="17">
        <v>28674.0</v>
      </c>
      <c r="K377" s="18">
        <v>15256.2</v>
      </c>
      <c r="L377" s="17">
        <v>16794.0</v>
      </c>
      <c r="M377" s="18">
        <v>15558.4</v>
      </c>
      <c r="N377" s="18">
        <v>7.35746</v>
      </c>
      <c r="O377" s="18">
        <v>3600.0</v>
      </c>
    </row>
    <row r="378">
      <c r="A378" s="8" t="s">
        <v>565</v>
      </c>
      <c r="B378" s="9">
        <v>35.0</v>
      </c>
      <c r="C378" s="9" t="s">
        <v>460</v>
      </c>
      <c r="D378" s="9">
        <v>50.0</v>
      </c>
      <c r="E378" s="10">
        <v>0.6</v>
      </c>
      <c r="F378" s="9">
        <v>1.0</v>
      </c>
      <c r="G378" s="9">
        <v>0.0</v>
      </c>
      <c r="H378" s="9">
        <v>1.0</v>
      </c>
      <c r="I378" s="9">
        <v>0.0</v>
      </c>
      <c r="J378" s="17">
        <v>-5178.0</v>
      </c>
      <c r="K378" s="18">
        <v>-10970.0</v>
      </c>
      <c r="L378" s="17">
        <v>-6181.0</v>
      </c>
      <c r="M378" s="18">
        <v>-9452.61</v>
      </c>
      <c r="N378" s="18">
        <v>52.9302</v>
      </c>
      <c r="O378" s="18">
        <v>3600.0</v>
      </c>
    </row>
    <row r="379">
      <c r="A379" s="8" t="s">
        <v>566</v>
      </c>
      <c r="B379" s="9">
        <v>35.0</v>
      </c>
      <c r="C379" s="9" t="s">
        <v>460</v>
      </c>
      <c r="D379" s="9">
        <v>50.0</v>
      </c>
      <c r="E379" s="10">
        <v>0.6</v>
      </c>
      <c r="F379" s="9">
        <v>2.0</v>
      </c>
      <c r="G379" s="9">
        <v>0.0</v>
      </c>
      <c r="H379" s="9">
        <v>1.0</v>
      </c>
      <c r="I379" s="9">
        <v>0.0</v>
      </c>
      <c r="J379" s="17">
        <v>-3747.0</v>
      </c>
      <c r="K379" s="18">
        <v>-10436.1</v>
      </c>
      <c r="L379" s="17">
        <v>-5979.0</v>
      </c>
      <c r="M379" s="18">
        <v>-8845.38</v>
      </c>
      <c r="N379" s="18">
        <v>47.9408</v>
      </c>
      <c r="O379" s="18">
        <v>3600.0</v>
      </c>
    </row>
    <row r="380">
      <c r="A380" s="8" t="s">
        <v>567</v>
      </c>
      <c r="B380" s="9">
        <v>35.0</v>
      </c>
      <c r="C380" s="9" t="s">
        <v>460</v>
      </c>
      <c r="D380" s="9">
        <v>50.0</v>
      </c>
      <c r="E380" s="10">
        <v>0.6</v>
      </c>
      <c r="F380" s="9">
        <v>3.0</v>
      </c>
      <c r="G380" s="9">
        <v>0.0</v>
      </c>
      <c r="H380" s="9">
        <v>1.0</v>
      </c>
      <c r="I380" s="9">
        <v>0.0</v>
      </c>
      <c r="J380" s="17">
        <v>-5280.0</v>
      </c>
      <c r="K380" s="18">
        <v>-11065.5</v>
      </c>
      <c r="L380" s="17">
        <v>-6326.0</v>
      </c>
      <c r="M380" s="18">
        <v>-9508.95</v>
      </c>
      <c r="N380" s="18">
        <v>50.3154</v>
      </c>
      <c r="O380" s="18">
        <v>3600.0</v>
      </c>
    </row>
    <row r="381">
      <c r="A381" s="8" t="s">
        <v>568</v>
      </c>
      <c r="B381" s="9">
        <v>35.0</v>
      </c>
      <c r="C381" s="9" t="s">
        <v>460</v>
      </c>
      <c r="D381" s="9">
        <v>50.0</v>
      </c>
      <c r="E381" s="10">
        <v>0.6</v>
      </c>
      <c r="F381" s="9">
        <v>4.0</v>
      </c>
      <c r="G381" s="9">
        <v>0.0</v>
      </c>
      <c r="H381" s="9">
        <v>1.0</v>
      </c>
      <c r="I381" s="9">
        <v>0.0</v>
      </c>
      <c r="J381" s="17">
        <v>-4835.0</v>
      </c>
      <c r="K381" s="18">
        <v>-10967.5</v>
      </c>
      <c r="L381" s="17">
        <v>-6805.0</v>
      </c>
      <c r="M381" s="18">
        <v>-9274.59</v>
      </c>
      <c r="N381" s="18">
        <v>36.2908</v>
      </c>
      <c r="O381" s="18">
        <v>3600.0</v>
      </c>
    </row>
    <row r="382">
      <c r="A382" s="8" t="s">
        <v>569</v>
      </c>
      <c r="B382" s="9">
        <v>35.0</v>
      </c>
      <c r="C382" s="9" t="s">
        <v>460</v>
      </c>
      <c r="D382" s="9">
        <v>50.0</v>
      </c>
      <c r="E382" s="10">
        <v>0.6</v>
      </c>
      <c r="F382" s="9">
        <v>5.0</v>
      </c>
      <c r="G382" s="9">
        <v>0.0</v>
      </c>
      <c r="H382" s="9">
        <v>1.0</v>
      </c>
      <c r="I382" s="9">
        <v>0.0</v>
      </c>
      <c r="J382" s="17">
        <v>-4463.0</v>
      </c>
      <c r="K382" s="18">
        <v>-11204.8</v>
      </c>
      <c r="L382" s="17">
        <v>-6357.0</v>
      </c>
      <c r="M382" s="18">
        <v>-9770.69</v>
      </c>
      <c r="N382" s="18">
        <v>53.6997</v>
      </c>
      <c r="O382" s="18">
        <v>3600.0</v>
      </c>
    </row>
    <row r="383">
      <c r="A383" s="8" t="s">
        <v>570</v>
      </c>
      <c r="B383" s="9">
        <v>35.0</v>
      </c>
      <c r="C383" s="9" t="s">
        <v>460</v>
      </c>
      <c r="D383" s="9">
        <v>50.0</v>
      </c>
      <c r="E383" s="10">
        <v>1.0</v>
      </c>
      <c r="F383" s="9">
        <v>1.0</v>
      </c>
      <c r="G383" s="9">
        <v>0.0</v>
      </c>
      <c r="H383" s="9">
        <v>1.0</v>
      </c>
      <c r="I383" s="9">
        <v>0.0</v>
      </c>
      <c r="J383" s="17">
        <v>-130.0</v>
      </c>
      <c r="K383" s="18">
        <v>-4989.79</v>
      </c>
      <c r="L383" s="17">
        <v>-1935.0</v>
      </c>
      <c r="M383" s="18">
        <v>-4293.14</v>
      </c>
      <c r="N383" s="18">
        <v>121.867</v>
      </c>
      <c r="O383" s="18">
        <v>3600.0</v>
      </c>
    </row>
    <row r="384">
      <c r="A384" s="8" t="s">
        <v>571</v>
      </c>
      <c r="B384" s="9">
        <v>35.0</v>
      </c>
      <c r="C384" s="9" t="s">
        <v>460</v>
      </c>
      <c r="D384" s="9">
        <v>50.0</v>
      </c>
      <c r="E384" s="10">
        <v>1.0</v>
      </c>
      <c r="F384" s="9">
        <v>2.0</v>
      </c>
      <c r="G384" s="9">
        <v>0.0</v>
      </c>
      <c r="H384" s="9">
        <v>1.0</v>
      </c>
      <c r="I384" s="9">
        <v>0.0</v>
      </c>
      <c r="J384" s="17">
        <v>1738.0</v>
      </c>
      <c r="K384" s="18">
        <v>-4934.45</v>
      </c>
      <c r="L384" s="17">
        <v>-1351.0</v>
      </c>
      <c r="M384" s="18">
        <v>-4114.21</v>
      </c>
      <c r="N384" s="18">
        <v>204.53</v>
      </c>
      <c r="O384" s="18">
        <v>3600.0</v>
      </c>
    </row>
    <row r="385">
      <c r="A385" s="8" t="s">
        <v>572</v>
      </c>
      <c r="B385" s="9">
        <v>35.0</v>
      </c>
      <c r="C385" s="9" t="s">
        <v>460</v>
      </c>
      <c r="D385" s="9">
        <v>50.0</v>
      </c>
      <c r="E385" s="10">
        <v>1.0</v>
      </c>
      <c r="F385" s="9">
        <v>3.0</v>
      </c>
      <c r="G385" s="9">
        <v>0.0</v>
      </c>
      <c r="H385" s="9">
        <v>1.0</v>
      </c>
      <c r="I385" s="9">
        <v>0.0</v>
      </c>
      <c r="J385" s="17">
        <v>-580.0</v>
      </c>
      <c r="K385" s="18">
        <v>-5109.32</v>
      </c>
      <c r="L385" s="17">
        <v>-1857.0</v>
      </c>
      <c r="M385" s="18">
        <v>-4392.97</v>
      </c>
      <c r="N385" s="18">
        <v>136.562</v>
      </c>
      <c r="O385" s="18">
        <v>3600.0</v>
      </c>
    </row>
    <row r="386">
      <c r="A386" s="8" t="s">
        <v>573</v>
      </c>
      <c r="B386" s="9">
        <v>35.0</v>
      </c>
      <c r="C386" s="9" t="s">
        <v>460</v>
      </c>
      <c r="D386" s="9">
        <v>50.0</v>
      </c>
      <c r="E386" s="10">
        <v>1.0</v>
      </c>
      <c r="F386" s="9">
        <v>4.0</v>
      </c>
      <c r="G386" s="9">
        <v>0.0</v>
      </c>
      <c r="H386" s="9">
        <v>1.0</v>
      </c>
      <c r="I386" s="9">
        <v>0.0</v>
      </c>
      <c r="J386" s="17">
        <v>-144.0</v>
      </c>
      <c r="K386" s="18">
        <v>-4943.8</v>
      </c>
      <c r="L386" s="17">
        <v>-1913.0</v>
      </c>
      <c r="M386" s="18">
        <v>-4041.85</v>
      </c>
      <c r="N386" s="18">
        <v>111.283</v>
      </c>
      <c r="O386" s="18">
        <v>3600.0</v>
      </c>
    </row>
    <row r="387">
      <c r="A387" s="8" t="s">
        <v>574</v>
      </c>
      <c r="B387" s="9">
        <v>35.0</v>
      </c>
      <c r="C387" s="9" t="s">
        <v>460</v>
      </c>
      <c r="D387" s="9">
        <v>50.0</v>
      </c>
      <c r="E387" s="10">
        <v>1.0</v>
      </c>
      <c r="F387" s="9">
        <v>5.0</v>
      </c>
      <c r="G387" s="9">
        <v>0.0</v>
      </c>
      <c r="H387" s="9">
        <v>1.0</v>
      </c>
      <c r="I387" s="9">
        <v>0.0</v>
      </c>
      <c r="J387" s="17">
        <v>-764.0</v>
      </c>
      <c r="K387" s="18">
        <v>-5651.55</v>
      </c>
      <c r="L387" s="17">
        <v>-2177.0</v>
      </c>
      <c r="M387" s="18">
        <v>-4793.92</v>
      </c>
      <c r="N387" s="18">
        <v>120.208</v>
      </c>
      <c r="O387" s="18">
        <v>3600.0</v>
      </c>
    </row>
    <row r="388">
      <c r="A388" s="8" t="s">
        <v>575</v>
      </c>
      <c r="B388" s="9">
        <v>35.0</v>
      </c>
      <c r="C388" s="9" t="s">
        <v>460</v>
      </c>
      <c r="D388" s="9">
        <v>50.0</v>
      </c>
      <c r="E388" s="10">
        <v>2.0</v>
      </c>
      <c r="F388" s="9">
        <v>1.0</v>
      </c>
      <c r="G388" s="9">
        <v>0.0</v>
      </c>
      <c r="H388" s="9">
        <v>1.0</v>
      </c>
      <c r="I388" s="9">
        <v>0.0</v>
      </c>
      <c r="J388" s="17">
        <v>39280.0</v>
      </c>
      <c r="K388" s="18">
        <v>33596.8</v>
      </c>
      <c r="L388" s="17">
        <v>35243.0</v>
      </c>
      <c r="M388" s="18">
        <v>33905.8</v>
      </c>
      <c r="N388" s="18">
        <v>3.79432</v>
      </c>
      <c r="O388" s="18">
        <v>3600.0</v>
      </c>
    </row>
    <row r="389">
      <c r="A389" s="8" t="s">
        <v>576</v>
      </c>
      <c r="B389" s="9">
        <v>35.0</v>
      </c>
      <c r="C389" s="9" t="s">
        <v>460</v>
      </c>
      <c r="D389" s="9">
        <v>50.0</v>
      </c>
      <c r="E389" s="10">
        <v>2.0</v>
      </c>
      <c r="F389" s="9">
        <v>2.0</v>
      </c>
      <c r="G389" s="9">
        <v>0.0</v>
      </c>
      <c r="H389" s="9">
        <v>1.0</v>
      </c>
      <c r="I389" s="9">
        <v>0.0</v>
      </c>
      <c r="J389" s="17">
        <v>70301.0</v>
      </c>
      <c r="K389" s="18">
        <v>31764.7</v>
      </c>
      <c r="L389" s="17">
        <v>33255.0</v>
      </c>
      <c r="M389" s="18">
        <v>32049.8</v>
      </c>
      <c r="N389" s="18">
        <v>3.62417</v>
      </c>
      <c r="O389" s="18">
        <v>3600.0</v>
      </c>
    </row>
    <row r="390">
      <c r="A390" s="8" t="s">
        <v>577</v>
      </c>
      <c r="B390" s="9">
        <v>35.0</v>
      </c>
      <c r="C390" s="9" t="s">
        <v>460</v>
      </c>
      <c r="D390" s="9">
        <v>50.0</v>
      </c>
      <c r="E390" s="10">
        <v>2.0</v>
      </c>
      <c r="F390" s="9">
        <v>3.0</v>
      </c>
      <c r="G390" s="9">
        <v>0.0</v>
      </c>
      <c r="H390" s="9">
        <v>1.0</v>
      </c>
      <c r="I390" s="9">
        <v>0.0</v>
      </c>
      <c r="J390" s="17">
        <v>40724.0</v>
      </c>
      <c r="K390" s="18">
        <v>34806.4</v>
      </c>
      <c r="L390" s="17">
        <v>36487.0</v>
      </c>
      <c r="M390" s="18">
        <v>35074.2</v>
      </c>
      <c r="N390" s="18">
        <v>3.872</v>
      </c>
      <c r="O390" s="18">
        <v>3600.0</v>
      </c>
    </row>
    <row r="391">
      <c r="A391" s="8" t="s">
        <v>578</v>
      </c>
      <c r="B391" s="9">
        <v>35.0</v>
      </c>
      <c r="C391" s="9" t="s">
        <v>460</v>
      </c>
      <c r="D391" s="9">
        <v>50.0</v>
      </c>
      <c r="E391" s="10">
        <v>2.0</v>
      </c>
      <c r="F391" s="9">
        <v>4.0</v>
      </c>
      <c r="G391" s="9">
        <v>0.0</v>
      </c>
      <c r="H391" s="9">
        <v>1.0</v>
      </c>
      <c r="I391" s="9">
        <v>0.0</v>
      </c>
      <c r="J391" s="17">
        <v>40512.0</v>
      </c>
      <c r="K391" s="18">
        <v>35061.6</v>
      </c>
      <c r="L391" s="17">
        <v>39675.0</v>
      </c>
      <c r="M391" s="18">
        <v>35354.2</v>
      </c>
      <c r="N391" s="18">
        <v>10.8904</v>
      </c>
      <c r="O391" s="18">
        <v>3600.0</v>
      </c>
    </row>
    <row r="392">
      <c r="A392" s="8" t="s">
        <v>579</v>
      </c>
      <c r="B392" s="9">
        <v>35.0</v>
      </c>
      <c r="C392" s="9" t="s">
        <v>460</v>
      </c>
      <c r="D392" s="9">
        <v>50.0</v>
      </c>
      <c r="E392" s="10">
        <v>2.0</v>
      </c>
      <c r="F392" s="9">
        <v>5.0</v>
      </c>
      <c r="G392" s="9">
        <v>0.0</v>
      </c>
      <c r="H392" s="9">
        <v>1.0</v>
      </c>
      <c r="I392" s="9">
        <v>0.0</v>
      </c>
      <c r="J392" s="17">
        <v>38665.0</v>
      </c>
      <c r="K392" s="18">
        <v>32627.1</v>
      </c>
      <c r="L392" s="17">
        <v>34518.0</v>
      </c>
      <c r="M392" s="18">
        <v>33034.7</v>
      </c>
      <c r="N392" s="18">
        <v>4.29728</v>
      </c>
      <c r="O392" s="18">
        <v>3600.0</v>
      </c>
    </row>
    <row r="393">
      <c r="A393" s="8" t="s">
        <v>580</v>
      </c>
      <c r="B393" s="9">
        <v>35.0</v>
      </c>
      <c r="C393" s="9" t="s">
        <v>460</v>
      </c>
      <c r="D393" s="9">
        <v>75.0</v>
      </c>
      <c r="E393" s="10">
        <v>0.6</v>
      </c>
      <c r="F393" s="9">
        <v>1.0</v>
      </c>
      <c r="G393" s="9">
        <v>0.0</v>
      </c>
      <c r="H393" s="9">
        <v>1.0</v>
      </c>
      <c r="I393" s="9">
        <v>0.0</v>
      </c>
      <c r="J393" s="17">
        <v>-4193.0</v>
      </c>
      <c r="K393" s="18">
        <v>-13216.6</v>
      </c>
      <c r="L393" s="17">
        <v>-8437.0</v>
      </c>
      <c r="M393" s="18">
        <v>-11665.8</v>
      </c>
      <c r="N393" s="18">
        <v>38.269</v>
      </c>
      <c r="O393" s="18">
        <v>3600.0</v>
      </c>
    </row>
    <row r="394">
      <c r="A394" s="8" t="s">
        <v>581</v>
      </c>
      <c r="B394" s="9">
        <v>35.0</v>
      </c>
      <c r="C394" s="9" t="s">
        <v>460</v>
      </c>
      <c r="D394" s="9">
        <v>75.0</v>
      </c>
      <c r="E394" s="10">
        <v>0.6</v>
      </c>
      <c r="F394" s="9">
        <v>2.0</v>
      </c>
      <c r="G394" s="9">
        <v>0.0</v>
      </c>
      <c r="H394" s="9">
        <v>1.0</v>
      </c>
      <c r="I394" s="9">
        <v>0.0</v>
      </c>
      <c r="J394" s="17">
        <v>-4728.0</v>
      </c>
      <c r="K394" s="18">
        <v>-13230.6</v>
      </c>
      <c r="L394" s="17">
        <v>-8395.0</v>
      </c>
      <c r="M394" s="18">
        <v>-11641.8</v>
      </c>
      <c r="N394" s="18">
        <v>38.6753</v>
      </c>
      <c r="O394" s="18">
        <v>3600.0</v>
      </c>
    </row>
    <row r="395">
      <c r="A395" s="8" t="s">
        <v>582</v>
      </c>
      <c r="B395" s="9">
        <v>35.0</v>
      </c>
      <c r="C395" s="9" t="s">
        <v>460</v>
      </c>
      <c r="D395" s="9">
        <v>75.0</v>
      </c>
      <c r="E395" s="10">
        <v>0.6</v>
      </c>
      <c r="F395" s="9">
        <v>3.0</v>
      </c>
      <c r="G395" s="9">
        <v>0.0</v>
      </c>
      <c r="H395" s="9">
        <v>1.0</v>
      </c>
      <c r="I395" s="9">
        <v>0.0</v>
      </c>
      <c r="J395" s="17">
        <v>3353.0</v>
      </c>
      <c r="K395" s="18">
        <v>-13094.0</v>
      </c>
      <c r="L395" s="17">
        <v>-7874.0</v>
      </c>
      <c r="M395" s="18">
        <v>-11274.5</v>
      </c>
      <c r="N395" s="18">
        <v>43.1863</v>
      </c>
      <c r="O395" s="18">
        <v>3600.0</v>
      </c>
    </row>
    <row r="396">
      <c r="A396" s="8" t="s">
        <v>583</v>
      </c>
      <c r="B396" s="9">
        <v>35.0</v>
      </c>
      <c r="C396" s="9" t="s">
        <v>460</v>
      </c>
      <c r="D396" s="9">
        <v>75.0</v>
      </c>
      <c r="E396" s="10">
        <v>0.6</v>
      </c>
      <c r="F396" s="9">
        <v>4.0</v>
      </c>
      <c r="G396" s="9">
        <v>0.0</v>
      </c>
      <c r="H396" s="9">
        <v>1.0</v>
      </c>
      <c r="I396" s="9">
        <v>0.0</v>
      </c>
      <c r="J396" s="17">
        <v>-5574.0</v>
      </c>
      <c r="K396" s="18">
        <v>-13495.4</v>
      </c>
      <c r="L396" s="17">
        <v>-8558.0</v>
      </c>
      <c r="M396" s="18">
        <v>-11637.0</v>
      </c>
      <c r="N396" s="18">
        <v>35.9786</v>
      </c>
      <c r="O396" s="18">
        <v>3600.0</v>
      </c>
    </row>
    <row r="397">
      <c r="A397" s="8" t="s">
        <v>584</v>
      </c>
      <c r="B397" s="9">
        <v>35.0</v>
      </c>
      <c r="C397" s="9" t="s">
        <v>460</v>
      </c>
      <c r="D397" s="9">
        <v>75.0</v>
      </c>
      <c r="E397" s="10">
        <v>0.6</v>
      </c>
      <c r="F397" s="9">
        <v>5.0</v>
      </c>
      <c r="G397" s="9">
        <v>0.0</v>
      </c>
      <c r="H397" s="9">
        <v>1.0</v>
      </c>
      <c r="I397" s="9">
        <v>0.0</v>
      </c>
      <c r="J397" s="17">
        <v>-7728.0</v>
      </c>
      <c r="K397" s="18">
        <v>-13613.0</v>
      </c>
      <c r="L397" s="17">
        <v>-8793.0</v>
      </c>
      <c r="M397" s="18">
        <v>-12055.6</v>
      </c>
      <c r="N397" s="18">
        <v>37.1051</v>
      </c>
      <c r="O397" s="18">
        <v>3600.0</v>
      </c>
    </row>
    <row r="398">
      <c r="A398" s="8" t="s">
        <v>585</v>
      </c>
      <c r="B398" s="9">
        <v>35.0</v>
      </c>
      <c r="C398" s="9" t="s">
        <v>460</v>
      </c>
      <c r="D398" s="9">
        <v>75.0</v>
      </c>
      <c r="E398" s="10">
        <v>1.0</v>
      </c>
      <c r="F398" s="9">
        <v>1.0</v>
      </c>
      <c r="G398" s="9">
        <v>0.0</v>
      </c>
      <c r="H398" s="9">
        <v>1.0</v>
      </c>
      <c r="I398" s="9">
        <v>0.0</v>
      </c>
      <c r="J398" s="17">
        <v>309.0</v>
      </c>
      <c r="K398" s="18">
        <v>-5064.74</v>
      </c>
      <c r="L398" s="17">
        <v>-1925.0</v>
      </c>
      <c r="M398" s="18">
        <v>-4264.12</v>
      </c>
      <c r="N398" s="18">
        <v>121.513</v>
      </c>
      <c r="O398" s="18">
        <v>3600.0</v>
      </c>
    </row>
    <row r="399">
      <c r="A399" s="8" t="s">
        <v>586</v>
      </c>
      <c r="B399" s="9">
        <v>35.0</v>
      </c>
      <c r="C399" s="9" t="s">
        <v>460</v>
      </c>
      <c r="D399" s="9">
        <v>75.0</v>
      </c>
      <c r="E399" s="10">
        <v>1.0</v>
      </c>
      <c r="F399" s="9">
        <v>2.0</v>
      </c>
      <c r="G399" s="9">
        <v>0.0</v>
      </c>
      <c r="H399" s="9">
        <v>1.0</v>
      </c>
      <c r="I399" s="9">
        <v>0.0</v>
      </c>
      <c r="J399" s="17">
        <v>-735.0</v>
      </c>
      <c r="K399" s="18">
        <v>-5193.38</v>
      </c>
      <c r="L399" s="17">
        <v>-1982.0</v>
      </c>
      <c r="M399" s="18">
        <v>-4337.56</v>
      </c>
      <c r="N399" s="18">
        <v>118.848</v>
      </c>
      <c r="O399" s="18">
        <v>3600.0</v>
      </c>
    </row>
    <row r="400">
      <c r="A400" s="8" t="s">
        <v>587</v>
      </c>
      <c r="B400" s="9">
        <v>35.0</v>
      </c>
      <c r="C400" s="9" t="s">
        <v>460</v>
      </c>
      <c r="D400" s="9">
        <v>75.0</v>
      </c>
      <c r="E400" s="10">
        <v>1.0</v>
      </c>
      <c r="F400" s="9">
        <v>3.0</v>
      </c>
      <c r="G400" s="9">
        <v>0.0</v>
      </c>
      <c r="H400" s="9">
        <v>1.0</v>
      </c>
      <c r="I400" s="9">
        <v>0.0</v>
      </c>
      <c r="J400" s="17">
        <v>610.0</v>
      </c>
      <c r="K400" s="18">
        <v>-5404.92</v>
      </c>
      <c r="L400" s="17">
        <v>-1896.0</v>
      </c>
      <c r="M400" s="18">
        <v>-4406.94</v>
      </c>
      <c r="N400" s="18">
        <v>132.434</v>
      </c>
      <c r="O400" s="18">
        <v>3600.0</v>
      </c>
    </row>
    <row r="401">
      <c r="A401" s="8" t="s">
        <v>588</v>
      </c>
      <c r="B401" s="9">
        <v>35.0</v>
      </c>
      <c r="C401" s="9" t="s">
        <v>460</v>
      </c>
      <c r="D401" s="9">
        <v>75.0</v>
      </c>
      <c r="E401" s="10">
        <v>1.0</v>
      </c>
      <c r="F401" s="9">
        <v>4.0</v>
      </c>
      <c r="G401" s="9">
        <v>0.0</v>
      </c>
      <c r="H401" s="9">
        <v>1.0</v>
      </c>
      <c r="I401" s="9">
        <v>0.0</v>
      </c>
      <c r="J401" s="17">
        <v>1671.0</v>
      </c>
      <c r="K401" s="18">
        <v>-5141.88</v>
      </c>
      <c r="L401" s="17">
        <v>-1950.0</v>
      </c>
      <c r="M401" s="18">
        <v>-4119.39</v>
      </c>
      <c r="N401" s="18">
        <v>111.251</v>
      </c>
      <c r="O401" s="18">
        <v>3600.0</v>
      </c>
    </row>
    <row r="402">
      <c r="A402" s="8" t="s">
        <v>589</v>
      </c>
      <c r="B402" s="9">
        <v>35.0</v>
      </c>
      <c r="C402" s="9" t="s">
        <v>460</v>
      </c>
      <c r="D402" s="9">
        <v>75.0</v>
      </c>
      <c r="E402" s="10">
        <v>1.0</v>
      </c>
      <c r="F402" s="9">
        <v>5.0</v>
      </c>
      <c r="G402" s="9">
        <v>0.0</v>
      </c>
      <c r="H402" s="9">
        <v>1.0</v>
      </c>
      <c r="I402" s="9">
        <v>0.0</v>
      </c>
      <c r="J402" s="17">
        <v>-833.0</v>
      </c>
      <c r="K402" s="18">
        <v>-5002.67</v>
      </c>
      <c r="L402" s="17">
        <v>-1845.0</v>
      </c>
      <c r="M402" s="18">
        <v>-4213.24</v>
      </c>
      <c r="N402" s="18">
        <v>128.36</v>
      </c>
      <c r="O402" s="18">
        <v>3600.0</v>
      </c>
    </row>
    <row r="403">
      <c r="A403" s="8" t="s">
        <v>590</v>
      </c>
      <c r="B403" s="9">
        <v>35.0</v>
      </c>
      <c r="C403" s="9" t="s">
        <v>460</v>
      </c>
      <c r="D403" s="9">
        <v>75.0</v>
      </c>
      <c r="E403" s="10">
        <v>2.0</v>
      </c>
      <c r="F403" s="9">
        <v>1.0</v>
      </c>
      <c r="G403" s="9">
        <v>0.0</v>
      </c>
      <c r="H403" s="9">
        <v>1.0</v>
      </c>
      <c r="I403" s="9">
        <v>0.0</v>
      </c>
      <c r="J403" s="17">
        <v>60484.0</v>
      </c>
      <c r="K403" s="18">
        <v>53401.7</v>
      </c>
      <c r="L403" s="17">
        <v>55002.0</v>
      </c>
      <c r="M403" s="18">
        <v>53693.6</v>
      </c>
      <c r="N403" s="18">
        <v>2.37878</v>
      </c>
      <c r="O403" s="18">
        <v>3600.0</v>
      </c>
    </row>
    <row r="404">
      <c r="A404" s="8" t="s">
        <v>591</v>
      </c>
      <c r="B404" s="9">
        <v>35.0</v>
      </c>
      <c r="C404" s="9" t="s">
        <v>460</v>
      </c>
      <c r="D404" s="9">
        <v>75.0</v>
      </c>
      <c r="E404" s="10">
        <v>2.0</v>
      </c>
      <c r="F404" s="9">
        <v>2.0</v>
      </c>
      <c r="G404" s="9">
        <v>0.0</v>
      </c>
      <c r="H404" s="9">
        <v>1.0</v>
      </c>
      <c r="I404" s="9">
        <v>0.0</v>
      </c>
      <c r="J404" s="17">
        <v>65638.0</v>
      </c>
      <c r="K404" s="18">
        <v>52258.9</v>
      </c>
      <c r="L404" s="17">
        <v>53824.0</v>
      </c>
      <c r="M404" s="18">
        <v>52539.6</v>
      </c>
      <c r="N404" s="18">
        <v>2.38634</v>
      </c>
      <c r="O404" s="18">
        <v>3600.0</v>
      </c>
    </row>
    <row r="405">
      <c r="A405" s="8" t="s">
        <v>592</v>
      </c>
      <c r="B405" s="9">
        <v>35.0</v>
      </c>
      <c r="C405" s="9" t="s">
        <v>460</v>
      </c>
      <c r="D405" s="9">
        <v>75.0</v>
      </c>
      <c r="E405" s="10">
        <v>2.0</v>
      </c>
      <c r="F405" s="9">
        <v>3.0</v>
      </c>
      <c r="G405" s="9">
        <v>0.0</v>
      </c>
      <c r="H405" s="9">
        <v>1.0</v>
      </c>
      <c r="I405" s="9">
        <v>0.0</v>
      </c>
      <c r="J405" s="17">
        <v>56143.0</v>
      </c>
      <c r="K405" s="18">
        <v>48762.7</v>
      </c>
      <c r="L405" s="17">
        <v>50472.0</v>
      </c>
      <c r="M405" s="18">
        <v>49087.3</v>
      </c>
      <c r="N405" s="18">
        <v>2.74349</v>
      </c>
      <c r="O405" s="18">
        <v>3600.0</v>
      </c>
    </row>
    <row r="406">
      <c r="A406" s="8" t="s">
        <v>593</v>
      </c>
      <c r="B406" s="9">
        <v>35.0</v>
      </c>
      <c r="C406" s="9" t="s">
        <v>460</v>
      </c>
      <c r="D406" s="9">
        <v>75.0</v>
      </c>
      <c r="E406" s="10">
        <v>2.0</v>
      </c>
      <c r="F406" s="9">
        <v>4.0</v>
      </c>
      <c r="G406" s="9">
        <v>0.0</v>
      </c>
      <c r="H406" s="9">
        <v>1.0</v>
      </c>
      <c r="I406" s="9">
        <v>0.0</v>
      </c>
      <c r="J406" s="17">
        <v>60978.0</v>
      </c>
      <c r="K406" s="18">
        <v>53661.9</v>
      </c>
      <c r="L406" s="17">
        <v>55359.0</v>
      </c>
      <c r="M406" s="18">
        <v>53990.9</v>
      </c>
      <c r="N406" s="18">
        <v>2.47129</v>
      </c>
      <c r="O406" s="18">
        <v>3600.0</v>
      </c>
    </row>
    <row r="407">
      <c r="A407" s="8" t="s">
        <v>594</v>
      </c>
      <c r="B407" s="9">
        <v>35.0</v>
      </c>
      <c r="C407" s="9" t="s">
        <v>460</v>
      </c>
      <c r="D407" s="9">
        <v>75.0</v>
      </c>
      <c r="E407" s="10">
        <v>2.0</v>
      </c>
      <c r="F407" s="9">
        <v>5.0</v>
      </c>
      <c r="G407" s="9">
        <v>0.0</v>
      </c>
      <c r="H407" s="9">
        <v>1.0</v>
      </c>
      <c r="I407" s="9">
        <v>0.0</v>
      </c>
      <c r="J407" s="17">
        <v>62803.0</v>
      </c>
      <c r="K407" s="18">
        <v>55297.8</v>
      </c>
      <c r="L407" s="17">
        <v>57223.0</v>
      </c>
      <c r="M407" s="18">
        <v>55726.0</v>
      </c>
      <c r="N407" s="18">
        <v>2.61605</v>
      </c>
      <c r="O407" s="18">
        <v>3600.0</v>
      </c>
    </row>
    <row r="408">
      <c r="B408" s="11"/>
      <c r="C408" s="11"/>
      <c r="D408" s="11"/>
      <c r="E408" s="15"/>
      <c r="F408" s="11"/>
      <c r="G408" s="11"/>
      <c r="H408" s="11"/>
      <c r="I408" s="11"/>
      <c r="J408" s="12"/>
      <c r="K408" s="13"/>
      <c r="L408" s="12"/>
      <c r="M408" s="13"/>
      <c r="N408" s="13"/>
      <c r="O408" s="13"/>
    </row>
    <row r="409">
      <c r="B409" s="11"/>
      <c r="C409" s="11"/>
      <c r="D409" s="11"/>
      <c r="E409" s="15"/>
      <c r="F409" s="11"/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B410" s="11"/>
      <c r="C410" s="11"/>
      <c r="D410" s="11"/>
      <c r="E410" s="15"/>
      <c r="F410" s="11"/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B411" s="11"/>
      <c r="C411" s="11"/>
      <c r="D411" s="11"/>
      <c r="E411" s="15"/>
      <c r="F411" s="11"/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B412" s="11"/>
      <c r="C412" s="11"/>
      <c r="D412" s="11"/>
      <c r="E412" s="15"/>
      <c r="F412" s="11"/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B413" s="11"/>
      <c r="C413" s="11"/>
      <c r="D413" s="11"/>
      <c r="E413" s="15"/>
      <c r="F413" s="11"/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B414" s="11"/>
      <c r="C414" s="11"/>
      <c r="D414" s="11"/>
      <c r="E414" s="15"/>
      <c r="F414" s="11"/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B415" s="11"/>
      <c r="C415" s="11"/>
      <c r="D415" s="11"/>
      <c r="E415" s="15"/>
      <c r="F415" s="11"/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B416" s="11"/>
      <c r="C416" s="11"/>
      <c r="D416" s="11"/>
      <c r="E416" s="15"/>
      <c r="F416" s="11"/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B417" s="11"/>
      <c r="C417" s="11"/>
      <c r="D417" s="11"/>
      <c r="E417" s="15"/>
      <c r="F417" s="11"/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B418" s="11"/>
      <c r="C418" s="11"/>
      <c r="D418" s="11"/>
      <c r="E418" s="15"/>
      <c r="F418" s="11"/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B419" s="11"/>
      <c r="C419" s="11"/>
      <c r="D419" s="11"/>
      <c r="E419" s="15"/>
      <c r="F419" s="11"/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B420" s="11"/>
      <c r="C420" s="11"/>
      <c r="D420" s="11"/>
      <c r="E420" s="15"/>
      <c r="F420" s="11"/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B421" s="11"/>
      <c r="C421" s="11"/>
      <c r="D421" s="11"/>
      <c r="E421" s="15"/>
      <c r="F421" s="11"/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B422" s="11"/>
      <c r="C422" s="11"/>
      <c r="D422" s="11"/>
      <c r="E422" s="15"/>
      <c r="F422" s="11"/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B423" s="11"/>
      <c r="C423" s="11"/>
      <c r="D423" s="11"/>
      <c r="E423" s="15"/>
      <c r="F423" s="11"/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B424" s="11"/>
      <c r="C424" s="11"/>
      <c r="D424" s="11"/>
      <c r="E424" s="15"/>
      <c r="F424" s="11"/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B425" s="11"/>
      <c r="C425" s="11"/>
      <c r="D425" s="11"/>
      <c r="E425" s="15"/>
      <c r="F425" s="11"/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B426" s="11"/>
      <c r="C426" s="11"/>
      <c r="D426" s="11"/>
      <c r="E426" s="15"/>
      <c r="F426" s="11"/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B427" s="11"/>
      <c r="C427" s="11"/>
      <c r="D427" s="11"/>
      <c r="E427" s="15"/>
      <c r="F427" s="11"/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B428" s="11"/>
      <c r="C428" s="11"/>
      <c r="D428" s="11"/>
      <c r="E428" s="15"/>
      <c r="F428" s="11"/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B429" s="11"/>
      <c r="C429" s="11"/>
      <c r="D429" s="11"/>
      <c r="E429" s="15"/>
      <c r="F429" s="11"/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B430" s="11"/>
      <c r="C430" s="11"/>
      <c r="D430" s="11"/>
      <c r="E430" s="15"/>
      <c r="F430" s="11"/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B431" s="11"/>
      <c r="C431" s="11"/>
      <c r="D431" s="11"/>
      <c r="E431" s="15"/>
      <c r="F431" s="11"/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B432" s="11"/>
      <c r="C432" s="11"/>
      <c r="D432" s="11"/>
      <c r="E432" s="15"/>
      <c r="F432" s="11"/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B433" s="11"/>
      <c r="C433" s="11"/>
      <c r="D433" s="11"/>
      <c r="E433" s="15"/>
      <c r="F433" s="11"/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B434" s="11"/>
      <c r="C434" s="11"/>
      <c r="D434" s="11"/>
      <c r="E434" s="15"/>
      <c r="F434" s="11"/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B435" s="11"/>
      <c r="C435" s="11"/>
      <c r="D435" s="11"/>
      <c r="E435" s="15"/>
      <c r="F435" s="11"/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B436" s="11"/>
      <c r="C436" s="11"/>
      <c r="D436" s="11"/>
      <c r="E436" s="15"/>
      <c r="F436" s="11"/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B437" s="11"/>
      <c r="C437" s="11"/>
      <c r="D437" s="11"/>
      <c r="E437" s="15"/>
      <c r="F437" s="11"/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B438" s="11"/>
      <c r="C438" s="11"/>
      <c r="D438" s="11"/>
      <c r="E438" s="15"/>
      <c r="F438" s="11"/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B439" s="11"/>
      <c r="C439" s="11"/>
      <c r="D439" s="11"/>
      <c r="E439" s="15"/>
      <c r="F439" s="11"/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B440" s="11"/>
      <c r="C440" s="11"/>
      <c r="D440" s="11"/>
      <c r="E440" s="15"/>
      <c r="F440" s="11"/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B441" s="11"/>
      <c r="C441" s="11"/>
      <c r="D441" s="11"/>
      <c r="E441" s="15"/>
      <c r="F441" s="11"/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B442" s="11"/>
      <c r="C442" s="11"/>
      <c r="D442" s="11"/>
      <c r="E442" s="15"/>
      <c r="F442" s="11"/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B443" s="11"/>
      <c r="C443" s="11"/>
      <c r="D443" s="11"/>
      <c r="E443" s="15"/>
      <c r="F443" s="11"/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B444" s="11"/>
      <c r="C444" s="11"/>
      <c r="D444" s="11"/>
      <c r="E444" s="15"/>
      <c r="F444" s="11"/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B445" s="11"/>
      <c r="C445" s="11"/>
      <c r="D445" s="11"/>
      <c r="E445" s="15"/>
      <c r="F445" s="11"/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B446" s="11"/>
      <c r="C446" s="11"/>
      <c r="D446" s="11"/>
      <c r="E446" s="15"/>
      <c r="F446" s="11"/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B447" s="11"/>
      <c r="C447" s="11"/>
      <c r="D447" s="11"/>
      <c r="E447" s="15"/>
      <c r="F447" s="11"/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B448" s="11"/>
      <c r="C448" s="11"/>
      <c r="D448" s="11"/>
      <c r="E448" s="15"/>
      <c r="F448" s="11"/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B449" s="11"/>
      <c r="C449" s="11"/>
      <c r="D449" s="11"/>
      <c r="E449" s="15"/>
      <c r="F449" s="11"/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B450" s="11"/>
      <c r="C450" s="11"/>
      <c r="D450" s="11"/>
      <c r="E450" s="15"/>
      <c r="F450" s="11"/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B451" s="11"/>
      <c r="C451" s="11"/>
      <c r="D451" s="11"/>
      <c r="E451" s="15"/>
      <c r="F451" s="11"/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B452" s="11"/>
      <c r="C452" s="11"/>
      <c r="D452" s="11"/>
      <c r="E452" s="15"/>
      <c r="F452" s="11"/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B453" s="11"/>
      <c r="C453" s="11"/>
      <c r="D453" s="11"/>
      <c r="E453" s="15"/>
      <c r="F453" s="11"/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B454" s="11"/>
      <c r="C454" s="11"/>
      <c r="D454" s="11"/>
      <c r="E454" s="15"/>
      <c r="F454" s="11"/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B455" s="11"/>
      <c r="C455" s="11"/>
      <c r="D455" s="11"/>
      <c r="E455" s="15"/>
      <c r="F455" s="11"/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B456" s="11"/>
      <c r="C456" s="11"/>
      <c r="D456" s="11"/>
      <c r="E456" s="15"/>
      <c r="F456" s="11"/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B457" s="11"/>
      <c r="C457" s="11"/>
      <c r="D457" s="11"/>
      <c r="E457" s="15"/>
      <c r="F457" s="11"/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B458" s="11"/>
      <c r="C458" s="11"/>
      <c r="D458" s="11"/>
      <c r="E458" s="15"/>
      <c r="F458" s="11"/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B459" s="11"/>
      <c r="C459" s="11"/>
      <c r="D459" s="11"/>
      <c r="E459" s="15"/>
      <c r="F459" s="11"/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B460" s="11"/>
      <c r="C460" s="11"/>
      <c r="D460" s="11"/>
      <c r="E460" s="15"/>
      <c r="F460" s="11"/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B461" s="11"/>
      <c r="C461" s="11"/>
      <c r="D461" s="11"/>
      <c r="E461" s="15"/>
      <c r="F461" s="11"/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B462" s="11"/>
      <c r="C462" s="11"/>
      <c r="D462" s="11"/>
      <c r="E462" s="15"/>
      <c r="F462" s="11"/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B463" s="11"/>
      <c r="C463" s="11"/>
      <c r="D463" s="11"/>
      <c r="E463" s="15"/>
      <c r="F463" s="11"/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B464" s="11"/>
      <c r="C464" s="11"/>
      <c r="D464" s="11"/>
      <c r="E464" s="15"/>
      <c r="F464" s="11"/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B465" s="11"/>
      <c r="C465" s="11"/>
      <c r="D465" s="11"/>
      <c r="E465" s="15"/>
      <c r="F465" s="11"/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B466" s="11"/>
      <c r="C466" s="11"/>
      <c r="D466" s="11"/>
      <c r="E466" s="15"/>
      <c r="F466" s="11"/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B467" s="11"/>
      <c r="C467" s="11"/>
      <c r="D467" s="11"/>
      <c r="E467" s="15"/>
      <c r="F467" s="11"/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B468" s="11"/>
      <c r="C468" s="11"/>
      <c r="D468" s="11"/>
      <c r="E468" s="15"/>
      <c r="F468" s="11"/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B469" s="11"/>
      <c r="C469" s="11"/>
      <c r="D469" s="11"/>
      <c r="E469" s="15"/>
      <c r="F469" s="11"/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B470" s="11"/>
      <c r="C470" s="11"/>
      <c r="D470" s="11"/>
      <c r="E470" s="15"/>
      <c r="F470" s="11"/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B471" s="11"/>
      <c r="C471" s="11"/>
      <c r="D471" s="11"/>
      <c r="E471" s="15"/>
      <c r="F471" s="11"/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B472" s="11"/>
      <c r="C472" s="11"/>
      <c r="D472" s="11"/>
      <c r="E472" s="15"/>
      <c r="F472" s="11"/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B473" s="11"/>
      <c r="C473" s="11"/>
      <c r="D473" s="11"/>
      <c r="E473" s="15"/>
      <c r="F473" s="11"/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B474" s="11"/>
      <c r="C474" s="11"/>
      <c r="D474" s="11"/>
      <c r="E474" s="15"/>
      <c r="F474" s="11"/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B475" s="11"/>
      <c r="C475" s="11"/>
      <c r="D475" s="11"/>
      <c r="E475" s="15"/>
      <c r="F475" s="11"/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B476" s="11"/>
      <c r="C476" s="11"/>
      <c r="D476" s="11"/>
      <c r="E476" s="15"/>
      <c r="F476" s="11"/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B477" s="11"/>
      <c r="C477" s="11"/>
      <c r="D477" s="11"/>
      <c r="E477" s="15"/>
      <c r="F477" s="11"/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B478" s="11"/>
      <c r="C478" s="11"/>
      <c r="D478" s="11"/>
      <c r="E478" s="15"/>
      <c r="F478" s="11"/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B479" s="11"/>
      <c r="C479" s="11"/>
      <c r="D479" s="11"/>
      <c r="E479" s="15"/>
      <c r="F479" s="11"/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B480" s="11"/>
      <c r="C480" s="11"/>
      <c r="D480" s="11"/>
      <c r="E480" s="15"/>
      <c r="F480" s="11"/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B481" s="11"/>
      <c r="C481" s="11"/>
      <c r="D481" s="11"/>
      <c r="E481" s="15"/>
      <c r="F481" s="11"/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B482" s="11"/>
      <c r="C482" s="11"/>
      <c r="D482" s="11"/>
      <c r="E482" s="15"/>
      <c r="F482" s="11"/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B483" s="11"/>
      <c r="C483" s="11"/>
      <c r="D483" s="11"/>
      <c r="E483" s="15"/>
      <c r="F483" s="11"/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B484" s="11"/>
      <c r="C484" s="11"/>
      <c r="D484" s="11"/>
      <c r="E484" s="15"/>
      <c r="F484" s="11"/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B485" s="11"/>
      <c r="C485" s="11"/>
      <c r="D485" s="11"/>
      <c r="E485" s="15"/>
      <c r="F485" s="11"/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B486" s="11"/>
      <c r="C486" s="11"/>
      <c r="D486" s="11"/>
      <c r="E486" s="15"/>
      <c r="F486" s="11"/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B487" s="11"/>
      <c r="C487" s="11"/>
      <c r="D487" s="11"/>
      <c r="E487" s="15"/>
      <c r="F487" s="11"/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B488" s="11"/>
      <c r="C488" s="11"/>
      <c r="D488" s="11"/>
      <c r="E488" s="15"/>
      <c r="F488" s="11"/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B489" s="11"/>
      <c r="C489" s="11"/>
      <c r="D489" s="11"/>
      <c r="E489" s="15"/>
      <c r="F489" s="11"/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B490" s="11"/>
      <c r="C490" s="11"/>
      <c r="D490" s="11"/>
      <c r="E490" s="15"/>
      <c r="F490" s="11"/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B491" s="11"/>
      <c r="C491" s="11"/>
      <c r="D491" s="11"/>
      <c r="E491" s="15"/>
      <c r="F491" s="11"/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B492" s="11"/>
      <c r="C492" s="11"/>
      <c r="D492" s="11"/>
      <c r="E492" s="15"/>
      <c r="F492" s="11"/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B493" s="11"/>
      <c r="C493" s="11"/>
      <c r="D493" s="11"/>
      <c r="E493" s="15"/>
      <c r="F493" s="11"/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B494" s="11"/>
      <c r="C494" s="11"/>
      <c r="D494" s="11"/>
      <c r="E494" s="15"/>
      <c r="F494" s="11"/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B495" s="11"/>
      <c r="C495" s="11"/>
      <c r="D495" s="11"/>
      <c r="E495" s="15"/>
      <c r="F495" s="11"/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B496" s="11"/>
      <c r="C496" s="11"/>
      <c r="D496" s="11"/>
      <c r="E496" s="15"/>
      <c r="F496" s="11"/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B497" s="11"/>
      <c r="C497" s="11"/>
      <c r="D497" s="11"/>
      <c r="E497" s="15"/>
      <c r="F497" s="11"/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B498" s="11"/>
      <c r="C498" s="11"/>
      <c r="D498" s="11"/>
      <c r="E498" s="15"/>
      <c r="F498" s="11"/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B499" s="11"/>
      <c r="C499" s="11"/>
      <c r="D499" s="11"/>
      <c r="E499" s="15"/>
      <c r="F499" s="11"/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B500" s="11"/>
      <c r="C500" s="11"/>
      <c r="D500" s="11"/>
      <c r="E500" s="15"/>
      <c r="F500" s="11"/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B501" s="11"/>
      <c r="C501" s="11"/>
      <c r="D501" s="11"/>
      <c r="E501" s="15"/>
      <c r="F501" s="11"/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B502" s="11"/>
      <c r="C502" s="11"/>
      <c r="D502" s="11"/>
      <c r="E502" s="15"/>
      <c r="F502" s="11"/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B503" s="11"/>
      <c r="C503" s="11"/>
      <c r="D503" s="11"/>
      <c r="E503" s="15"/>
      <c r="F503" s="11"/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B504" s="11"/>
      <c r="C504" s="11"/>
      <c r="D504" s="11"/>
      <c r="E504" s="15"/>
      <c r="F504" s="11"/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B505" s="11"/>
      <c r="C505" s="11"/>
      <c r="D505" s="11"/>
      <c r="E505" s="15"/>
      <c r="F505" s="11"/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B506" s="11"/>
      <c r="C506" s="11"/>
      <c r="D506" s="11"/>
      <c r="E506" s="15"/>
      <c r="F506" s="11"/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B507" s="11"/>
      <c r="C507" s="11"/>
      <c r="D507" s="11"/>
      <c r="E507" s="15"/>
      <c r="F507" s="11"/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B508" s="11"/>
      <c r="C508" s="11"/>
      <c r="D508" s="11"/>
      <c r="E508" s="15"/>
      <c r="F508" s="11"/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B509" s="11"/>
      <c r="C509" s="11"/>
      <c r="D509" s="11"/>
      <c r="E509" s="15"/>
      <c r="F509" s="11"/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B510" s="11"/>
      <c r="C510" s="11"/>
      <c r="D510" s="11"/>
      <c r="E510" s="15"/>
      <c r="F510" s="11"/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B511" s="11"/>
      <c r="C511" s="11"/>
      <c r="D511" s="11"/>
      <c r="E511" s="15"/>
      <c r="F511" s="11"/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B512" s="11"/>
      <c r="C512" s="11"/>
      <c r="D512" s="11"/>
      <c r="E512" s="15"/>
      <c r="F512" s="11"/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B513" s="11"/>
      <c r="C513" s="11"/>
      <c r="D513" s="11"/>
      <c r="E513" s="15"/>
      <c r="F513" s="11"/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B514" s="11"/>
      <c r="C514" s="11"/>
      <c r="D514" s="11"/>
      <c r="E514" s="15"/>
      <c r="F514" s="11"/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B515" s="11"/>
      <c r="C515" s="11"/>
      <c r="D515" s="11"/>
      <c r="E515" s="15"/>
      <c r="F515" s="11"/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B516" s="11"/>
      <c r="C516" s="11"/>
      <c r="D516" s="11"/>
      <c r="E516" s="15"/>
      <c r="F516" s="11"/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B517" s="11"/>
      <c r="C517" s="11"/>
      <c r="D517" s="11"/>
      <c r="E517" s="15"/>
      <c r="F517" s="11"/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B518" s="11"/>
      <c r="C518" s="11"/>
      <c r="D518" s="11"/>
      <c r="E518" s="15"/>
      <c r="F518" s="11"/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B519" s="11"/>
      <c r="C519" s="11"/>
      <c r="D519" s="11"/>
      <c r="E519" s="15"/>
      <c r="F519" s="11"/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B520" s="11"/>
      <c r="C520" s="11"/>
      <c r="D520" s="11"/>
      <c r="E520" s="15"/>
      <c r="F520" s="11"/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B521" s="11"/>
      <c r="C521" s="11"/>
      <c r="D521" s="11"/>
      <c r="E521" s="15"/>
      <c r="F521" s="11"/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B522" s="11"/>
      <c r="C522" s="11"/>
      <c r="D522" s="11"/>
      <c r="E522" s="15"/>
      <c r="F522" s="11"/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B523" s="11"/>
      <c r="C523" s="11"/>
      <c r="D523" s="11"/>
      <c r="E523" s="15"/>
      <c r="F523" s="11"/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B524" s="11"/>
      <c r="C524" s="11"/>
      <c r="D524" s="11"/>
      <c r="E524" s="15"/>
      <c r="F524" s="11"/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B525" s="11"/>
      <c r="C525" s="11"/>
      <c r="D525" s="11"/>
      <c r="E525" s="15"/>
      <c r="F525" s="11"/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B526" s="11"/>
      <c r="C526" s="11"/>
      <c r="D526" s="11"/>
      <c r="E526" s="15"/>
      <c r="F526" s="11"/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B527" s="11"/>
      <c r="C527" s="11"/>
      <c r="D527" s="11"/>
      <c r="E527" s="15"/>
      <c r="F527" s="11"/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B528" s="11"/>
      <c r="C528" s="11"/>
      <c r="D528" s="11"/>
      <c r="E528" s="15"/>
      <c r="F528" s="11"/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B529" s="11"/>
      <c r="C529" s="11"/>
      <c r="D529" s="11"/>
      <c r="E529" s="15"/>
      <c r="F529" s="11"/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B530" s="11"/>
      <c r="C530" s="11"/>
      <c r="D530" s="11"/>
      <c r="E530" s="15"/>
      <c r="F530" s="11"/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B531" s="11"/>
      <c r="C531" s="11"/>
      <c r="D531" s="11"/>
      <c r="E531" s="15"/>
      <c r="F531" s="11"/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B532" s="11"/>
      <c r="C532" s="11"/>
      <c r="D532" s="11"/>
      <c r="E532" s="15"/>
      <c r="F532" s="11"/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B533" s="11"/>
      <c r="C533" s="11"/>
      <c r="D533" s="11"/>
      <c r="E533" s="15"/>
      <c r="F533" s="11"/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B534" s="11"/>
      <c r="C534" s="11"/>
      <c r="D534" s="11"/>
      <c r="E534" s="15"/>
      <c r="F534" s="11"/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B535" s="11"/>
      <c r="C535" s="11"/>
      <c r="D535" s="11"/>
      <c r="E535" s="15"/>
      <c r="F535" s="11"/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B536" s="11"/>
      <c r="C536" s="11"/>
      <c r="D536" s="11"/>
      <c r="E536" s="15"/>
      <c r="F536" s="11"/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B537" s="11"/>
      <c r="C537" s="11"/>
      <c r="D537" s="11"/>
      <c r="E537" s="15"/>
      <c r="F537" s="11"/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B538" s="11"/>
      <c r="C538" s="11"/>
      <c r="D538" s="11"/>
      <c r="E538" s="15"/>
      <c r="F538" s="11"/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B539" s="11"/>
      <c r="C539" s="11"/>
      <c r="D539" s="11"/>
      <c r="E539" s="15"/>
      <c r="F539" s="11"/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B540" s="11"/>
      <c r="C540" s="11"/>
      <c r="D540" s="11"/>
      <c r="E540" s="15"/>
      <c r="F540" s="11"/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B541" s="11"/>
      <c r="C541" s="11"/>
      <c r="D541" s="11"/>
      <c r="E541" s="15"/>
      <c r="F541" s="11"/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B542" s="11"/>
      <c r="C542" s="11"/>
      <c r="D542" s="11"/>
      <c r="E542" s="15"/>
      <c r="F542" s="11"/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B543" s="11"/>
      <c r="C543" s="11"/>
      <c r="D543" s="11"/>
      <c r="E543" s="15"/>
      <c r="F543" s="11"/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B544" s="11"/>
      <c r="C544" s="11"/>
      <c r="D544" s="11"/>
      <c r="E544" s="15"/>
      <c r="F544" s="11"/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B545" s="11"/>
      <c r="C545" s="11"/>
      <c r="D545" s="11"/>
      <c r="E545" s="15"/>
      <c r="F545" s="11"/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B546" s="11"/>
      <c r="C546" s="11"/>
      <c r="D546" s="11"/>
      <c r="E546" s="15"/>
      <c r="F546" s="11"/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B547" s="11"/>
      <c r="C547" s="11"/>
      <c r="D547" s="11"/>
      <c r="E547" s="15"/>
      <c r="F547" s="11"/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B548" s="11"/>
      <c r="C548" s="11"/>
      <c r="D548" s="11"/>
      <c r="E548" s="15"/>
      <c r="F548" s="11"/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B549" s="11"/>
      <c r="C549" s="11"/>
      <c r="D549" s="11"/>
      <c r="E549" s="15"/>
      <c r="F549" s="11"/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B550" s="11"/>
      <c r="C550" s="11"/>
      <c r="D550" s="11"/>
      <c r="E550" s="15"/>
      <c r="F550" s="11"/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B551" s="11"/>
      <c r="C551" s="11"/>
      <c r="D551" s="11"/>
      <c r="E551" s="15"/>
      <c r="F551" s="11"/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B552" s="11"/>
      <c r="C552" s="11"/>
      <c r="D552" s="11"/>
      <c r="E552" s="15"/>
      <c r="F552" s="11"/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B553" s="11"/>
      <c r="C553" s="11"/>
      <c r="D553" s="11"/>
      <c r="E553" s="15"/>
      <c r="F553" s="11"/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B554" s="11"/>
      <c r="C554" s="11"/>
      <c r="D554" s="11"/>
      <c r="E554" s="15"/>
      <c r="F554" s="11"/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B555" s="11"/>
      <c r="C555" s="11"/>
      <c r="D555" s="11"/>
      <c r="E555" s="15"/>
      <c r="F555" s="11"/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B556" s="11"/>
      <c r="C556" s="11"/>
      <c r="D556" s="11"/>
      <c r="E556" s="15"/>
      <c r="F556" s="11"/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B557" s="11"/>
      <c r="C557" s="11"/>
      <c r="D557" s="11"/>
      <c r="E557" s="15"/>
      <c r="F557" s="11"/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B558" s="11"/>
      <c r="C558" s="11"/>
      <c r="D558" s="11"/>
      <c r="E558" s="15"/>
      <c r="F558" s="11"/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B559" s="11"/>
      <c r="C559" s="11"/>
      <c r="D559" s="11"/>
      <c r="E559" s="15"/>
      <c r="F559" s="11"/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B560" s="11"/>
      <c r="C560" s="11"/>
      <c r="D560" s="11"/>
      <c r="E560" s="15"/>
      <c r="F560" s="11"/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B561" s="11"/>
      <c r="C561" s="11"/>
      <c r="D561" s="11"/>
      <c r="E561" s="15"/>
      <c r="F561" s="11"/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B562" s="11"/>
      <c r="C562" s="11"/>
      <c r="D562" s="11"/>
      <c r="E562" s="15"/>
      <c r="F562" s="11"/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B563" s="11"/>
      <c r="C563" s="11"/>
      <c r="D563" s="11"/>
      <c r="E563" s="15"/>
      <c r="F563" s="11"/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B564" s="11"/>
      <c r="C564" s="11"/>
      <c r="D564" s="11"/>
      <c r="E564" s="15"/>
      <c r="F564" s="11"/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B565" s="11"/>
      <c r="C565" s="11"/>
      <c r="D565" s="11"/>
      <c r="E565" s="15"/>
      <c r="F565" s="11"/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B566" s="11"/>
      <c r="C566" s="11"/>
      <c r="D566" s="11"/>
      <c r="E566" s="15"/>
      <c r="F566" s="11"/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B567" s="11"/>
      <c r="C567" s="11"/>
      <c r="D567" s="11"/>
      <c r="E567" s="15"/>
      <c r="F567" s="11"/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B568" s="11"/>
      <c r="C568" s="11"/>
      <c r="D568" s="11"/>
      <c r="E568" s="15"/>
      <c r="F568" s="11"/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B569" s="11"/>
      <c r="C569" s="11"/>
      <c r="D569" s="11"/>
      <c r="E569" s="15"/>
      <c r="F569" s="11"/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B570" s="11"/>
      <c r="C570" s="11"/>
      <c r="D570" s="11"/>
      <c r="E570" s="15"/>
      <c r="F570" s="11"/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B571" s="11"/>
      <c r="C571" s="11"/>
      <c r="D571" s="11"/>
      <c r="E571" s="15"/>
      <c r="F571" s="11"/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B572" s="11"/>
      <c r="C572" s="11"/>
      <c r="D572" s="11"/>
      <c r="E572" s="15"/>
      <c r="F572" s="11"/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B573" s="11"/>
      <c r="C573" s="11"/>
      <c r="D573" s="11"/>
      <c r="E573" s="15"/>
      <c r="F573" s="11"/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B574" s="11"/>
      <c r="C574" s="11"/>
      <c r="D574" s="11"/>
      <c r="E574" s="15"/>
      <c r="F574" s="11"/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B575" s="11"/>
      <c r="C575" s="11"/>
      <c r="D575" s="11"/>
      <c r="E575" s="15"/>
      <c r="F575" s="11"/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B576" s="11"/>
      <c r="C576" s="11"/>
      <c r="D576" s="11"/>
      <c r="E576" s="15"/>
      <c r="F576" s="11"/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B577" s="11"/>
      <c r="C577" s="11"/>
      <c r="D577" s="11"/>
      <c r="E577" s="15"/>
      <c r="F577" s="11"/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B578" s="11"/>
      <c r="C578" s="11"/>
      <c r="D578" s="11"/>
      <c r="E578" s="15"/>
      <c r="F578" s="11"/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B579" s="11"/>
      <c r="C579" s="11"/>
      <c r="D579" s="11"/>
      <c r="E579" s="15"/>
      <c r="F579" s="11"/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B580" s="11"/>
      <c r="C580" s="11"/>
      <c r="D580" s="11"/>
      <c r="E580" s="15"/>
      <c r="F580" s="11"/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B581" s="11"/>
      <c r="C581" s="11"/>
      <c r="D581" s="11"/>
      <c r="E581" s="15"/>
      <c r="F581" s="11"/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B582" s="11"/>
      <c r="C582" s="11"/>
      <c r="D582" s="11"/>
      <c r="E582" s="15"/>
      <c r="F582" s="11"/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B583" s="11"/>
      <c r="C583" s="11"/>
      <c r="D583" s="11"/>
      <c r="E583" s="15"/>
      <c r="F583" s="11"/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B584" s="11"/>
      <c r="C584" s="11"/>
      <c r="D584" s="11"/>
      <c r="E584" s="15"/>
      <c r="F584" s="11"/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B585" s="11"/>
      <c r="C585" s="11"/>
      <c r="D585" s="11"/>
      <c r="E585" s="15"/>
      <c r="F585" s="11"/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B586" s="11"/>
      <c r="C586" s="11"/>
      <c r="D586" s="11"/>
      <c r="E586" s="15"/>
      <c r="F586" s="11"/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B587" s="11"/>
      <c r="C587" s="11"/>
      <c r="D587" s="11"/>
      <c r="E587" s="15"/>
      <c r="F587" s="11"/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B588" s="11"/>
      <c r="C588" s="11"/>
      <c r="D588" s="11"/>
      <c r="E588" s="15"/>
      <c r="F588" s="11"/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B589" s="11"/>
      <c r="C589" s="11"/>
      <c r="D589" s="11"/>
      <c r="E589" s="15"/>
      <c r="F589" s="11"/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B590" s="11"/>
      <c r="C590" s="11"/>
      <c r="D590" s="11"/>
      <c r="E590" s="15"/>
      <c r="F590" s="11"/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B591" s="11"/>
      <c r="C591" s="11"/>
      <c r="D591" s="11"/>
      <c r="E591" s="15"/>
      <c r="F591" s="11"/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B592" s="11"/>
      <c r="C592" s="11"/>
      <c r="D592" s="11"/>
      <c r="E592" s="15"/>
      <c r="F592" s="11"/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B593" s="11"/>
      <c r="C593" s="11"/>
      <c r="D593" s="11"/>
      <c r="E593" s="15"/>
      <c r="F593" s="11"/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B594" s="11"/>
      <c r="C594" s="11"/>
      <c r="D594" s="11"/>
      <c r="E594" s="15"/>
      <c r="F594" s="11"/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B595" s="11"/>
      <c r="C595" s="11"/>
      <c r="D595" s="11"/>
      <c r="E595" s="15"/>
      <c r="F595" s="11"/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B596" s="11"/>
      <c r="C596" s="11"/>
      <c r="D596" s="11"/>
      <c r="E596" s="15"/>
      <c r="F596" s="11"/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B597" s="11"/>
      <c r="C597" s="11"/>
      <c r="D597" s="11"/>
      <c r="E597" s="15"/>
      <c r="F597" s="11"/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B598" s="11"/>
      <c r="C598" s="11"/>
      <c r="D598" s="11"/>
      <c r="E598" s="15"/>
      <c r="F598" s="11"/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B599" s="11"/>
      <c r="C599" s="11"/>
      <c r="D599" s="11"/>
      <c r="E599" s="15"/>
      <c r="F599" s="11"/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B600" s="11"/>
      <c r="C600" s="11"/>
      <c r="D600" s="11"/>
      <c r="E600" s="15"/>
      <c r="F600" s="11"/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B601" s="11"/>
      <c r="C601" s="11"/>
      <c r="D601" s="11"/>
      <c r="E601" s="15"/>
      <c r="F601" s="11"/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B602" s="11"/>
      <c r="C602" s="11"/>
      <c r="D602" s="11"/>
      <c r="E602" s="15"/>
      <c r="F602" s="11"/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B603" s="11"/>
      <c r="C603" s="11"/>
      <c r="D603" s="11"/>
      <c r="E603" s="15"/>
      <c r="F603" s="11"/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B604" s="11"/>
      <c r="C604" s="11"/>
      <c r="D604" s="11"/>
      <c r="E604" s="15"/>
      <c r="F604" s="11"/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B605" s="11"/>
      <c r="C605" s="11"/>
      <c r="D605" s="11"/>
      <c r="E605" s="15"/>
      <c r="F605" s="11"/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B606" s="11"/>
      <c r="C606" s="11"/>
      <c r="D606" s="11"/>
      <c r="E606" s="15"/>
      <c r="F606" s="11"/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B607" s="11"/>
      <c r="C607" s="11"/>
      <c r="D607" s="11"/>
      <c r="E607" s="15"/>
      <c r="F607" s="11"/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B608" s="11"/>
      <c r="C608" s="11"/>
      <c r="D608" s="11"/>
      <c r="E608" s="15"/>
      <c r="F608" s="11"/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B609" s="11"/>
      <c r="C609" s="11"/>
      <c r="D609" s="11"/>
      <c r="E609" s="15"/>
      <c r="F609" s="11"/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B610" s="11"/>
      <c r="C610" s="11"/>
      <c r="D610" s="11"/>
      <c r="E610" s="15"/>
      <c r="F610" s="11"/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B611" s="11"/>
      <c r="C611" s="11"/>
      <c r="D611" s="11"/>
      <c r="E611" s="15"/>
      <c r="F611" s="11"/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B612" s="11"/>
      <c r="C612" s="11"/>
      <c r="D612" s="11"/>
      <c r="E612" s="15"/>
      <c r="F612" s="11"/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B613" s="11"/>
      <c r="C613" s="11"/>
      <c r="D613" s="11"/>
      <c r="E613" s="15"/>
      <c r="F613" s="11"/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B614" s="11"/>
      <c r="C614" s="11"/>
      <c r="D614" s="11"/>
      <c r="E614" s="15"/>
      <c r="F614" s="11"/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B615" s="11"/>
      <c r="C615" s="11"/>
      <c r="D615" s="11"/>
      <c r="E615" s="15"/>
      <c r="F615" s="11"/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B616" s="11"/>
      <c r="C616" s="11"/>
      <c r="D616" s="11"/>
      <c r="E616" s="15"/>
      <c r="F616" s="11"/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B617" s="11"/>
      <c r="C617" s="11"/>
      <c r="D617" s="11"/>
      <c r="E617" s="15"/>
      <c r="F617" s="11"/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B618" s="11"/>
      <c r="C618" s="11"/>
      <c r="D618" s="11"/>
      <c r="E618" s="15"/>
      <c r="F618" s="11"/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B619" s="11"/>
      <c r="C619" s="11"/>
      <c r="D619" s="11"/>
      <c r="E619" s="15"/>
      <c r="F619" s="11"/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B620" s="11"/>
      <c r="C620" s="11"/>
      <c r="D620" s="11"/>
      <c r="E620" s="15"/>
      <c r="F620" s="11"/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B621" s="11"/>
      <c r="C621" s="11"/>
      <c r="D621" s="11"/>
      <c r="E621" s="15"/>
      <c r="F621" s="11"/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B622" s="11"/>
      <c r="C622" s="11"/>
      <c r="D622" s="11"/>
      <c r="E622" s="15"/>
      <c r="F622" s="11"/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B623" s="11"/>
      <c r="C623" s="11"/>
      <c r="D623" s="11"/>
      <c r="E623" s="15"/>
      <c r="F623" s="11"/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B624" s="11"/>
      <c r="C624" s="11"/>
      <c r="D624" s="11"/>
      <c r="E624" s="15"/>
      <c r="F624" s="11"/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B625" s="11"/>
      <c r="C625" s="11"/>
      <c r="D625" s="11"/>
      <c r="E625" s="15"/>
      <c r="F625" s="11"/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B626" s="11"/>
      <c r="C626" s="11"/>
      <c r="D626" s="11"/>
      <c r="E626" s="15"/>
      <c r="F626" s="11"/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B627" s="11"/>
      <c r="C627" s="11"/>
      <c r="D627" s="11"/>
      <c r="E627" s="15"/>
      <c r="F627" s="11"/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B628" s="11"/>
      <c r="C628" s="11"/>
      <c r="D628" s="11"/>
      <c r="E628" s="15"/>
      <c r="F628" s="11"/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B629" s="11"/>
      <c r="C629" s="11"/>
      <c r="D629" s="11"/>
      <c r="E629" s="15"/>
      <c r="F629" s="11"/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B630" s="11"/>
      <c r="C630" s="11"/>
      <c r="D630" s="11"/>
      <c r="E630" s="15"/>
      <c r="F630" s="11"/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B631" s="11"/>
      <c r="C631" s="11"/>
      <c r="D631" s="11"/>
      <c r="E631" s="15"/>
      <c r="F631" s="11"/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B632" s="11"/>
      <c r="C632" s="11"/>
      <c r="D632" s="11"/>
      <c r="E632" s="15"/>
      <c r="F632" s="11"/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B633" s="11"/>
      <c r="C633" s="11"/>
      <c r="D633" s="11"/>
      <c r="E633" s="15"/>
      <c r="F633" s="11"/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B634" s="11"/>
      <c r="C634" s="11"/>
      <c r="D634" s="11"/>
      <c r="E634" s="15"/>
      <c r="F634" s="11"/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B635" s="11"/>
      <c r="C635" s="11"/>
      <c r="D635" s="11"/>
      <c r="E635" s="15"/>
      <c r="F635" s="11"/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B636" s="11"/>
      <c r="C636" s="11"/>
      <c r="D636" s="11"/>
      <c r="E636" s="15"/>
      <c r="F636" s="11"/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B637" s="11"/>
      <c r="C637" s="11"/>
      <c r="D637" s="11"/>
      <c r="E637" s="15"/>
      <c r="F637" s="11"/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B638" s="11"/>
      <c r="C638" s="11"/>
      <c r="D638" s="11"/>
      <c r="E638" s="15"/>
      <c r="F638" s="11"/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B639" s="11"/>
      <c r="C639" s="11"/>
      <c r="D639" s="11"/>
      <c r="E639" s="15"/>
      <c r="F639" s="11"/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B640" s="11"/>
      <c r="C640" s="11"/>
      <c r="D640" s="11"/>
      <c r="E640" s="15"/>
      <c r="F640" s="11"/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B641" s="11"/>
      <c r="C641" s="11"/>
      <c r="D641" s="11"/>
      <c r="E641" s="15"/>
      <c r="F641" s="11"/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B642" s="11"/>
      <c r="C642" s="11"/>
      <c r="D642" s="11"/>
      <c r="E642" s="15"/>
      <c r="F642" s="11"/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B643" s="11"/>
      <c r="C643" s="11"/>
      <c r="D643" s="11"/>
      <c r="E643" s="15"/>
      <c r="F643" s="11"/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B644" s="11"/>
      <c r="C644" s="11"/>
      <c r="D644" s="11"/>
      <c r="E644" s="15"/>
      <c r="F644" s="11"/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B645" s="11"/>
      <c r="C645" s="11"/>
      <c r="D645" s="11"/>
      <c r="E645" s="15"/>
      <c r="F645" s="11"/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B646" s="11"/>
      <c r="C646" s="11"/>
      <c r="D646" s="11"/>
      <c r="E646" s="15"/>
      <c r="F646" s="11"/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B647" s="11"/>
      <c r="C647" s="11"/>
      <c r="D647" s="11"/>
      <c r="E647" s="15"/>
      <c r="F647" s="11"/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B648" s="11"/>
      <c r="C648" s="11"/>
      <c r="D648" s="11"/>
      <c r="E648" s="15"/>
      <c r="F648" s="11"/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B649" s="11"/>
      <c r="C649" s="11"/>
      <c r="D649" s="11"/>
      <c r="E649" s="15"/>
      <c r="F649" s="11"/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B650" s="11"/>
      <c r="C650" s="11"/>
      <c r="D650" s="11"/>
      <c r="E650" s="15"/>
      <c r="F650" s="11"/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B651" s="11"/>
      <c r="C651" s="11"/>
      <c r="D651" s="11"/>
      <c r="E651" s="15"/>
      <c r="F651" s="11"/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B652" s="11"/>
      <c r="C652" s="11"/>
      <c r="D652" s="11"/>
      <c r="E652" s="15"/>
      <c r="F652" s="11"/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B653" s="11"/>
      <c r="C653" s="11"/>
      <c r="D653" s="11"/>
      <c r="E653" s="15"/>
      <c r="F653" s="11"/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B654" s="11"/>
      <c r="C654" s="11"/>
      <c r="D654" s="11"/>
      <c r="E654" s="15"/>
      <c r="F654" s="11"/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B655" s="11"/>
      <c r="C655" s="11"/>
      <c r="D655" s="11"/>
      <c r="E655" s="15"/>
      <c r="F655" s="11"/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B656" s="11"/>
      <c r="C656" s="11"/>
      <c r="D656" s="11"/>
      <c r="E656" s="15"/>
      <c r="F656" s="11"/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B657" s="11"/>
      <c r="C657" s="11"/>
      <c r="D657" s="11"/>
      <c r="E657" s="15"/>
      <c r="F657" s="11"/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B658" s="11"/>
      <c r="C658" s="11"/>
      <c r="D658" s="11"/>
      <c r="E658" s="15"/>
      <c r="F658" s="11"/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B659" s="11"/>
      <c r="C659" s="11"/>
      <c r="D659" s="11"/>
      <c r="E659" s="15"/>
      <c r="F659" s="11"/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B660" s="11"/>
      <c r="C660" s="11"/>
      <c r="D660" s="11"/>
      <c r="E660" s="15"/>
      <c r="F660" s="11"/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B661" s="11"/>
      <c r="C661" s="11"/>
      <c r="D661" s="11"/>
      <c r="E661" s="15"/>
      <c r="F661" s="11"/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B662" s="11"/>
      <c r="C662" s="11"/>
      <c r="D662" s="11"/>
      <c r="E662" s="15"/>
      <c r="F662" s="11"/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B663" s="11"/>
      <c r="C663" s="11"/>
      <c r="D663" s="11"/>
      <c r="E663" s="15"/>
      <c r="F663" s="11"/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B664" s="11"/>
      <c r="C664" s="11"/>
      <c r="D664" s="11"/>
      <c r="E664" s="15"/>
      <c r="F664" s="11"/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B665" s="11"/>
      <c r="C665" s="11"/>
      <c r="D665" s="11"/>
      <c r="E665" s="15"/>
      <c r="F665" s="11"/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B666" s="11"/>
      <c r="C666" s="11"/>
      <c r="D666" s="11"/>
      <c r="E666" s="15"/>
      <c r="F666" s="11"/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B667" s="11"/>
      <c r="C667" s="11"/>
      <c r="D667" s="11"/>
      <c r="E667" s="15"/>
      <c r="F667" s="11"/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B668" s="11"/>
      <c r="C668" s="11"/>
      <c r="D668" s="11"/>
      <c r="E668" s="15"/>
      <c r="F668" s="11"/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B669" s="11"/>
      <c r="C669" s="11"/>
      <c r="D669" s="11"/>
      <c r="E669" s="15"/>
      <c r="F669" s="11"/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B670" s="11"/>
      <c r="C670" s="11"/>
      <c r="D670" s="11"/>
      <c r="E670" s="15"/>
      <c r="F670" s="11"/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B671" s="11"/>
      <c r="C671" s="11"/>
      <c r="D671" s="11"/>
      <c r="E671" s="15"/>
      <c r="F671" s="11"/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B672" s="11"/>
      <c r="C672" s="11"/>
      <c r="D672" s="11"/>
      <c r="E672" s="15"/>
      <c r="F672" s="11"/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B673" s="11"/>
      <c r="C673" s="11"/>
      <c r="D673" s="11"/>
      <c r="E673" s="15"/>
      <c r="F673" s="11"/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B674" s="11"/>
      <c r="C674" s="11"/>
      <c r="D674" s="11"/>
      <c r="E674" s="15"/>
      <c r="F674" s="11"/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B675" s="11"/>
      <c r="C675" s="11"/>
      <c r="D675" s="11"/>
      <c r="E675" s="15"/>
      <c r="F675" s="11"/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B676" s="11"/>
      <c r="C676" s="11"/>
      <c r="D676" s="11"/>
      <c r="E676" s="15"/>
      <c r="F676" s="11"/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B677" s="11"/>
      <c r="C677" s="11"/>
      <c r="D677" s="11"/>
      <c r="E677" s="15"/>
      <c r="F677" s="11"/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700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1.0</v>
      </c>
      <c r="H3" s="9">
        <v>0.0</v>
      </c>
      <c r="I3" s="9">
        <v>0.0</v>
      </c>
      <c r="J3" s="17">
        <v>-588.0</v>
      </c>
      <c r="K3" s="18">
        <v>-610.0</v>
      </c>
      <c r="L3" s="17">
        <v>-604.0</v>
      </c>
      <c r="M3" s="18">
        <v>-604.0</v>
      </c>
      <c r="N3" s="18">
        <v>0.0</v>
      </c>
      <c r="O3" s="18">
        <v>0.113</v>
      </c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1.0</v>
      </c>
      <c r="H4" s="9">
        <v>0.0</v>
      </c>
      <c r="I4" s="9">
        <v>0.0</v>
      </c>
      <c r="J4" s="17">
        <v>-643.0</v>
      </c>
      <c r="K4" s="18">
        <v>-679.214</v>
      </c>
      <c r="L4" s="17">
        <v>-665.0</v>
      </c>
      <c r="M4" s="18">
        <v>-665.0</v>
      </c>
      <c r="N4" s="18">
        <v>0.0</v>
      </c>
      <c r="O4" s="18">
        <v>0.402</v>
      </c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1.0</v>
      </c>
      <c r="H5" s="9">
        <v>0.0</v>
      </c>
      <c r="I5" s="9">
        <v>0.0</v>
      </c>
      <c r="J5" s="17">
        <v>-642.0</v>
      </c>
      <c r="K5" s="18">
        <v>-775.059</v>
      </c>
      <c r="L5" s="17">
        <v>-730.0</v>
      </c>
      <c r="M5" s="18">
        <v>-730.0</v>
      </c>
      <c r="N5" s="18">
        <v>0.0</v>
      </c>
      <c r="O5" s="18">
        <v>2.22</v>
      </c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1.0</v>
      </c>
      <c r="H6" s="9">
        <v>0.0</v>
      </c>
      <c r="I6" s="9">
        <v>0.0</v>
      </c>
      <c r="J6" s="17">
        <v>-628.0</v>
      </c>
      <c r="K6" s="18">
        <v>-647.0</v>
      </c>
      <c r="L6" s="17">
        <v>-634.0</v>
      </c>
      <c r="M6" s="18">
        <v>-634.0</v>
      </c>
      <c r="N6" s="18">
        <v>0.0</v>
      </c>
      <c r="O6" s="18">
        <v>0.241</v>
      </c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1.0</v>
      </c>
      <c r="H7" s="9">
        <v>0.0</v>
      </c>
      <c r="I7" s="9">
        <v>0.0</v>
      </c>
      <c r="J7" s="17">
        <v>-650.0</v>
      </c>
      <c r="K7" s="18">
        <v>-683.366</v>
      </c>
      <c r="L7" s="17">
        <v>-653.0</v>
      </c>
      <c r="M7" s="18">
        <v>-653.0</v>
      </c>
      <c r="N7" s="18">
        <v>0.0</v>
      </c>
      <c r="O7" s="18">
        <v>1.098</v>
      </c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1.0</v>
      </c>
      <c r="H8" s="9">
        <v>0.0</v>
      </c>
      <c r="I8" s="9">
        <v>0.0</v>
      </c>
      <c r="J8" s="17">
        <v>-423.0</v>
      </c>
      <c r="K8" s="18">
        <v>-506.466</v>
      </c>
      <c r="L8" s="17">
        <v>-442.0</v>
      </c>
      <c r="M8" s="18">
        <v>-442.0</v>
      </c>
      <c r="N8" s="18">
        <v>0.0</v>
      </c>
      <c r="O8" s="18">
        <v>5.721</v>
      </c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1.0</v>
      </c>
      <c r="H9" s="9">
        <v>0.0</v>
      </c>
      <c r="I9" s="9">
        <v>0.0</v>
      </c>
      <c r="J9" s="17">
        <v>-565.0</v>
      </c>
      <c r="K9" s="18">
        <v>-616.945</v>
      </c>
      <c r="L9" s="17">
        <v>-574.0</v>
      </c>
      <c r="M9" s="18">
        <v>-574.0</v>
      </c>
      <c r="N9" s="18">
        <v>0.0</v>
      </c>
      <c r="O9" s="18">
        <v>1.24</v>
      </c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1.0</v>
      </c>
      <c r="H10" s="9">
        <v>0.0</v>
      </c>
      <c r="I10" s="9">
        <v>0.0</v>
      </c>
      <c r="J10" s="17">
        <v>-462.0</v>
      </c>
      <c r="K10" s="18">
        <v>-667.048</v>
      </c>
      <c r="L10" s="17">
        <v>-500.0</v>
      </c>
      <c r="M10" s="18">
        <v>-500.0</v>
      </c>
      <c r="N10" s="18">
        <v>0.0</v>
      </c>
      <c r="O10" s="18">
        <v>56.908</v>
      </c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1.0</v>
      </c>
      <c r="H11" s="9">
        <v>0.0</v>
      </c>
      <c r="I11" s="9">
        <v>0.0</v>
      </c>
      <c r="J11" s="17">
        <v>-266.0</v>
      </c>
      <c r="K11" s="18">
        <v>-537.126</v>
      </c>
      <c r="L11" s="17">
        <v>-402.0</v>
      </c>
      <c r="M11" s="18">
        <v>-402.0</v>
      </c>
      <c r="N11" s="18">
        <v>0.0</v>
      </c>
      <c r="O11" s="18">
        <v>16.725</v>
      </c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1.0</v>
      </c>
      <c r="H12" s="9">
        <v>0.0</v>
      </c>
      <c r="I12" s="9">
        <v>0.0</v>
      </c>
      <c r="J12" s="17">
        <v>-397.0</v>
      </c>
      <c r="K12" s="18">
        <v>-598.369</v>
      </c>
      <c r="L12" s="17">
        <v>-481.0</v>
      </c>
      <c r="M12" s="18">
        <v>-481.0</v>
      </c>
      <c r="N12" s="18">
        <v>0.0</v>
      </c>
      <c r="O12" s="18">
        <v>16.384</v>
      </c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1.0</v>
      </c>
      <c r="H13" s="9">
        <v>0.0</v>
      </c>
      <c r="I13" s="9">
        <v>0.0</v>
      </c>
      <c r="J13" s="17">
        <v>1580.0</v>
      </c>
      <c r="K13" s="18">
        <v>743.519</v>
      </c>
      <c r="L13" s="17">
        <v>1422.0</v>
      </c>
      <c r="M13" s="18">
        <v>1422.0</v>
      </c>
      <c r="N13" s="18">
        <v>0.0</v>
      </c>
      <c r="O13" s="18">
        <v>78.385</v>
      </c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1.0</v>
      </c>
      <c r="H14" s="9">
        <v>0.0</v>
      </c>
      <c r="I14" s="9">
        <v>0.0</v>
      </c>
      <c r="J14" s="17">
        <v>288.0</v>
      </c>
      <c r="K14" s="18">
        <v>38.5311</v>
      </c>
      <c r="L14" s="17">
        <v>233.0</v>
      </c>
      <c r="M14" s="18">
        <v>233.0</v>
      </c>
      <c r="N14" s="18">
        <v>0.0</v>
      </c>
      <c r="O14" s="18">
        <v>2.56</v>
      </c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0.0</v>
      </c>
      <c r="H15" s="9">
        <v>1.0</v>
      </c>
      <c r="I15" s="9">
        <v>0.0</v>
      </c>
      <c r="J15" s="17">
        <v>1875.0</v>
      </c>
      <c r="K15" s="18">
        <v>431.689</v>
      </c>
      <c r="L15" s="17">
        <v>1634.0</v>
      </c>
      <c r="M15" s="18">
        <v>1411.92</v>
      </c>
      <c r="N15" s="18">
        <v>13.5911</v>
      </c>
      <c r="O15" s="18">
        <v>3600.0</v>
      </c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1.0</v>
      </c>
      <c r="H16" s="9">
        <v>0.0</v>
      </c>
      <c r="I16" s="9">
        <v>0.0</v>
      </c>
      <c r="J16" s="17">
        <v>2132.0</v>
      </c>
      <c r="K16" s="18">
        <v>758.786</v>
      </c>
      <c r="L16" s="17">
        <v>1860.0</v>
      </c>
      <c r="M16" s="18">
        <v>1860.0</v>
      </c>
      <c r="N16" s="18">
        <v>0.0</v>
      </c>
      <c r="O16" s="18">
        <v>628.873</v>
      </c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0.0</v>
      </c>
      <c r="H17" s="9">
        <v>1.0</v>
      </c>
      <c r="I17" s="9">
        <v>0.0</v>
      </c>
      <c r="J17" s="17">
        <v>1456.0</v>
      </c>
      <c r="K17" s="18">
        <v>75.7069</v>
      </c>
      <c r="L17" s="17">
        <v>1361.0</v>
      </c>
      <c r="M17" s="18">
        <v>958.528</v>
      </c>
      <c r="N17" s="18">
        <v>29.5718</v>
      </c>
      <c r="O17" s="18">
        <v>3600.0</v>
      </c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1.0</v>
      </c>
      <c r="H18" s="9">
        <v>0.0</v>
      </c>
      <c r="I18" s="9">
        <v>0.0</v>
      </c>
      <c r="J18" s="17">
        <v>-932.0</v>
      </c>
      <c r="K18" s="18">
        <v>-1222.57</v>
      </c>
      <c r="L18" s="17">
        <v>-1091.0</v>
      </c>
      <c r="M18" s="18">
        <v>-1091.0</v>
      </c>
      <c r="N18" s="18">
        <v>0.0</v>
      </c>
      <c r="O18" s="18">
        <v>6.674</v>
      </c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1.0</v>
      </c>
      <c r="H19" s="9">
        <v>0.0</v>
      </c>
      <c r="I19" s="9">
        <v>0.0</v>
      </c>
      <c r="J19" s="17">
        <v>-1020.0</v>
      </c>
      <c r="K19" s="18">
        <v>-1180.96</v>
      </c>
      <c r="L19" s="17">
        <v>-1074.0</v>
      </c>
      <c r="M19" s="18">
        <v>-1074.0</v>
      </c>
      <c r="N19" s="18">
        <v>0.0</v>
      </c>
      <c r="O19" s="18">
        <v>8.257</v>
      </c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1.0</v>
      </c>
      <c r="H20" s="9">
        <v>0.0</v>
      </c>
      <c r="I20" s="9">
        <v>0.0</v>
      </c>
      <c r="J20" s="17">
        <v>-988.0</v>
      </c>
      <c r="K20" s="18">
        <v>-1084.46</v>
      </c>
      <c r="L20" s="17">
        <v>-1002.0</v>
      </c>
      <c r="M20" s="18">
        <v>-1002.0</v>
      </c>
      <c r="N20" s="18">
        <v>0.0</v>
      </c>
      <c r="O20" s="18">
        <v>3.334</v>
      </c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1.0</v>
      </c>
      <c r="H21" s="9">
        <v>0.0</v>
      </c>
      <c r="I21" s="9">
        <v>0.0</v>
      </c>
      <c r="J21" s="17">
        <v>-943.0</v>
      </c>
      <c r="K21" s="18">
        <v>-1044.33</v>
      </c>
      <c r="L21" s="17">
        <v>-990.0</v>
      </c>
      <c r="M21" s="18">
        <v>-990.0</v>
      </c>
      <c r="N21" s="18">
        <v>0.0</v>
      </c>
      <c r="O21" s="18">
        <v>2.543</v>
      </c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1.0</v>
      </c>
      <c r="H22" s="9">
        <v>0.0</v>
      </c>
      <c r="I22" s="9">
        <v>0.0</v>
      </c>
      <c r="J22" s="17">
        <v>-902.0</v>
      </c>
      <c r="K22" s="18">
        <v>-1398.94</v>
      </c>
      <c r="L22" s="17">
        <v>-1146.0</v>
      </c>
      <c r="M22" s="18">
        <v>-1146.0</v>
      </c>
      <c r="N22" s="18">
        <v>0.0</v>
      </c>
      <c r="O22" s="18">
        <v>66.889</v>
      </c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17">
        <v>-586.0</v>
      </c>
      <c r="K23" s="18">
        <v>-1041.14</v>
      </c>
      <c r="L23" s="17">
        <v>-719.0</v>
      </c>
      <c r="M23" s="18">
        <v>-719.0</v>
      </c>
      <c r="N23" s="18">
        <v>0.0</v>
      </c>
      <c r="O23" s="18">
        <v>218.799</v>
      </c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1.0</v>
      </c>
      <c r="H24" s="9">
        <v>0.0</v>
      </c>
      <c r="I24" s="9">
        <v>0.0</v>
      </c>
      <c r="J24" s="17">
        <v>-408.0</v>
      </c>
      <c r="K24" s="18">
        <v>-1104.98</v>
      </c>
      <c r="L24" s="17">
        <v>-847.0</v>
      </c>
      <c r="M24" s="18">
        <v>-847.0</v>
      </c>
      <c r="N24" s="18">
        <v>0.0</v>
      </c>
      <c r="O24" s="18">
        <v>141.444</v>
      </c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1.0</v>
      </c>
      <c r="H25" s="9">
        <v>0.0</v>
      </c>
      <c r="I25" s="9">
        <v>0.0</v>
      </c>
      <c r="J25" s="17">
        <v>-562.0</v>
      </c>
      <c r="K25" s="18">
        <v>-1043.71</v>
      </c>
      <c r="L25" s="17">
        <v>-871.0</v>
      </c>
      <c r="M25" s="18">
        <v>-871.0</v>
      </c>
      <c r="N25" s="18">
        <v>0.0</v>
      </c>
      <c r="O25" s="18">
        <v>27.985</v>
      </c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1.0</v>
      </c>
      <c r="H26" s="9">
        <v>0.0</v>
      </c>
      <c r="I26" s="9">
        <v>0.0</v>
      </c>
      <c r="J26" s="17">
        <v>-752.0</v>
      </c>
      <c r="K26" s="18">
        <v>-977.229</v>
      </c>
      <c r="L26" s="17">
        <v>-810.0</v>
      </c>
      <c r="M26" s="18">
        <v>-810.0</v>
      </c>
      <c r="N26" s="18">
        <v>0.0</v>
      </c>
      <c r="O26" s="18">
        <v>35.81</v>
      </c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1.0</v>
      </c>
      <c r="H27" s="9">
        <v>0.0</v>
      </c>
      <c r="I27" s="9">
        <v>0.0</v>
      </c>
      <c r="J27" s="17">
        <v>-394.0</v>
      </c>
      <c r="K27" s="18">
        <v>-1190.9</v>
      </c>
      <c r="L27" s="17">
        <v>-689.0</v>
      </c>
      <c r="M27" s="18">
        <v>-689.0</v>
      </c>
      <c r="N27" s="18">
        <v>0.0</v>
      </c>
      <c r="O27" s="18">
        <v>3062.24</v>
      </c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1.0</v>
      </c>
      <c r="H28" s="9">
        <v>0.0</v>
      </c>
      <c r="I28" s="9">
        <v>0.0</v>
      </c>
      <c r="J28" s="17">
        <v>1865.0</v>
      </c>
      <c r="K28" s="18">
        <v>323.947</v>
      </c>
      <c r="L28" s="17">
        <v>1520.0</v>
      </c>
      <c r="M28" s="18">
        <v>1520.0</v>
      </c>
      <c r="N28" s="18">
        <v>0.0</v>
      </c>
      <c r="O28" s="18">
        <v>534.809</v>
      </c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1.0</v>
      </c>
      <c r="H29" s="9">
        <v>0.0</v>
      </c>
      <c r="I29" s="9">
        <v>0.0</v>
      </c>
      <c r="J29" s="17">
        <v>521.0</v>
      </c>
      <c r="K29" s="18">
        <v>-167.871</v>
      </c>
      <c r="L29" s="17">
        <v>368.0</v>
      </c>
      <c r="M29" s="18">
        <v>368.0</v>
      </c>
      <c r="N29" s="18">
        <v>0.0</v>
      </c>
      <c r="O29" s="18">
        <v>154.626</v>
      </c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1.0</v>
      </c>
      <c r="H30" s="9">
        <v>0.0</v>
      </c>
      <c r="I30" s="9">
        <v>0.0</v>
      </c>
      <c r="J30" s="17">
        <v>-499.0</v>
      </c>
      <c r="K30" s="18">
        <v>-540.913</v>
      </c>
      <c r="L30" s="17">
        <v>-499.0</v>
      </c>
      <c r="M30" s="18">
        <v>-499.0</v>
      </c>
      <c r="N30" s="18">
        <v>0.0</v>
      </c>
      <c r="O30" s="18">
        <v>0.11</v>
      </c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1.0</v>
      </c>
      <c r="H31" s="9">
        <v>0.0</v>
      </c>
      <c r="I31" s="9">
        <v>0.0</v>
      </c>
      <c r="J31" s="17">
        <v>-309.0</v>
      </c>
      <c r="K31" s="18">
        <v>-481.844</v>
      </c>
      <c r="L31" s="17">
        <v>-374.0</v>
      </c>
      <c r="M31" s="18">
        <v>-374.0</v>
      </c>
      <c r="N31" s="18">
        <v>0.0</v>
      </c>
      <c r="O31" s="18">
        <v>0.373</v>
      </c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0.0</v>
      </c>
      <c r="H32" s="9">
        <v>1.0</v>
      </c>
      <c r="I32" s="9">
        <v>0.0</v>
      </c>
      <c r="J32" s="17">
        <v>4700.0</v>
      </c>
      <c r="K32" s="18">
        <v>1386.75</v>
      </c>
      <c r="L32" s="17">
        <v>3809.0</v>
      </c>
      <c r="M32" s="18">
        <v>3118.37</v>
      </c>
      <c r="N32" s="18">
        <v>18.1315</v>
      </c>
      <c r="O32" s="18">
        <v>3600.0</v>
      </c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1.0</v>
      </c>
      <c r="H33" s="9">
        <v>0.0</v>
      </c>
      <c r="I33" s="9">
        <v>0.0</v>
      </c>
      <c r="J33" s="17">
        <v>-1004.0</v>
      </c>
      <c r="K33" s="18">
        <v>-1461.16</v>
      </c>
      <c r="L33" s="17">
        <v>-1186.0</v>
      </c>
      <c r="M33" s="18">
        <v>-1186.0</v>
      </c>
      <c r="N33" s="18">
        <v>0.0</v>
      </c>
      <c r="O33" s="18">
        <v>34.888</v>
      </c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1.0</v>
      </c>
      <c r="H34" s="9">
        <v>0.0</v>
      </c>
      <c r="I34" s="9">
        <v>0.0</v>
      </c>
      <c r="J34" s="17">
        <v>-668.0</v>
      </c>
      <c r="K34" s="18">
        <v>-1406.07</v>
      </c>
      <c r="L34" s="17">
        <v>-1122.0</v>
      </c>
      <c r="M34" s="18">
        <v>-1122.0</v>
      </c>
      <c r="N34" s="18">
        <v>0.0</v>
      </c>
      <c r="O34" s="18">
        <v>22.701</v>
      </c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1.0</v>
      </c>
      <c r="H35" s="9">
        <v>0.0</v>
      </c>
      <c r="I35" s="9">
        <v>0.0</v>
      </c>
      <c r="J35" s="17">
        <v>-335.0</v>
      </c>
      <c r="K35" s="18">
        <v>-1356.5</v>
      </c>
      <c r="L35" s="17">
        <v>-1137.0</v>
      </c>
      <c r="M35" s="18">
        <v>-1137.0</v>
      </c>
      <c r="N35" s="18">
        <v>0.0</v>
      </c>
      <c r="O35" s="18">
        <v>10.957</v>
      </c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1.0</v>
      </c>
      <c r="H36" s="9">
        <v>0.0</v>
      </c>
      <c r="I36" s="9">
        <v>0.0</v>
      </c>
      <c r="J36" s="17">
        <v>-688.0</v>
      </c>
      <c r="K36" s="18">
        <v>-1349.0</v>
      </c>
      <c r="L36" s="17">
        <v>-1101.0</v>
      </c>
      <c r="M36" s="18">
        <v>-1101.0</v>
      </c>
      <c r="N36" s="18">
        <v>0.0</v>
      </c>
      <c r="O36" s="18">
        <v>17.666</v>
      </c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1.0</v>
      </c>
      <c r="H37" s="9">
        <v>0.0</v>
      </c>
      <c r="I37" s="9">
        <v>0.0</v>
      </c>
      <c r="J37" s="17">
        <v>-525.0</v>
      </c>
      <c r="K37" s="18">
        <v>-1269.75</v>
      </c>
      <c r="L37" s="17">
        <v>-1083.0</v>
      </c>
      <c r="M37" s="18">
        <v>-1083.0</v>
      </c>
      <c r="N37" s="18">
        <v>0.0</v>
      </c>
      <c r="O37" s="18">
        <v>6.73</v>
      </c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1.0</v>
      </c>
      <c r="H38" s="9">
        <v>0.0</v>
      </c>
      <c r="I38" s="9">
        <v>0.0</v>
      </c>
      <c r="J38" s="17">
        <v>-582.0</v>
      </c>
      <c r="K38" s="18">
        <v>-1379.44</v>
      </c>
      <c r="L38" s="17">
        <v>-952.0</v>
      </c>
      <c r="M38" s="18">
        <v>-952.0</v>
      </c>
      <c r="N38" s="18">
        <v>0.0</v>
      </c>
      <c r="O38" s="18">
        <v>492.667</v>
      </c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1.0</v>
      </c>
      <c r="H39" s="9">
        <v>0.0</v>
      </c>
      <c r="I39" s="9">
        <v>0.0</v>
      </c>
      <c r="J39" s="17">
        <v>-463.0</v>
      </c>
      <c r="K39" s="18">
        <v>-1288.99</v>
      </c>
      <c r="L39" s="17">
        <v>-976.0</v>
      </c>
      <c r="M39" s="18">
        <v>-976.0</v>
      </c>
      <c r="N39" s="18">
        <v>0.0</v>
      </c>
      <c r="O39" s="18">
        <v>51.918</v>
      </c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1.0</v>
      </c>
      <c r="H40" s="9">
        <v>0.0</v>
      </c>
      <c r="I40" s="9">
        <v>0.0</v>
      </c>
      <c r="J40" s="17">
        <v>-304.0</v>
      </c>
      <c r="K40" s="18">
        <v>-1294.47</v>
      </c>
      <c r="L40" s="17">
        <v>-811.0</v>
      </c>
      <c r="M40" s="18">
        <v>-811.0</v>
      </c>
      <c r="N40" s="18">
        <v>0.0</v>
      </c>
      <c r="O40" s="18">
        <v>502.826</v>
      </c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1.0</v>
      </c>
      <c r="H41" s="9">
        <v>0.0</v>
      </c>
      <c r="I41" s="9">
        <v>0.0</v>
      </c>
      <c r="J41" s="17">
        <v>-87.0</v>
      </c>
      <c r="K41" s="18">
        <v>-1265.85</v>
      </c>
      <c r="L41" s="17">
        <v>-822.0</v>
      </c>
      <c r="M41" s="18">
        <v>-822.0</v>
      </c>
      <c r="N41" s="18">
        <v>0.0</v>
      </c>
      <c r="O41" s="18">
        <v>205.211</v>
      </c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1.0</v>
      </c>
      <c r="H42" s="9">
        <v>0.0</v>
      </c>
      <c r="I42" s="9">
        <v>0.0</v>
      </c>
      <c r="J42" s="17">
        <v>10.0</v>
      </c>
      <c r="K42" s="18">
        <v>-1100.41</v>
      </c>
      <c r="L42" s="17">
        <v>-634.0</v>
      </c>
      <c r="M42" s="18">
        <v>-634.0</v>
      </c>
      <c r="N42" s="18">
        <v>0.0</v>
      </c>
      <c r="O42" s="18">
        <v>407.38</v>
      </c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1.0</v>
      </c>
      <c r="H43" s="9">
        <v>0.0</v>
      </c>
      <c r="I43" s="9">
        <v>0.0</v>
      </c>
      <c r="J43" s="17">
        <v>576.0</v>
      </c>
      <c r="K43" s="18">
        <v>-276.142</v>
      </c>
      <c r="L43" s="17">
        <v>485.0</v>
      </c>
      <c r="M43" s="18">
        <v>485.0</v>
      </c>
      <c r="N43" s="18">
        <v>0.0</v>
      </c>
      <c r="O43" s="18">
        <v>1611.2</v>
      </c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1.0</v>
      </c>
      <c r="H44" s="9">
        <v>0.0</v>
      </c>
      <c r="I44" s="9">
        <v>0.0</v>
      </c>
      <c r="J44" s="17">
        <v>-125.0</v>
      </c>
      <c r="K44" s="18">
        <v>-484.164</v>
      </c>
      <c r="L44" s="17">
        <v>-234.0</v>
      </c>
      <c r="M44" s="18">
        <v>-234.0</v>
      </c>
      <c r="N44" s="18">
        <v>0.0</v>
      </c>
      <c r="O44" s="18">
        <v>4.347</v>
      </c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0.0</v>
      </c>
      <c r="H45" s="9">
        <v>1.0</v>
      </c>
      <c r="I45" s="9">
        <v>0.0</v>
      </c>
      <c r="J45" s="17">
        <v>2465.0</v>
      </c>
      <c r="K45" s="18">
        <v>305.224</v>
      </c>
      <c r="L45" s="17">
        <v>2134.0</v>
      </c>
      <c r="M45" s="18">
        <v>1815.12</v>
      </c>
      <c r="N45" s="18">
        <v>14.9429</v>
      </c>
      <c r="O45" s="18">
        <v>3600.0</v>
      </c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0.0</v>
      </c>
      <c r="H46" s="9">
        <v>1.0</v>
      </c>
      <c r="I46" s="9">
        <v>0.0</v>
      </c>
      <c r="J46" s="17">
        <v>4059.0</v>
      </c>
      <c r="K46" s="18">
        <v>378.052</v>
      </c>
      <c r="L46" s="17">
        <v>3663.0</v>
      </c>
      <c r="M46" s="18">
        <v>2597.76</v>
      </c>
      <c r="N46" s="18">
        <v>29.0811</v>
      </c>
      <c r="O46" s="18">
        <v>3600.0</v>
      </c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1.0</v>
      </c>
      <c r="H47" s="9">
        <v>0.0</v>
      </c>
      <c r="I47" s="9">
        <v>0.0</v>
      </c>
      <c r="J47" s="17">
        <v>4628.0</v>
      </c>
      <c r="K47" s="18">
        <v>2024.38</v>
      </c>
      <c r="L47" s="17">
        <v>4325.0</v>
      </c>
      <c r="M47" s="18">
        <v>4325.0</v>
      </c>
      <c r="N47" s="18">
        <v>0.0</v>
      </c>
      <c r="O47" s="18">
        <v>82.586</v>
      </c>
    </row>
    <row r="48">
      <c r="A48" s="8" t="s">
        <v>233</v>
      </c>
      <c r="B48" s="9">
        <v>25.0</v>
      </c>
      <c r="C48" s="14" t="s">
        <v>234</v>
      </c>
      <c r="D48" s="9">
        <v>25.0</v>
      </c>
      <c r="E48" s="10">
        <v>0.6</v>
      </c>
      <c r="F48" s="9">
        <v>1.0</v>
      </c>
      <c r="G48" s="9">
        <v>1.0</v>
      </c>
      <c r="H48" s="9">
        <v>0.0</v>
      </c>
      <c r="I48" s="9">
        <v>0.0</v>
      </c>
      <c r="J48" s="17">
        <v>650.0</v>
      </c>
      <c r="K48" s="18">
        <v>118.667</v>
      </c>
      <c r="L48" s="17">
        <v>261.0</v>
      </c>
      <c r="M48" s="18">
        <v>261.0</v>
      </c>
      <c r="N48" s="18">
        <v>0.0</v>
      </c>
      <c r="O48" s="18">
        <v>43.841</v>
      </c>
    </row>
    <row r="49">
      <c r="A49" s="8" t="s">
        <v>235</v>
      </c>
      <c r="B49" s="9">
        <v>25.0</v>
      </c>
      <c r="C49" s="14" t="s">
        <v>234</v>
      </c>
      <c r="D49" s="9">
        <v>25.0</v>
      </c>
      <c r="E49" s="10">
        <v>0.6</v>
      </c>
      <c r="F49" s="9">
        <v>2.0</v>
      </c>
      <c r="G49" s="9">
        <v>1.0</v>
      </c>
      <c r="H49" s="9">
        <v>0.0</v>
      </c>
      <c r="I49" s="9">
        <v>0.0</v>
      </c>
      <c r="J49" s="17">
        <v>630.0</v>
      </c>
      <c r="K49" s="18">
        <v>88.0</v>
      </c>
      <c r="L49" s="17">
        <v>236.0</v>
      </c>
      <c r="M49" s="18">
        <v>236.0</v>
      </c>
      <c r="N49" s="18">
        <v>0.0</v>
      </c>
      <c r="O49" s="18">
        <v>64.51</v>
      </c>
    </row>
    <row r="50">
      <c r="A50" s="8" t="s">
        <v>236</v>
      </c>
      <c r="B50" s="9">
        <v>25.0</v>
      </c>
      <c r="C50" s="14" t="s">
        <v>234</v>
      </c>
      <c r="D50" s="9">
        <v>25.0</v>
      </c>
      <c r="E50" s="10">
        <v>0.6</v>
      </c>
      <c r="F50" s="9">
        <v>3.0</v>
      </c>
      <c r="G50" s="9">
        <v>1.0</v>
      </c>
      <c r="H50" s="9">
        <v>0.0</v>
      </c>
      <c r="I50" s="9">
        <v>0.0</v>
      </c>
      <c r="J50" s="17">
        <v>750.0</v>
      </c>
      <c r="K50" s="18">
        <v>79.3333</v>
      </c>
      <c r="L50" s="17">
        <v>281.0</v>
      </c>
      <c r="M50" s="18">
        <v>281.0</v>
      </c>
      <c r="N50" s="18">
        <v>0.0</v>
      </c>
      <c r="O50" s="18">
        <v>117.886</v>
      </c>
    </row>
    <row r="51">
      <c r="A51" s="8" t="s">
        <v>237</v>
      </c>
      <c r="B51" s="9">
        <v>25.0</v>
      </c>
      <c r="C51" s="14" t="s">
        <v>234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594.0</v>
      </c>
      <c r="K51" s="18">
        <v>112.5</v>
      </c>
      <c r="L51" s="17">
        <v>236.0</v>
      </c>
      <c r="M51" s="18">
        <v>236.0</v>
      </c>
      <c r="N51" s="18">
        <v>0.0</v>
      </c>
      <c r="O51" s="18">
        <v>24.17</v>
      </c>
    </row>
    <row r="52">
      <c r="A52" s="8" t="s">
        <v>238</v>
      </c>
      <c r="B52" s="9">
        <v>25.0</v>
      </c>
      <c r="C52" s="14" t="s">
        <v>234</v>
      </c>
      <c r="D52" s="9">
        <v>25.0</v>
      </c>
      <c r="E52" s="10">
        <v>0.6</v>
      </c>
      <c r="F52" s="9">
        <v>5.0</v>
      </c>
      <c r="G52" s="9">
        <v>1.0</v>
      </c>
      <c r="H52" s="9">
        <v>0.0</v>
      </c>
      <c r="I52" s="9">
        <v>0.0</v>
      </c>
      <c r="J52" s="17">
        <v>700.0</v>
      </c>
      <c r="K52" s="18">
        <v>134.0</v>
      </c>
      <c r="L52" s="17">
        <v>268.0</v>
      </c>
      <c r="M52" s="18">
        <v>268.0</v>
      </c>
      <c r="N52" s="18">
        <v>0.0</v>
      </c>
      <c r="O52" s="18">
        <v>64.294</v>
      </c>
    </row>
    <row r="53">
      <c r="A53" s="8" t="s">
        <v>239</v>
      </c>
      <c r="B53" s="9">
        <v>25.0</v>
      </c>
      <c r="C53" s="14" t="s">
        <v>234</v>
      </c>
      <c r="D53" s="9">
        <v>25.0</v>
      </c>
      <c r="E53" s="10">
        <v>1.0</v>
      </c>
      <c r="F53" s="9">
        <v>1.0</v>
      </c>
      <c r="G53" s="9">
        <v>0.0</v>
      </c>
      <c r="H53" s="9">
        <v>1.0</v>
      </c>
      <c r="I53" s="9">
        <v>0.0</v>
      </c>
      <c r="J53" s="17">
        <v>2862.0</v>
      </c>
      <c r="K53" s="18">
        <v>331.667</v>
      </c>
      <c r="L53" s="17">
        <v>1408.0</v>
      </c>
      <c r="M53" s="18">
        <v>1165.0</v>
      </c>
      <c r="N53" s="18">
        <v>17.2585</v>
      </c>
      <c r="O53" s="18">
        <v>3600.0</v>
      </c>
    </row>
    <row r="54">
      <c r="A54" s="8" t="s">
        <v>240</v>
      </c>
      <c r="B54" s="9">
        <v>25.0</v>
      </c>
      <c r="C54" s="14" t="s">
        <v>234</v>
      </c>
      <c r="D54" s="9">
        <v>25.0</v>
      </c>
      <c r="E54" s="10">
        <v>1.0</v>
      </c>
      <c r="F54" s="9">
        <v>2.0</v>
      </c>
      <c r="G54" s="9">
        <v>0.0</v>
      </c>
      <c r="H54" s="9">
        <v>1.0</v>
      </c>
      <c r="I54" s="9">
        <v>0.0</v>
      </c>
      <c r="J54" s="17">
        <v>2277.0</v>
      </c>
      <c r="K54" s="18">
        <v>282.0</v>
      </c>
      <c r="L54" s="17">
        <v>1518.0</v>
      </c>
      <c r="M54" s="18">
        <v>1012.0</v>
      </c>
      <c r="N54" s="18">
        <v>33.3333</v>
      </c>
      <c r="O54" s="18">
        <v>3600.0</v>
      </c>
    </row>
    <row r="55">
      <c r="A55" s="8" t="s">
        <v>241</v>
      </c>
      <c r="B55" s="9">
        <v>25.0</v>
      </c>
      <c r="C55" s="14" t="s">
        <v>234</v>
      </c>
      <c r="D55" s="9">
        <v>25.0</v>
      </c>
      <c r="E55" s="10">
        <v>1.0</v>
      </c>
      <c r="F55" s="9">
        <v>3.0</v>
      </c>
      <c r="G55" s="9">
        <v>0.0</v>
      </c>
      <c r="H55" s="9">
        <v>1.0</v>
      </c>
      <c r="I55" s="9">
        <v>0.0</v>
      </c>
      <c r="J55" s="17">
        <v>2413.0</v>
      </c>
      <c r="K55" s="18">
        <v>308.333</v>
      </c>
      <c r="L55" s="17">
        <v>1563.0</v>
      </c>
      <c r="M55" s="18">
        <v>1252.0</v>
      </c>
      <c r="N55" s="18">
        <v>19.8976</v>
      </c>
      <c r="O55" s="18">
        <v>3600.0</v>
      </c>
    </row>
    <row r="56">
      <c r="A56" s="8" t="s">
        <v>242</v>
      </c>
      <c r="B56" s="9">
        <v>25.0</v>
      </c>
      <c r="C56" s="14" t="s">
        <v>234</v>
      </c>
      <c r="D56" s="9">
        <v>25.0</v>
      </c>
      <c r="E56" s="10">
        <v>1.0</v>
      </c>
      <c r="F56" s="9">
        <v>4.0</v>
      </c>
      <c r="G56" s="9">
        <v>0.0</v>
      </c>
      <c r="H56" s="9">
        <v>1.0</v>
      </c>
      <c r="I56" s="9">
        <v>0.0</v>
      </c>
      <c r="J56" s="17">
        <v>2197.0</v>
      </c>
      <c r="K56" s="18">
        <v>306.5</v>
      </c>
      <c r="L56" s="17">
        <v>1278.0</v>
      </c>
      <c r="M56" s="18">
        <v>1065.0</v>
      </c>
      <c r="N56" s="18">
        <v>16.6667</v>
      </c>
      <c r="O56" s="18">
        <v>3600.0</v>
      </c>
    </row>
    <row r="57">
      <c r="A57" s="8" t="s">
        <v>243</v>
      </c>
      <c r="B57" s="9">
        <v>25.0</v>
      </c>
      <c r="C57" s="14" t="s">
        <v>234</v>
      </c>
      <c r="D57" s="9">
        <v>25.0</v>
      </c>
      <c r="E57" s="10">
        <v>1.0</v>
      </c>
      <c r="F57" s="9">
        <v>5.0</v>
      </c>
      <c r="G57" s="9">
        <v>0.0</v>
      </c>
      <c r="H57" s="9">
        <v>1.0</v>
      </c>
      <c r="I57" s="9">
        <v>0.0</v>
      </c>
      <c r="J57" s="17">
        <v>2241.0</v>
      </c>
      <c r="K57" s="18">
        <v>357.0</v>
      </c>
      <c r="L57" s="17">
        <v>1479.0</v>
      </c>
      <c r="M57" s="18">
        <v>1011.75</v>
      </c>
      <c r="N57" s="18">
        <v>31.5923</v>
      </c>
      <c r="O57" s="18">
        <v>3600.0</v>
      </c>
    </row>
    <row r="58">
      <c r="A58" s="8" t="s">
        <v>244</v>
      </c>
      <c r="B58" s="9">
        <v>25.0</v>
      </c>
      <c r="C58" s="14" t="s">
        <v>234</v>
      </c>
      <c r="D58" s="9">
        <v>25.0</v>
      </c>
      <c r="E58" s="10">
        <v>2.0</v>
      </c>
      <c r="F58" s="9">
        <v>1.0</v>
      </c>
      <c r="G58" s="9">
        <v>1.0</v>
      </c>
      <c r="H58" s="9">
        <v>0.0</v>
      </c>
      <c r="I58" s="9">
        <v>0.0</v>
      </c>
      <c r="J58" s="17">
        <v>22860.0</v>
      </c>
      <c r="K58" s="18">
        <v>10477.5</v>
      </c>
      <c r="L58" s="17">
        <v>20955.0</v>
      </c>
      <c r="M58" s="18">
        <v>20955.0</v>
      </c>
      <c r="N58" s="18">
        <v>0.0</v>
      </c>
      <c r="O58" s="18">
        <v>1383.92</v>
      </c>
    </row>
    <row r="59">
      <c r="A59" s="8" t="s">
        <v>245</v>
      </c>
      <c r="B59" s="9">
        <v>25.0</v>
      </c>
      <c r="C59" s="14" t="s">
        <v>234</v>
      </c>
      <c r="D59" s="9">
        <v>25.0</v>
      </c>
      <c r="E59" s="10">
        <v>2.0</v>
      </c>
      <c r="F59" s="9">
        <v>2.0</v>
      </c>
      <c r="G59" s="9">
        <v>0.0</v>
      </c>
      <c r="H59" s="9">
        <v>1.0</v>
      </c>
      <c r="I59" s="9">
        <v>0.0</v>
      </c>
      <c r="J59" s="17">
        <v>22555.0</v>
      </c>
      <c r="K59" s="18">
        <v>11304.2</v>
      </c>
      <c r="L59" s="17">
        <v>22555.0</v>
      </c>
      <c r="M59" s="18">
        <v>19233.5</v>
      </c>
      <c r="N59" s="18">
        <v>14.7262</v>
      </c>
      <c r="O59" s="18">
        <v>3600.0</v>
      </c>
    </row>
    <row r="60">
      <c r="A60" s="8" t="s">
        <v>246</v>
      </c>
      <c r="B60" s="9">
        <v>25.0</v>
      </c>
      <c r="C60" s="14" t="s">
        <v>234</v>
      </c>
      <c r="D60" s="9">
        <v>25.0</v>
      </c>
      <c r="E60" s="10">
        <v>2.0</v>
      </c>
      <c r="F60" s="9">
        <v>3.0</v>
      </c>
      <c r="G60" s="9">
        <v>1.0</v>
      </c>
      <c r="H60" s="9">
        <v>0.0</v>
      </c>
      <c r="I60" s="9">
        <v>0.0</v>
      </c>
      <c r="J60" s="17">
        <v>22539.0</v>
      </c>
      <c r="K60" s="18">
        <v>8437.0</v>
      </c>
      <c r="L60" s="17">
        <v>22440.0</v>
      </c>
      <c r="M60" s="18">
        <v>22440.0</v>
      </c>
      <c r="N60" s="18">
        <v>0.0</v>
      </c>
      <c r="O60" s="18">
        <v>3134.12</v>
      </c>
    </row>
    <row r="61">
      <c r="A61" s="8" t="s">
        <v>247</v>
      </c>
      <c r="B61" s="9">
        <v>25.0</v>
      </c>
      <c r="C61" s="14" t="s">
        <v>234</v>
      </c>
      <c r="D61" s="9">
        <v>25.0</v>
      </c>
      <c r="E61" s="10">
        <v>2.0</v>
      </c>
      <c r="F61" s="9">
        <v>4.0</v>
      </c>
      <c r="G61" s="9">
        <v>1.0</v>
      </c>
      <c r="H61" s="9">
        <v>0.0</v>
      </c>
      <c r="I61" s="9">
        <v>0.0</v>
      </c>
      <c r="J61" s="17">
        <v>19085.0</v>
      </c>
      <c r="K61" s="18">
        <v>9023.83</v>
      </c>
      <c r="L61" s="17">
        <v>17350.0</v>
      </c>
      <c r="M61" s="18">
        <v>17350.0</v>
      </c>
      <c r="N61" s="18">
        <v>0.0</v>
      </c>
      <c r="O61" s="18">
        <v>370.889</v>
      </c>
    </row>
    <row r="62">
      <c r="A62" s="8" t="s">
        <v>248</v>
      </c>
      <c r="B62" s="9">
        <v>25.0</v>
      </c>
      <c r="C62" s="14" t="s">
        <v>234</v>
      </c>
      <c r="D62" s="9">
        <v>25.0</v>
      </c>
      <c r="E62" s="10">
        <v>2.0</v>
      </c>
      <c r="F62" s="9">
        <v>5.0</v>
      </c>
      <c r="G62" s="9">
        <v>0.0</v>
      </c>
      <c r="H62" s="9">
        <v>1.0</v>
      </c>
      <c r="I62" s="9">
        <v>0.0</v>
      </c>
      <c r="J62" s="17">
        <v>21681.0</v>
      </c>
      <c r="K62" s="18">
        <v>2288.88</v>
      </c>
      <c r="L62" s="17">
        <v>19638.0</v>
      </c>
      <c r="M62" s="18">
        <v>11889.9</v>
      </c>
      <c r="N62" s="18">
        <v>39.4545</v>
      </c>
      <c r="O62" s="18">
        <v>3600.0</v>
      </c>
    </row>
    <row r="63">
      <c r="A63" s="8" t="s">
        <v>249</v>
      </c>
      <c r="B63" s="9">
        <v>25.0</v>
      </c>
      <c r="C63" s="14" t="s">
        <v>234</v>
      </c>
      <c r="D63" s="9">
        <v>50.0</v>
      </c>
      <c r="E63" s="10">
        <v>0.6</v>
      </c>
      <c r="F63" s="9">
        <v>1.0</v>
      </c>
      <c r="G63" s="9">
        <v>1.0</v>
      </c>
      <c r="H63" s="9">
        <v>0.0</v>
      </c>
      <c r="I63" s="9">
        <v>0.0</v>
      </c>
      <c r="J63" s="17">
        <v>1169.0</v>
      </c>
      <c r="K63" s="18">
        <v>287.5</v>
      </c>
      <c r="L63" s="17">
        <v>627.0</v>
      </c>
      <c r="M63" s="18">
        <v>627.0</v>
      </c>
      <c r="N63" s="18">
        <v>0.0</v>
      </c>
      <c r="O63" s="18">
        <v>773.128</v>
      </c>
    </row>
    <row r="64">
      <c r="A64" s="8" t="s">
        <v>250</v>
      </c>
      <c r="B64" s="9">
        <v>25.0</v>
      </c>
      <c r="C64" s="14" t="s">
        <v>234</v>
      </c>
      <c r="D64" s="9">
        <v>50.0</v>
      </c>
      <c r="E64" s="10">
        <v>0.6</v>
      </c>
      <c r="F64" s="9">
        <v>2.0</v>
      </c>
      <c r="G64" s="9">
        <v>1.0</v>
      </c>
      <c r="H64" s="9">
        <v>0.0</v>
      </c>
      <c r="I64" s="9">
        <v>0.0</v>
      </c>
      <c r="J64" s="17">
        <v>1474.0</v>
      </c>
      <c r="K64" s="18">
        <v>181.333</v>
      </c>
      <c r="L64" s="17">
        <v>769.0</v>
      </c>
      <c r="M64" s="18">
        <v>769.0</v>
      </c>
      <c r="N64" s="18">
        <v>0.0</v>
      </c>
      <c r="O64" s="18">
        <v>1736.43</v>
      </c>
    </row>
    <row r="65">
      <c r="A65" s="8" t="s">
        <v>251</v>
      </c>
      <c r="B65" s="9">
        <v>25.0</v>
      </c>
      <c r="C65" s="14" t="s">
        <v>234</v>
      </c>
      <c r="D65" s="9">
        <v>50.0</v>
      </c>
      <c r="E65" s="10">
        <v>0.6</v>
      </c>
      <c r="F65" s="9">
        <v>3.0</v>
      </c>
      <c r="G65" s="9">
        <v>1.0</v>
      </c>
      <c r="H65" s="9">
        <v>0.0</v>
      </c>
      <c r="I65" s="9">
        <v>0.0</v>
      </c>
      <c r="J65" s="17">
        <v>1212.0</v>
      </c>
      <c r="K65" s="18">
        <v>160.75</v>
      </c>
      <c r="L65" s="17">
        <v>605.0</v>
      </c>
      <c r="M65" s="18">
        <v>605.0</v>
      </c>
      <c r="N65" s="18">
        <v>0.0</v>
      </c>
      <c r="O65" s="18">
        <v>322.974</v>
      </c>
    </row>
    <row r="66">
      <c r="A66" s="8" t="s">
        <v>252</v>
      </c>
      <c r="B66" s="9">
        <v>25.0</v>
      </c>
      <c r="C66" s="14" t="s">
        <v>234</v>
      </c>
      <c r="D66" s="9">
        <v>50.0</v>
      </c>
      <c r="E66" s="10">
        <v>0.6</v>
      </c>
      <c r="F66" s="9">
        <v>4.0</v>
      </c>
      <c r="G66" s="9">
        <v>1.0</v>
      </c>
      <c r="H66" s="9">
        <v>0.0</v>
      </c>
      <c r="I66" s="9">
        <v>0.0</v>
      </c>
      <c r="J66" s="17">
        <v>1211.0</v>
      </c>
      <c r="K66" s="18">
        <v>126.917</v>
      </c>
      <c r="L66" s="17">
        <v>552.0</v>
      </c>
      <c r="M66" s="18">
        <v>552.0</v>
      </c>
      <c r="N66" s="18">
        <v>0.0</v>
      </c>
      <c r="O66" s="18">
        <v>101.511</v>
      </c>
    </row>
    <row r="67">
      <c r="A67" s="8" t="s">
        <v>253</v>
      </c>
      <c r="B67" s="9">
        <v>25.0</v>
      </c>
      <c r="C67" s="14" t="s">
        <v>234</v>
      </c>
      <c r="D67" s="9">
        <v>50.0</v>
      </c>
      <c r="E67" s="10">
        <v>0.6</v>
      </c>
      <c r="F67" s="9">
        <v>5.0</v>
      </c>
      <c r="G67" s="9">
        <v>1.0</v>
      </c>
      <c r="H67" s="9">
        <v>0.0</v>
      </c>
      <c r="I67" s="9">
        <v>0.0</v>
      </c>
      <c r="J67" s="17">
        <v>1155.0</v>
      </c>
      <c r="K67" s="18">
        <v>209.8</v>
      </c>
      <c r="L67" s="17">
        <v>553.0</v>
      </c>
      <c r="M67" s="18">
        <v>553.0</v>
      </c>
      <c r="N67" s="18">
        <v>0.0</v>
      </c>
      <c r="O67" s="18">
        <v>538.839</v>
      </c>
    </row>
    <row r="68">
      <c r="A68" s="8" t="s">
        <v>254</v>
      </c>
      <c r="B68" s="9">
        <v>25.0</v>
      </c>
      <c r="C68" s="14" t="s">
        <v>234</v>
      </c>
      <c r="D68" s="9">
        <v>50.0</v>
      </c>
      <c r="E68" s="10">
        <v>1.0</v>
      </c>
      <c r="F68" s="9">
        <v>1.0</v>
      </c>
      <c r="G68" s="9">
        <v>0.0</v>
      </c>
      <c r="H68" s="9">
        <v>1.0</v>
      </c>
      <c r="I68" s="9">
        <v>0.0</v>
      </c>
      <c r="J68" s="17">
        <v>3799.0</v>
      </c>
      <c r="K68" s="18">
        <v>653.5</v>
      </c>
      <c r="L68" s="17">
        <v>2869.0</v>
      </c>
      <c r="M68" s="18">
        <v>1876.67</v>
      </c>
      <c r="N68" s="18">
        <v>34.5881</v>
      </c>
      <c r="O68" s="18">
        <v>3600.0</v>
      </c>
    </row>
    <row r="69">
      <c r="A69" s="8" t="s">
        <v>255</v>
      </c>
      <c r="B69" s="9">
        <v>25.0</v>
      </c>
      <c r="C69" s="14" t="s">
        <v>234</v>
      </c>
      <c r="D69" s="9">
        <v>50.0</v>
      </c>
      <c r="E69" s="10">
        <v>1.0</v>
      </c>
      <c r="F69" s="9">
        <v>2.0</v>
      </c>
      <c r="G69" s="9">
        <v>0.0</v>
      </c>
      <c r="H69" s="9">
        <v>1.0</v>
      </c>
      <c r="I69" s="9">
        <v>0.0</v>
      </c>
      <c r="J69" s="17">
        <v>5256.0</v>
      </c>
      <c r="K69" s="18">
        <v>601.333</v>
      </c>
      <c r="L69" s="17">
        <v>3266.0</v>
      </c>
      <c r="M69" s="18">
        <v>2361.87</v>
      </c>
      <c r="N69" s="18">
        <v>27.6829</v>
      </c>
      <c r="O69" s="18">
        <v>3600.0</v>
      </c>
    </row>
    <row r="70">
      <c r="A70" s="8" t="s">
        <v>256</v>
      </c>
      <c r="B70" s="9">
        <v>25.0</v>
      </c>
      <c r="C70" s="14" t="s">
        <v>234</v>
      </c>
      <c r="D70" s="9">
        <v>50.0</v>
      </c>
      <c r="E70" s="10">
        <v>1.0</v>
      </c>
      <c r="F70" s="9">
        <v>3.0</v>
      </c>
      <c r="G70" s="9">
        <v>0.0</v>
      </c>
      <c r="H70" s="9">
        <v>1.0</v>
      </c>
      <c r="I70" s="9">
        <v>0.0</v>
      </c>
      <c r="J70" s="17">
        <v>3388.0</v>
      </c>
      <c r="K70" s="18">
        <v>515.75</v>
      </c>
      <c r="L70" s="17">
        <v>2798.0</v>
      </c>
      <c r="M70" s="18">
        <v>1960.0</v>
      </c>
      <c r="N70" s="18">
        <v>29.95</v>
      </c>
      <c r="O70" s="18">
        <v>3600.0</v>
      </c>
    </row>
    <row r="71">
      <c r="A71" s="8" t="s">
        <v>257</v>
      </c>
      <c r="B71" s="9">
        <v>25.0</v>
      </c>
      <c r="C71" s="14" t="s">
        <v>234</v>
      </c>
      <c r="D71" s="9">
        <v>50.0</v>
      </c>
      <c r="E71" s="10">
        <v>1.0</v>
      </c>
      <c r="F71" s="9">
        <v>4.0</v>
      </c>
      <c r="G71" s="9">
        <v>0.0</v>
      </c>
      <c r="H71" s="9">
        <v>1.0</v>
      </c>
      <c r="I71" s="9">
        <v>0.0</v>
      </c>
      <c r="J71" s="17">
        <v>4354.0</v>
      </c>
      <c r="K71" s="18">
        <v>482.917</v>
      </c>
      <c r="L71" s="17">
        <v>2784.0</v>
      </c>
      <c r="M71" s="18">
        <v>2125.03</v>
      </c>
      <c r="N71" s="18">
        <v>23.6698</v>
      </c>
      <c r="O71" s="18">
        <v>3600.0</v>
      </c>
    </row>
    <row r="72">
      <c r="A72" s="8" t="s">
        <v>258</v>
      </c>
      <c r="B72" s="9">
        <v>25.0</v>
      </c>
      <c r="C72" s="14" t="s">
        <v>234</v>
      </c>
      <c r="D72" s="9">
        <v>50.0</v>
      </c>
      <c r="E72" s="10">
        <v>1.0</v>
      </c>
      <c r="F72" s="9">
        <v>5.0</v>
      </c>
      <c r="G72" s="9">
        <v>0.0</v>
      </c>
      <c r="H72" s="9">
        <v>1.0</v>
      </c>
      <c r="I72" s="9">
        <v>0.0</v>
      </c>
      <c r="J72" s="17">
        <v>3942.0</v>
      </c>
      <c r="K72" s="18">
        <v>560.833</v>
      </c>
      <c r="L72" s="17">
        <v>2694.0</v>
      </c>
      <c r="M72" s="18">
        <v>1922.0</v>
      </c>
      <c r="N72" s="18">
        <v>28.6563</v>
      </c>
      <c r="O72" s="18">
        <v>3600.0</v>
      </c>
    </row>
    <row r="73">
      <c r="A73" s="8" t="s">
        <v>259</v>
      </c>
      <c r="B73" s="9">
        <v>25.0</v>
      </c>
      <c r="C73" s="14" t="s">
        <v>234</v>
      </c>
      <c r="D73" s="9">
        <v>50.0</v>
      </c>
      <c r="E73" s="10">
        <v>2.0</v>
      </c>
      <c r="F73" s="9">
        <v>1.0</v>
      </c>
      <c r="G73" s="9">
        <v>0.0</v>
      </c>
      <c r="H73" s="9">
        <v>1.0</v>
      </c>
      <c r="I73" s="9">
        <v>0.0</v>
      </c>
      <c r="J73" s="17">
        <v>39282.0</v>
      </c>
      <c r="K73" s="18">
        <v>9163.22</v>
      </c>
      <c r="L73" s="17">
        <v>35948.0</v>
      </c>
      <c r="M73" s="18">
        <v>23016.7</v>
      </c>
      <c r="N73" s="18">
        <v>35.9723</v>
      </c>
      <c r="O73" s="18">
        <v>3600.0</v>
      </c>
    </row>
    <row r="74">
      <c r="A74" s="8" t="s">
        <v>260</v>
      </c>
      <c r="B74" s="9">
        <v>25.0</v>
      </c>
      <c r="C74" s="14" t="s">
        <v>234</v>
      </c>
      <c r="D74" s="9">
        <v>50.0</v>
      </c>
      <c r="E74" s="10">
        <v>2.0</v>
      </c>
      <c r="F74" s="9">
        <v>2.0</v>
      </c>
      <c r="G74" s="9">
        <v>1.0</v>
      </c>
      <c r="H74" s="9">
        <v>0.0</v>
      </c>
      <c r="I74" s="9">
        <v>0.0</v>
      </c>
      <c r="J74" s="17">
        <v>41649.0</v>
      </c>
      <c r="K74" s="18">
        <v>12940.8</v>
      </c>
      <c r="L74" s="17">
        <v>37779.0</v>
      </c>
      <c r="M74" s="18">
        <v>37779.0</v>
      </c>
      <c r="N74" s="18">
        <v>0.0</v>
      </c>
      <c r="O74" s="18">
        <v>219.863</v>
      </c>
    </row>
    <row r="75">
      <c r="A75" s="8" t="s">
        <v>261</v>
      </c>
      <c r="B75" s="9">
        <v>25.0</v>
      </c>
      <c r="C75" s="14" t="s">
        <v>234</v>
      </c>
      <c r="D75" s="9">
        <v>50.0</v>
      </c>
      <c r="E75" s="10">
        <v>2.0</v>
      </c>
      <c r="F75" s="9">
        <v>3.0</v>
      </c>
      <c r="G75" s="9">
        <v>1.0</v>
      </c>
      <c r="H75" s="9">
        <v>0.0</v>
      </c>
      <c r="I75" s="9">
        <v>0.0</v>
      </c>
      <c r="J75" s="17">
        <v>35159.0</v>
      </c>
      <c r="K75" s="18">
        <v>11437.4</v>
      </c>
      <c r="L75" s="17">
        <v>34848.0</v>
      </c>
      <c r="M75" s="18">
        <v>34848.0</v>
      </c>
      <c r="N75" s="18">
        <v>0.0</v>
      </c>
      <c r="O75" s="18">
        <v>2901.94</v>
      </c>
    </row>
    <row r="76">
      <c r="A76" s="8" t="s">
        <v>262</v>
      </c>
      <c r="B76" s="9">
        <v>25.0</v>
      </c>
      <c r="C76" s="14" t="s">
        <v>234</v>
      </c>
      <c r="D76" s="9">
        <v>50.0</v>
      </c>
      <c r="E76" s="10">
        <v>2.0</v>
      </c>
      <c r="F76" s="9">
        <v>4.0</v>
      </c>
      <c r="G76" s="9">
        <v>1.0</v>
      </c>
      <c r="H76" s="9">
        <v>0.0</v>
      </c>
      <c r="I76" s="9">
        <v>0.0</v>
      </c>
      <c r="J76" s="17">
        <v>38183.0</v>
      </c>
      <c r="K76" s="18">
        <v>25474.5</v>
      </c>
      <c r="L76" s="17">
        <v>31879.0</v>
      </c>
      <c r="M76" s="18">
        <v>31879.0</v>
      </c>
      <c r="N76" s="18">
        <v>0.0</v>
      </c>
      <c r="O76" s="18">
        <v>78.806</v>
      </c>
    </row>
    <row r="77">
      <c r="A77" s="8" t="s">
        <v>263</v>
      </c>
      <c r="B77" s="9">
        <v>25.0</v>
      </c>
      <c r="C77" s="14" t="s">
        <v>234</v>
      </c>
      <c r="D77" s="9">
        <v>50.0</v>
      </c>
      <c r="E77" s="10">
        <v>2.0</v>
      </c>
      <c r="F77" s="9">
        <v>5.0</v>
      </c>
      <c r="G77" s="9">
        <v>1.0</v>
      </c>
      <c r="H77" s="9">
        <v>0.0</v>
      </c>
      <c r="I77" s="9">
        <v>0.0</v>
      </c>
      <c r="J77" s="17">
        <v>37052.0</v>
      </c>
      <c r="K77" s="18">
        <v>15434.3</v>
      </c>
      <c r="L77" s="17">
        <v>33939.0</v>
      </c>
      <c r="M77" s="18">
        <v>33939.0</v>
      </c>
      <c r="N77" s="18">
        <v>0.0</v>
      </c>
      <c r="O77" s="18">
        <v>2859.71</v>
      </c>
    </row>
    <row r="78">
      <c r="A78" s="8" t="s">
        <v>264</v>
      </c>
      <c r="B78" s="9">
        <v>25.0</v>
      </c>
      <c r="C78" s="14" t="s">
        <v>234</v>
      </c>
      <c r="D78" s="9">
        <v>75.0</v>
      </c>
      <c r="E78" s="10">
        <v>0.6</v>
      </c>
      <c r="F78" s="9">
        <v>1.0</v>
      </c>
      <c r="G78" s="9">
        <v>0.0</v>
      </c>
      <c r="H78" s="9">
        <v>1.0</v>
      </c>
      <c r="I78" s="9">
        <v>0.0</v>
      </c>
      <c r="J78" s="17">
        <v>2145.0</v>
      </c>
      <c r="K78" s="18">
        <v>347.722</v>
      </c>
      <c r="L78" s="17">
        <v>1453.0</v>
      </c>
      <c r="M78" s="18">
        <v>1093.42</v>
      </c>
      <c r="N78" s="18">
        <v>24.7476</v>
      </c>
      <c r="O78" s="18">
        <v>3600.0</v>
      </c>
    </row>
    <row r="79">
      <c r="A79" s="8" t="s">
        <v>265</v>
      </c>
      <c r="B79" s="9">
        <v>25.0</v>
      </c>
      <c r="C79" s="14" t="s">
        <v>234</v>
      </c>
      <c r="D79" s="9">
        <v>75.0</v>
      </c>
      <c r="E79" s="10">
        <v>0.6</v>
      </c>
      <c r="F79" s="9">
        <v>2.0</v>
      </c>
      <c r="G79" s="9">
        <v>0.0</v>
      </c>
      <c r="H79" s="9">
        <v>1.0</v>
      </c>
      <c r="I79" s="9">
        <v>0.0</v>
      </c>
      <c r="J79" s="17">
        <v>2236.0</v>
      </c>
      <c r="K79" s="18">
        <v>366.75</v>
      </c>
      <c r="L79" s="17">
        <v>1230.0</v>
      </c>
      <c r="M79" s="18">
        <v>1083.17</v>
      </c>
      <c r="N79" s="18">
        <v>11.9377</v>
      </c>
      <c r="O79" s="18">
        <v>3600.0</v>
      </c>
    </row>
    <row r="80">
      <c r="A80" s="8" t="s">
        <v>266</v>
      </c>
      <c r="B80" s="9">
        <v>25.0</v>
      </c>
      <c r="C80" s="14" t="s">
        <v>234</v>
      </c>
      <c r="D80" s="9">
        <v>75.0</v>
      </c>
      <c r="E80" s="10">
        <v>0.6</v>
      </c>
      <c r="F80" s="9">
        <v>3.0</v>
      </c>
      <c r="G80" s="9">
        <v>0.0</v>
      </c>
      <c r="H80" s="9">
        <v>1.0</v>
      </c>
      <c r="I80" s="9">
        <v>0.0</v>
      </c>
      <c r="J80" s="17">
        <v>2053.0</v>
      </c>
      <c r="K80" s="18">
        <v>318.75</v>
      </c>
      <c r="L80" s="17">
        <v>1334.0</v>
      </c>
      <c r="M80" s="18">
        <v>1074.9</v>
      </c>
      <c r="N80" s="18">
        <v>19.4228</v>
      </c>
      <c r="O80" s="18">
        <v>3600.0</v>
      </c>
    </row>
    <row r="81">
      <c r="A81" s="8" t="s">
        <v>267</v>
      </c>
      <c r="B81" s="9">
        <v>25.0</v>
      </c>
      <c r="C81" s="14" t="s">
        <v>234</v>
      </c>
      <c r="D81" s="9">
        <v>75.0</v>
      </c>
      <c r="E81" s="10">
        <v>0.6</v>
      </c>
      <c r="F81" s="9">
        <v>4.0</v>
      </c>
      <c r="G81" s="9">
        <v>0.0</v>
      </c>
      <c r="H81" s="9">
        <v>1.0</v>
      </c>
      <c r="I81" s="9">
        <v>0.0</v>
      </c>
      <c r="J81" s="17">
        <v>2041.0</v>
      </c>
      <c r="K81" s="18">
        <v>310.75</v>
      </c>
      <c r="L81" s="17">
        <v>1271.0</v>
      </c>
      <c r="M81" s="18">
        <v>1020.42</v>
      </c>
      <c r="N81" s="18">
        <v>19.7154</v>
      </c>
      <c r="O81" s="18">
        <v>3600.0</v>
      </c>
    </row>
    <row r="82">
      <c r="A82" s="8" t="s">
        <v>268</v>
      </c>
      <c r="B82" s="9">
        <v>25.0</v>
      </c>
      <c r="C82" s="14" t="s">
        <v>234</v>
      </c>
      <c r="D82" s="9">
        <v>75.0</v>
      </c>
      <c r="E82" s="10">
        <v>0.6</v>
      </c>
      <c r="F82" s="9">
        <v>5.0</v>
      </c>
      <c r="G82" s="9">
        <v>0.0</v>
      </c>
      <c r="H82" s="9">
        <v>1.0</v>
      </c>
      <c r="I82" s="9">
        <v>0.0</v>
      </c>
      <c r="J82" s="17">
        <v>2137.0</v>
      </c>
      <c r="K82" s="18">
        <v>382.812</v>
      </c>
      <c r="L82" s="17">
        <v>1315.0</v>
      </c>
      <c r="M82" s="18">
        <v>1110.0</v>
      </c>
      <c r="N82" s="18">
        <v>15.5894</v>
      </c>
      <c r="O82" s="18">
        <v>3600.0</v>
      </c>
    </row>
    <row r="83">
      <c r="A83" s="8" t="s">
        <v>269</v>
      </c>
      <c r="B83" s="9">
        <v>25.0</v>
      </c>
      <c r="C83" s="14" t="s">
        <v>234</v>
      </c>
      <c r="D83" s="9">
        <v>75.0</v>
      </c>
      <c r="E83" s="10">
        <v>1.0</v>
      </c>
      <c r="F83" s="9">
        <v>1.0</v>
      </c>
      <c r="G83" s="9">
        <v>0.0</v>
      </c>
      <c r="H83" s="9">
        <v>1.0</v>
      </c>
      <c r="I83" s="9">
        <v>0.0</v>
      </c>
      <c r="J83" s="17">
        <v>7458.0</v>
      </c>
      <c r="K83" s="18">
        <v>940.722</v>
      </c>
      <c r="L83" s="17">
        <v>5074.0</v>
      </c>
      <c r="M83" s="18">
        <v>3345.36</v>
      </c>
      <c r="N83" s="18">
        <v>34.0687</v>
      </c>
      <c r="O83" s="18">
        <v>3600.0</v>
      </c>
    </row>
    <row r="84">
      <c r="A84" s="8" t="s">
        <v>270</v>
      </c>
      <c r="B84" s="9">
        <v>25.0</v>
      </c>
      <c r="C84" s="14" t="s">
        <v>234</v>
      </c>
      <c r="D84" s="9">
        <v>75.0</v>
      </c>
      <c r="E84" s="10">
        <v>1.0</v>
      </c>
      <c r="F84" s="9">
        <v>2.0</v>
      </c>
      <c r="G84" s="9">
        <v>0.0</v>
      </c>
      <c r="H84" s="9">
        <v>1.0</v>
      </c>
      <c r="I84" s="9">
        <v>0.0</v>
      </c>
      <c r="J84" s="17">
        <v>5656.0</v>
      </c>
      <c r="K84" s="18">
        <v>935.75</v>
      </c>
      <c r="L84" s="17">
        <v>4645.0</v>
      </c>
      <c r="M84" s="18">
        <v>3188.63</v>
      </c>
      <c r="N84" s="18">
        <v>31.3535</v>
      </c>
      <c r="O84" s="18">
        <v>3600.0</v>
      </c>
    </row>
    <row r="85">
      <c r="A85" s="8" t="s">
        <v>271</v>
      </c>
      <c r="B85" s="9">
        <v>25.0</v>
      </c>
      <c r="C85" s="14" t="s">
        <v>234</v>
      </c>
      <c r="D85" s="9">
        <v>75.0</v>
      </c>
      <c r="E85" s="10">
        <v>1.0</v>
      </c>
      <c r="F85" s="9">
        <v>3.0</v>
      </c>
      <c r="G85" s="9">
        <v>0.0</v>
      </c>
      <c r="H85" s="9">
        <v>1.0</v>
      </c>
      <c r="I85" s="9">
        <v>0.0</v>
      </c>
      <c r="J85" s="17">
        <v>6560.0</v>
      </c>
      <c r="K85" s="18">
        <v>885.75</v>
      </c>
      <c r="L85" s="17">
        <v>4740.0</v>
      </c>
      <c r="M85" s="18">
        <v>3356.73</v>
      </c>
      <c r="N85" s="18">
        <v>29.1828</v>
      </c>
      <c r="O85" s="18">
        <v>3600.0</v>
      </c>
    </row>
    <row r="86">
      <c r="A86" s="8" t="s">
        <v>272</v>
      </c>
      <c r="B86" s="9">
        <v>25.0</v>
      </c>
      <c r="C86" s="14" t="s">
        <v>234</v>
      </c>
      <c r="D86" s="9">
        <v>75.0</v>
      </c>
      <c r="E86" s="10">
        <v>1.0</v>
      </c>
      <c r="F86" s="9">
        <v>4.0</v>
      </c>
      <c r="G86" s="9">
        <v>0.0</v>
      </c>
      <c r="H86" s="9">
        <v>1.0</v>
      </c>
      <c r="I86" s="9">
        <v>0.0</v>
      </c>
      <c r="J86" s="17">
        <v>7899.0</v>
      </c>
      <c r="K86" s="18">
        <v>890.75</v>
      </c>
      <c r="L86" s="17">
        <v>5029.0</v>
      </c>
      <c r="M86" s="18">
        <v>2920.6</v>
      </c>
      <c r="N86" s="18">
        <v>41.9248</v>
      </c>
      <c r="O86" s="18">
        <v>3600.0</v>
      </c>
    </row>
    <row r="87">
      <c r="A87" s="8" t="s">
        <v>273</v>
      </c>
      <c r="B87" s="9">
        <v>25.0</v>
      </c>
      <c r="C87" s="14" t="s">
        <v>234</v>
      </c>
      <c r="D87" s="9">
        <v>75.0</v>
      </c>
      <c r="E87" s="10">
        <v>1.0</v>
      </c>
      <c r="F87" s="9">
        <v>5.0</v>
      </c>
      <c r="G87" s="9">
        <v>0.0</v>
      </c>
      <c r="H87" s="9">
        <v>1.0</v>
      </c>
      <c r="I87" s="9">
        <v>0.0</v>
      </c>
      <c r="J87" s="17">
        <v>6270.0</v>
      </c>
      <c r="K87" s="18">
        <v>954.812</v>
      </c>
      <c r="L87" s="17">
        <v>4798.0</v>
      </c>
      <c r="M87" s="18">
        <v>3473.58</v>
      </c>
      <c r="N87" s="18">
        <v>27.6035</v>
      </c>
      <c r="O87" s="18">
        <v>3600.0</v>
      </c>
    </row>
    <row r="88">
      <c r="A88" s="8" t="s">
        <v>274</v>
      </c>
      <c r="B88" s="9">
        <v>25.0</v>
      </c>
      <c r="C88" s="14" t="s">
        <v>234</v>
      </c>
      <c r="D88" s="9">
        <v>75.0</v>
      </c>
      <c r="E88" s="10">
        <v>2.0</v>
      </c>
      <c r="F88" s="9">
        <v>1.0</v>
      </c>
      <c r="G88" s="9">
        <v>0.0</v>
      </c>
      <c r="H88" s="9">
        <v>1.0</v>
      </c>
      <c r="I88" s="9">
        <v>0.0</v>
      </c>
      <c r="J88" s="17">
        <v>64037.0</v>
      </c>
      <c r="K88" s="18">
        <v>12866.8</v>
      </c>
      <c r="L88" s="17">
        <v>58230.0</v>
      </c>
      <c r="M88" s="18">
        <v>42579.2</v>
      </c>
      <c r="N88" s="18">
        <v>26.8776</v>
      </c>
      <c r="O88" s="18">
        <v>3600.0</v>
      </c>
    </row>
    <row r="89">
      <c r="A89" s="8" t="s">
        <v>275</v>
      </c>
      <c r="B89" s="9">
        <v>25.0</v>
      </c>
      <c r="C89" s="14" t="s">
        <v>234</v>
      </c>
      <c r="D89" s="9">
        <v>75.0</v>
      </c>
      <c r="E89" s="10">
        <v>2.0</v>
      </c>
      <c r="F89" s="9">
        <v>2.0</v>
      </c>
      <c r="G89" s="9">
        <v>1.0</v>
      </c>
      <c r="H89" s="9">
        <v>0.0</v>
      </c>
      <c r="I89" s="9">
        <v>0.0</v>
      </c>
      <c r="J89" s="17">
        <v>61215.0</v>
      </c>
      <c r="K89" s="18">
        <v>20618.7</v>
      </c>
      <c r="L89" s="17">
        <v>55912.0</v>
      </c>
      <c r="M89" s="18">
        <v>55912.0</v>
      </c>
      <c r="N89" s="18">
        <v>0.0</v>
      </c>
      <c r="O89" s="18">
        <v>2675.21</v>
      </c>
    </row>
    <row r="90">
      <c r="A90" s="8" t="s">
        <v>276</v>
      </c>
      <c r="B90" s="9">
        <v>25.0</v>
      </c>
      <c r="C90" s="14" t="s">
        <v>234</v>
      </c>
      <c r="D90" s="9">
        <v>75.0</v>
      </c>
      <c r="E90" s="10">
        <v>2.0</v>
      </c>
      <c r="F90" s="9">
        <v>3.0</v>
      </c>
      <c r="G90" s="9">
        <v>1.0</v>
      </c>
      <c r="H90" s="9">
        <v>0.0</v>
      </c>
      <c r="I90" s="9">
        <v>0.0</v>
      </c>
      <c r="J90" s="17">
        <v>56020.0</v>
      </c>
      <c r="K90" s="18">
        <v>24260.2</v>
      </c>
      <c r="L90" s="17">
        <v>50997.0</v>
      </c>
      <c r="M90" s="18">
        <v>50997.0</v>
      </c>
      <c r="N90" s="18">
        <v>0.0</v>
      </c>
      <c r="O90" s="18">
        <v>1441.21</v>
      </c>
    </row>
    <row r="91">
      <c r="A91" s="8" t="s">
        <v>277</v>
      </c>
      <c r="B91" s="9">
        <v>25.0</v>
      </c>
      <c r="C91" s="14" t="s">
        <v>234</v>
      </c>
      <c r="D91" s="9">
        <v>75.0</v>
      </c>
      <c r="E91" s="10">
        <v>2.0</v>
      </c>
      <c r="F91" s="9">
        <v>4.0</v>
      </c>
      <c r="G91" s="9">
        <v>0.0</v>
      </c>
      <c r="H91" s="9">
        <v>1.0</v>
      </c>
      <c r="I91" s="9">
        <v>0.0</v>
      </c>
      <c r="J91" s="17">
        <v>62213.0</v>
      </c>
      <c r="K91" s="18">
        <v>13187.3</v>
      </c>
      <c r="L91" s="17">
        <v>56934.0</v>
      </c>
      <c r="M91" s="18">
        <v>36488.8</v>
      </c>
      <c r="N91" s="18">
        <v>35.9104</v>
      </c>
      <c r="O91" s="18">
        <v>3600.0</v>
      </c>
    </row>
    <row r="92">
      <c r="A92" s="8" t="s">
        <v>278</v>
      </c>
      <c r="B92" s="9">
        <v>25.0</v>
      </c>
      <c r="C92" s="14" t="s">
        <v>234</v>
      </c>
      <c r="D92" s="9">
        <v>75.0</v>
      </c>
      <c r="E92" s="10">
        <v>2.0</v>
      </c>
      <c r="F92" s="9">
        <v>5.0</v>
      </c>
      <c r="G92" s="9">
        <v>1.0</v>
      </c>
      <c r="H92" s="9">
        <v>0.0</v>
      </c>
      <c r="I92" s="9">
        <v>0.0</v>
      </c>
      <c r="J92" s="17">
        <v>61501.0</v>
      </c>
      <c r="K92" s="18">
        <v>24913.4</v>
      </c>
      <c r="L92" s="17">
        <v>51591.0</v>
      </c>
      <c r="M92" s="18">
        <v>51591.0</v>
      </c>
      <c r="N92" s="18">
        <v>0.0</v>
      </c>
      <c r="O92" s="18">
        <v>1691.85</v>
      </c>
    </row>
    <row r="93">
      <c r="A93" s="8" t="s">
        <v>459</v>
      </c>
      <c r="B93" s="9">
        <v>25.0</v>
      </c>
      <c r="C93" s="9" t="s">
        <v>460</v>
      </c>
      <c r="D93" s="9">
        <v>25.0</v>
      </c>
      <c r="E93" s="10">
        <v>0.6</v>
      </c>
      <c r="F93" s="9">
        <v>1.0</v>
      </c>
      <c r="G93" s="9">
        <v>1.0</v>
      </c>
      <c r="H93" s="9">
        <v>0.0</v>
      </c>
      <c r="I93" s="9">
        <v>0.0</v>
      </c>
      <c r="J93" s="17">
        <v>-1943.0</v>
      </c>
      <c r="K93" s="18">
        <v>-2750.57</v>
      </c>
      <c r="L93" s="17">
        <v>-2193.0</v>
      </c>
      <c r="M93" s="18">
        <v>-2193.0</v>
      </c>
      <c r="N93" s="18">
        <v>0.0</v>
      </c>
      <c r="O93" s="18">
        <v>109.683</v>
      </c>
    </row>
    <row r="94">
      <c r="A94" s="8" t="s">
        <v>461</v>
      </c>
      <c r="B94" s="9">
        <v>25.0</v>
      </c>
      <c r="C94" s="9" t="s">
        <v>460</v>
      </c>
      <c r="D94" s="9">
        <v>25.0</v>
      </c>
      <c r="E94" s="10">
        <v>0.6</v>
      </c>
      <c r="F94" s="9">
        <v>2.0</v>
      </c>
      <c r="G94" s="9">
        <v>1.0</v>
      </c>
      <c r="H94" s="9">
        <v>0.0</v>
      </c>
      <c r="I94" s="9">
        <v>0.0</v>
      </c>
      <c r="J94" s="17">
        <v>-2082.0</v>
      </c>
      <c r="K94" s="18">
        <v>-2404.69</v>
      </c>
      <c r="L94" s="17">
        <v>-2087.0</v>
      </c>
      <c r="M94" s="18">
        <v>-2087.0</v>
      </c>
      <c r="N94" s="18">
        <v>0.0</v>
      </c>
      <c r="O94" s="18">
        <v>46.452</v>
      </c>
    </row>
    <row r="95">
      <c r="A95" s="8" t="s">
        <v>462</v>
      </c>
      <c r="B95" s="9">
        <v>25.0</v>
      </c>
      <c r="C95" s="9" t="s">
        <v>460</v>
      </c>
      <c r="D95" s="9">
        <v>25.0</v>
      </c>
      <c r="E95" s="10">
        <v>0.6</v>
      </c>
      <c r="F95" s="9">
        <v>3.0</v>
      </c>
      <c r="G95" s="9">
        <v>1.0</v>
      </c>
      <c r="H95" s="9">
        <v>0.0</v>
      </c>
      <c r="I95" s="9">
        <v>0.0</v>
      </c>
      <c r="J95" s="17">
        <v>-1918.0</v>
      </c>
      <c r="K95" s="18">
        <v>-2385.92</v>
      </c>
      <c r="L95" s="17">
        <v>-2022.0</v>
      </c>
      <c r="M95" s="18">
        <v>-2022.0</v>
      </c>
      <c r="N95" s="18">
        <v>0.0</v>
      </c>
      <c r="O95" s="18">
        <v>86.204</v>
      </c>
    </row>
    <row r="96">
      <c r="A96" s="8" t="s">
        <v>463</v>
      </c>
      <c r="B96" s="9">
        <v>25.0</v>
      </c>
      <c r="C96" s="9" t="s">
        <v>460</v>
      </c>
      <c r="D96" s="9">
        <v>25.0</v>
      </c>
      <c r="E96" s="10">
        <v>0.6</v>
      </c>
      <c r="F96" s="9">
        <v>4.0</v>
      </c>
      <c r="G96" s="9">
        <v>1.0</v>
      </c>
      <c r="H96" s="9">
        <v>0.0</v>
      </c>
      <c r="I96" s="9">
        <v>0.0</v>
      </c>
      <c r="J96" s="17">
        <v>-1603.0</v>
      </c>
      <c r="K96" s="18">
        <v>-2574.19</v>
      </c>
      <c r="L96" s="17">
        <v>-2079.0</v>
      </c>
      <c r="M96" s="18">
        <v>-2079.0</v>
      </c>
      <c r="N96" s="18">
        <v>0.0</v>
      </c>
      <c r="O96" s="18">
        <v>193.7</v>
      </c>
    </row>
    <row r="97">
      <c r="A97" s="8" t="s">
        <v>464</v>
      </c>
      <c r="B97" s="9">
        <v>25.0</v>
      </c>
      <c r="C97" s="9" t="s">
        <v>460</v>
      </c>
      <c r="D97" s="9">
        <v>25.0</v>
      </c>
      <c r="E97" s="10">
        <v>0.6</v>
      </c>
      <c r="F97" s="9">
        <v>5.0</v>
      </c>
      <c r="G97" s="9">
        <v>1.0</v>
      </c>
      <c r="H97" s="9">
        <v>0.0</v>
      </c>
      <c r="I97" s="9">
        <v>0.0</v>
      </c>
      <c r="J97" s="17">
        <v>-1968.0</v>
      </c>
      <c r="K97" s="18">
        <v>-2928.89</v>
      </c>
      <c r="L97" s="17">
        <v>-2427.0</v>
      </c>
      <c r="M97" s="18">
        <v>-2427.0</v>
      </c>
      <c r="N97" s="18">
        <v>0.0</v>
      </c>
      <c r="O97" s="18">
        <v>123.19</v>
      </c>
    </row>
    <row r="98">
      <c r="A98" s="8" t="s">
        <v>465</v>
      </c>
      <c r="B98" s="9">
        <v>25.0</v>
      </c>
      <c r="C98" s="9" t="s">
        <v>460</v>
      </c>
      <c r="D98" s="9">
        <v>25.0</v>
      </c>
      <c r="E98" s="10">
        <v>1.0</v>
      </c>
      <c r="F98" s="9">
        <v>1.0</v>
      </c>
      <c r="G98" s="9">
        <v>0.0</v>
      </c>
      <c r="H98" s="9">
        <v>1.0</v>
      </c>
      <c r="I98" s="9">
        <v>0.0</v>
      </c>
      <c r="J98" s="17">
        <v>356.0</v>
      </c>
      <c r="K98" s="18">
        <v>-2064.66</v>
      </c>
      <c r="L98" s="17">
        <v>-247.0</v>
      </c>
      <c r="M98" s="18">
        <v>-1035.83</v>
      </c>
      <c r="N98" s="18">
        <v>319.363</v>
      </c>
      <c r="O98" s="18">
        <v>3600.0</v>
      </c>
    </row>
    <row r="99">
      <c r="A99" s="8" t="s">
        <v>466</v>
      </c>
      <c r="B99" s="9">
        <v>25.0</v>
      </c>
      <c r="C99" s="9" t="s">
        <v>460</v>
      </c>
      <c r="D99" s="9">
        <v>25.0</v>
      </c>
      <c r="E99" s="10">
        <v>1.0</v>
      </c>
      <c r="F99" s="9">
        <v>2.0</v>
      </c>
      <c r="G99" s="9">
        <v>0.0</v>
      </c>
      <c r="H99" s="9">
        <v>1.0</v>
      </c>
      <c r="I99" s="9">
        <v>0.0</v>
      </c>
      <c r="J99" s="17">
        <v>14.0</v>
      </c>
      <c r="K99" s="18">
        <v>-1776.81</v>
      </c>
      <c r="L99" s="17">
        <v>-532.0</v>
      </c>
      <c r="M99" s="18">
        <v>-764.493</v>
      </c>
      <c r="N99" s="18">
        <v>43.7016</v>
      </c>
      <c r="O99" s="18">
        <v>3600.0</v>
      </c>
    </row>
    <row r="100">
      <c r="A100" s="8" t="s">
        <v>467</v>
      </c>
      <c r="B100" s="9">
        <v>25.0</v>
      </c>
      <c r="C100" s="9" t="s">
        <v>460</v>
      </c>
      <c r="D100" s="9">
        <v>25.0</v>
      </c>
      <c r="E100" s="10">
        <v>1.0</v>
      </c>
      <c r="F100" s="9">
        <v>3.0</v>
      </c>
      <c r="G100" s="9">
        <v>0.0</v>
      </c>
      <c r="H100" s="9">
        <v>1.0</v>
      </c>
      <c r="I100" s="9">
        <v>0.0</v>
      </c>
      <c r="J100" s="17">
        <v>117.0</v>
      </c>
      <c r="K100" s="18">
        <v>-1794.55</v>
      </c>
      <c r="L100" s="17">
        <v>-507.0</v>
      </c>
      <c r="M100" s="18">
        <v>-825.023</v>
      </c>
      <c r="N100" s="18">
        <v>62.7264</v>
      </c>
      <c r="O100" s="18">
        <v>3600.0</v>
      </c>
    </row>
    <row r="101">
      <c r="A101" s="8" t="s">
        <v>468</v>
      </c>
      <c r="B101" s="9">
        <v>25.0</v>
      </c>
      <c r="C101" s="9" t="s">
        <v>460</v>
      </c>
      <c r="D101" s="9">
        <v>25.0</v>
      </c>
      <c r="E101" s="10">
        <v>1.0</v>
      </c>
      <c r="F101" s="9">
        <v>4.0</v>
      </c>
      <c r="G101" s="9">
        <v>0.0</v>
      </c>
      <c r="H101" s="9">
        <v>1.0</v>
      </c>
      <c r="I101" s="9">
        <v>0.0</v>
      </c>
      <c r="J101" s="17">
        <v>317.0</v>
      </c>
      <c r="K101" s="18">
        <v>-1882.41</v>
      </c>
      <c r="L101" s="17">
        <v>-375.0</v>
      </c>
      <c r="M101" s="18">
        <v>-989.828</v>
      </c>
      <c r="N101" s="18">
        <v>163.954</v>
      </c>
      <c r="O101" s="18">
        <v>3600.0</v>
      </c>
    </row>
    <row r="102">
      <c r="A102" s="8" t="s">
        <v>469</v>
      </c>
      <c r="B102" s="9">
        <v>25.0</v>
      </c>
      <c r="C102" s="9" t="s">
        <v>460</v>
      </c>
      <c r="D102" s="9">
        <v>25.0</v>
      </c>
      <c r="E102" s="10">
        <v>1.0</v>
      </c>
      <c r="F102" s="9">
        <v>5.0</v>
      </c>
      <c r="G102" s="9">
        <v>0.0</v>
      </c>
      <c r="H102" s="9">
        <v>1.0</v>
      </c>
      <c r="I102" s="9">
        <v>0.0</v>
      </c>
      <c r="J102" s="17">
        <v>475.0</v>
      </c>
      <c r="K102" s="18">
        <v>-2117.88</v>
      </c>
      <c r="L102" s="17">
        <v>-350.0</v>
      </c>
      <c r="M102" s="18">
        <v>-1038.37</v>
      </c>
      <c r="N102" s="18">
        <v>196.677</v>
      </c>
      <c r="O102" s="18">
        <v>3600.0</v>
      </c>
    </row>
    <row r="103">
      <c r="A103" s="8" t="s">
        <v>470</v>
      </c>
      <c r="B103" s="9">
        <v>25.0</v>
      </c>
      <c r="C103" s="9" t="s">
        <v>460</v>
      </c>
      <c r="D103" s="9">
        <v>25.0</v>
      </c>
      <c r="E103" s="10">
        <v>2.0</v>
      </c>
      <c r="F103" s="9">
        <v>1.0</v>
      </c>
      <c r="G103" s="9">
        <v>0.0</v>
      </c>
      <c r="H103" s="9">
        <v>1.0</v>
      </c>
      <c r="I103" s="9">
        <v>0.0</v>
      </c>
      <c r="J103" s="17">
        <v>20987.0</v>
      </c>
      <c r="K103" s="18">
        <v>3852.2</v>
      </c>
      <c r="L103" s="17">
        <v>18775.0</v>
      </c>
      <c r="M103" s="18">
        <v>13858.4</v>
      </c>
      <c r="N103" s="18">
        <v>26.1871</v>
      </c>
      <c r="O103" s="18">
        <v>3600.0</v>
      </c>
    </row>
    <row r="104">
      <c r="A104" s="8" t="s">
        <v>471</v>
      </c>
      <c r="B104" s="9">
        <v>25.0</v>
      </c>
      <c r="C104" s="9" t="s">
        <v>460</v>
      </c>
      <c r="D104" s="9">
        <v>25.0</v>
      </c>
      <c r="E104" s="10">
        <v>2.0</v>
      </c>
      <c r="F104" s="9">
        <v>2.0</v>
      </c>
      <c r="G104" s="9">
        <v>1.0</v>
      </c>
      <c r="H104" s="9">
        <v>0.0</v>
      </c>
      <c r="I104" s="9">
        <v>0.0</v>
      </c>
      <c r="J104" s="17">
        <v>17510.0</v>
      </c>
      <c r="K104" s="18">
        <v>12254.7</v>
      </c>
      <c r="L104" s="17">
        <v>17134.0</v>
      </c>
      <c r="M104" s="18">
        <v>17134.0</v>
      </c>
      <c r="N104" s="18">
        <v>0.0</v>
      </c>
      <c r="O104" s="18">
        <v>22.872</v>
      </c>
    </row>
    <row r="105">
      <c r="A105" s="8" t="s">
        <v>472</v>
      </c>
      <c r="B105" s="9">
        <v>25.0</v>
      </c>
      <c r="C105" s="9" t="s">
        <v>460</v>
      </c>
      <c r="D105" s="9">
        <v>25.0</v>
      </c>
      <c r="E105" s="10">
        <v>2.0</v>
      </c>
      <c r="F105" s="9">
        <v>3.0</v>
      </c>
      <c r="G105" s="9">
        <v>1.0</v>
      </c>
      <c r="H105" s="9">
        <v>0.0</v>
      </c>
      <c r="I105" s="9">
        <v>0.0</v>
      </c>
      <c r="J105" s="17">
        <v>18048.0</v>
      </c>
      <c r="K105" s="18">
        <v>5872.07</v>
      </c>
      <c r="L105" s="17">
        <v>15104.0</v>
      </c>
      <c r="M105" s="18">
        <v>15104.0</v>
      </c>
      <c r="N105" s="18">
        <v>0.0</v>
      </c>
      <c r="O105" s="18">
        <v>741.037</v>
      </c>
    </row>
    <row r="106">
      <c r="A106" s="8" t="s">
        <v>473</v>
      </c>
      <c r="B106" s="9">
        <v>25.0</v>
      </c>
      <c r="C106" s="9" t="s">
        <v>460</v>
      </c>
      <c r="D106" s="9">
        <v>25.0</v>
      </c>
      <c r="E106" s="10">
        <v>2.0</v>
      </c>
      <c r="F106" s="9">
        <v>4.0</v>
      </c>
      <c r="G106" s="9">
        <v>1.0</v>
      </c>
      <c r="H106" s="9">
        <v>0.0</v>
      </c>
      <c r="I106" s="9">
        <v>0.0</v>
      </c>
      <c r="J106" s="17">
        <v>17979.0</v>
      </c>
      <c r="K106" s="18">
        <v>6684.07</v>
      </c>
      <c r="L106" s="17">
        <v>16247.0</v>
      </c>
      <c r="M106" s="18">
        <v>16247.0</v>
      </c>
      <c r="N106" s="18">
        <v>0.0</v>
      </c>
      <c r="O106" s="18">
        <v>556.405</v>
      </c>
    </row>
    <row r="107">
      <c r="A107" s="8" t="s">
        <v>474</v>
      </c>
      <c r="B107" s="9">
        <v>25.0</v>
      </c>
      <c r="C107" s="9" t="s">
        <v>460</v>
      </c>
      <c r="D107" s="9">
        <v>25.0</v>
      </c>
      <c r="E107" s="10">
        <v>2.0</v>
      </c>
      <c r="F107" s="9">
        <v>5.0</v>
      </c>
      <c r="G107" s="9">
        <v>0.0</v>
      </c>
      <c r="H107" s="9">
        <v>1.0</v>
      </c>
      <c r="I107" s="9">
        <v>0.0</v>
      </c>
      <c r="J107" s="17">
        <v>21165.0</v>
      </c>
      <c r="K107" s="18">
        <v>5159.55</v>
      </c>
      <c r="L107" s="17">
        <v>19127.0</v>
      </c>
      <c r="M107" s="18">
        <v>15353.3</v>
      </c>
      <c r="N107" s="18">
        <v>19.7296</v>
      </c>
      <c r="O107" s="18">
        <v>3600.0</v>
      </c>
    </row>
    <row r="108">
      <c r="A108" s="8" t="s">
        <v>475</v>
      </c>
      <c r="B108" s="9">
        <v>25.0</v>
      </c>
      <c r="C108" s="9" t="s">
        <v>460</v>
      </c>
      <c r="D108" s="9">
        <v>50.0</v>
      </c>
      <c r="E108" s="10">
        <v>0.6</v>
      </c>
      <c r="F108" s="9">
        <v>1.0</v>
      </c>
      <c r="G108" s="9">
        <v>1.0</v>
      </c>
      <c r="H108" s="9">
        <v>0.0</v>
      </c>
      <c r="I108" s="9">
        <v>0.0</v>
      </c>
      <c r="J108" s="17">
        <v>-2389.0</v>
      </c>
      <c r="K108" s="18">
        <v>-5056.21</v>
      </c>
      <c r="L108" s="17">
        <v>-3641.0</v>
      </c>
      <c r="M108" s="18">
        <v>-3641.0</v>
      </c>
      <c r="N108" s="18">
        <v>0.0</v>
      </c>
      <c r="O108" s="18">
        <v>3242.59</v>
      </c>
    </row>
    <row r="109">
      <c r="A109" s="8" t="s">
        <v>476</v>
      </c>
      <c r="B109" s="9">
        <v>25.0</v>
      </c>
      <c r="C109" s="9" t="s">
        <v>460</v>
      </c>
      <c r="D109" s="9">
        <v>50.0</v>
      </c>
      <c r="E109" s="10">
        <v>0.6</v>
      </c>
      <c r="F109" s="9">
        <v>2.0</v>
      </c>
      <c r="G109" s="9">
        <v>1.0</v>
      </c>
      <c r="H109" s="9">
        <v>0.0</v>
      </c>
      <c r="I109" s="9">
        <v>0.0</v>
      </c>
      <c r="J109" s="17">
        <v>-2780.0</v>
      </c>
      <c r="K109" s="18">
        <v>-4718.22</v>
      </c>
      <c r="L109" s="17">
        <v>-3462.0</v>
      </c>
      <c r="M109" s="18">
        <v>-3462.0</v>
      </c>
      <c r="N109" s="18">
        <v>0.0</v>
      </c>
      <c r="O109" s="18">
        <v>1728.6</v>
      </c>
    </row>
    <row r="110">
      <c r="A110" s="8" t="s">
        <v>477</v>
      </c>
      <c r="B110" s="9">
        <v>25.0</v>
      </c>
      <c r="C110" s="9" t="s">
        <v>460</v>
      </c>
      <c r="D110" s="9">
        <v>50.0</v>
      </c>
      <c r="E110" s="10">
        <v>0.6</v>
      </c>
      <c r="F110" s="9">
        <v>3.0</v>
      </c>
      <c r="G110" s="9">
        <v>1.0</v>
      </c>
      <c r="H110" s="9">
        <v>0.0</v>
      </c>
      <c r="I110" s="9">
        <v>0.0</v>
      </c>
      <c r="J110" s="17">
        <v>-2214.0</v>
      </c>
      <c r="K110" s="18">
        <v>-4324.4</v>
      </c>
      <c r="L110" s="17">
        <v>-3379.0</v>
      </c>
      <c r="M110" s="18">
        <v>-3379.0</v>
      </c>
      <c r="N110" s="18">
        <v>0.0</v>
      </c>
      <c r="O110" s="18">
        <v>1419.95</v>
      </c>
    </row>
    <row r="111">
      <c r="A111" s="8" t="s">
        <v>478</v>
      </c>
      <c r="B111" s="9">
        <v>25.0</v>
      </c>
      <c r="C111" s="9" t="s">
        <v>460</v>
      </c>
      <c r="D111" s="9">
        <v>50.0</v>
      </c>
      <c r="E111" s="10">
        <v>0.6</v>
      </c>
      <c r="F111" s="9">
        <v>4.0</v>
      </c>
      <c r="G111" s="9">
        <v>0.0</v>
      </c>
      <c r="H111" s="9">
        <v>1.0</v>
      </c>
      <c r="I111" s="9">
        <v>0.0</v>
      </c>
      <c r="J111" s="17">
        <v>-2180.0</v>
      </c>
      <c r="K111" s="18">
        <v>-4793.64</v>
      </c>
      <c r="L111" s="17">
        <v>-3528.0</v>
      </c>
      <c r="M111" s="18">
        <v>-3684.9</v>
      </c>
      <c r="N111" s="18">
        <v>4.44727</v>
      </c>
      <c r="O111" s="18">
        <v>3600.0</v>
      </c>
    </row>
    <row r="112">
      <c r="A112" s="8" t="s">
        <v>479</v>
      </c>
      <c r="B112" s="9">
        <v>25.0</v>
      </c>
      <c r="C112" s="9" t="s">
        <v>460</v>
      </c>
      <c r="D112" s="9">
        <v>50.0</v>
      </c>
      <c r="E112" s="10">
        <v>0.6</v>
      </c>
      <c r="F112" s="9">
        <v>5.0</v>
      </c>
      <c r="G112" s="9">
        <v>0.0</v>
      </c>
      <c r="H112" s="9">
        <v>1.0</v>
      </c>
      <c r="I112" s="9">
        <v>0.0</v>
      </c>
      <c r="J112" s="17">
        <v>-3167.0</v>
      </c>
      <c r="K112" s="18">
        <v>-5019.46</v>
      </c>
      <c r="L112" s="17">
        <v>-3548.0</v>
      </c>
      <c r="M112" s="18">
        <v>-3790.95</v>
      </c>
      <c r="N112" s="18">
        <v>6.84759</v>
      </c>
      <c r="O112" s="18">
        <v>3600.0</v>
      </c>
    </row>
    <row r="113">
      <c r="A113" s="8" t="s">
        <v>480</v>
      </c>
      <c r="B113" s="9">
        <v>25.0</v>
      </c>
      <c r="C113" s="9" t="s">
        <v>460</v>
      </c>
      <c r="D113" s="9">
        <v>50.0</v>
      </c>
      <c r="E113" s="10">
        <v>1.0</v>
      </c>
      <c r="F113" s="9">
        <v>1.0</v>
      </c>
      <c r="G113" s="9">
        <v>0.0</v>
      </c>
      <c r="H113" s="9">
        <v>1.0</v>
      </c>
      <c r="I113" s="9">
        <v>0.0</v>
      </c>
      <c r="J113" s="17">
        <v>1185.0</v>
      </c>
      <c r="K113" s="18">
        <v>-3380.55</v>
      </c>
      <c r="L113" s="17">
        <v>363.0</v>
      </c>
      <c r="M113" s="18">
        <v>-1622.74</v>
      </c>
      <c r="N113" s="18">
        <v>547.036</v>
      </c>
      <c r="O113" s="18">
        <v>3600.0</v>
      </c>
    </row>
    <row r="114">
      <c r="A114" s="8" t="s">
        <v>481</v>
      </c>
      <c r="B114" s="9">
        <v>25.0</v>
      </c>
      <c r="C114" s="9" t="s">
        <v>460</v>
      </c>
      <c r="D114" s="9">
        <v>50.0</v>
      </c>
      <c r="E114" s="10">
        <v>1.0</v>
      </c>
      <c r="F114" s="9">
        <v>2.0</v>
      </c>
      <c r="G114" s="9">
        <v>0.0</v>
      </c>
      <c r="H114" s="9">
        <v>1.0</v>
      </c>
      <c r="I114" s="9">
        <v>0.0</v>
      </c>
      <c r="J114" s="17">
        <v>1093.0</v>
      </c>
      <c r="K114" s="18">
        <v>-3112.2</v>
      </c>
      <c r="L114" s="17">
        <v>173.0</v>
      </c>
      <c r="M114" s="18">
        <v>-1472.76</v>
      </c>
      <c r="N114" s="18">
        <v>951.308</v>
      </c>
      <c r="O114" s="18">
        <v>3600.0</v>
      </c>
    </row>
    <row r="115">
      <c r="A115" s="8" t="s">
        <v>482</v>
      </c>
      <c r="B115" s="9">
        <v>25.0</v>
      </c>
      <c r="C115" s="9" t="s">
        <v>460</v>
      </c>
      <c r="D115" s="9">
        <v>50.0</v>
      </c>
      <c r="E115" s="10">
        <v>1.0</v>
      </c>
      <c r="F115" s="9">
        <v>3.0</v>
      </c>
      <c r="G115" s="9">
        <v>0.0</v>
      </c>
      <c r="H115" s="9">
        <v>1.0</v>
      </c>
      <c r="I115" s="9">
        <v>0.0</v>
      </c>
      <c r="J115" s="17">
        <v>1656.0</v>
      </c>
      <c r="K115" s="18">
        <v>-2977.62</v>
      </c>
      <c r="L115" s="17">
        <v>358.0</v>
      </c>
      <c r="M115" s="18">
        <v>-1532.19</v>
      </c>
      <c r="N115" s="18">
        <v>527.987</v>
      </c>
      <c r="O115" s="18">
        <v>3600.0</v>
      </c>
    </row>
    <row r="116">
      <c r="A116" s="8" t="s">
        <v>483</v>
      </c>
      <c r="B116" s="9">
        <v>25.0</v>
      </c>
      <c r="C116" s="9" t="s">
        <v>460</v>
      </c>
      <c r="D116" s="9">
        <v>50.0</v>
      </c>
      <c r="E116" s="10">
        <v>1.0</v>
      </c>
      <c r="F116" s="9">
        <v>4.0</v>
      </c>
      <c r="G116" s="9">
        <v>0.0</v>
      </c>
      <c r="H116" s="9">
        <v>1.0</v>
      </c>
      <c r="I116" s="9">
        <v>0.0</v>
      </c>
      <c r="J116" s="17">
        <v>2617.0</v>
      </c>
      <c r="K116" s="18">
        <v>-3343.01</v>
      </c>
      <c r="L116" s="17">
        <v>397.0</v>
      </c>
      <c r="M116" s="18">
        <v>-1842.87</v>
      </c>
      <c r="N116" s="18">
        <v>564.2</v>
      </c>
      <c r="O116" s="18">
        <v>3600.0</v>
      </c>
    </row>
    <row r="117">
      <c r="A117" s="8" t="s">
        <v>484</v>
      </c>
      <c r="B117" s="9">
        <v>25.0</v>
      </c>
      <c r="C117" s="9" t="s">
        <v>460</v>
      </c>
      <c r="D117" s="9">
        <v>50.0</v>
      </c>
      <c r="E117" s="10">
        <v>1.0</v>
      </c>
      <c r="F117" s="9">
        <v>5.0</v>
      </c>
      <c r="G117" s="9">
        <v>0.0</v>
      </c>
      <c r="H117" s="9">
        <v>1.0</v>
      </c>
      <c r="I117" s="9">
        <v>0.0</v>
      </c>
      <c r="J117" s="17">
        <v>2007.0</v>
      </c>
      <c r="K117" s="18">
        <v>-3425.71</v>
      </c>
      <c r="L117" s="17">
        <v>243.0</v>
      </c>
      <c r="M117" s="18">
        <v>-1801.1</v>
      </c>
      <c r="N117" s="18">
        <v>841.192</v>
      </c>
      <c r="O117" s="18">
        <v>3600.0</v>
      </c>
    </row>
    <row r="118">
      <c r="A118" s="8" t="s">
        <v>485</v>
      </c>
      <c r="B118" s="9">
        <v>25.0</v>
      </c>
      <c r="C118" s="9" t="s">
        <v>460</v>
      </c>
      <c r="D118" s="9">
        <v>50.0</v>
      </c>
      <c r="E118" s="10">
        <v>2.0</v>
      </c>
      <c r="F118" s="9">
        <v>1.0</v>
      </c>
      <c r="G118" s="9">
        <v>0.0</v>
      </c>
      <c r="H118" s="9">
        <v>1.0</v>
      </c>
      <c r="I118" s="9">
        <v>0.0</v>
      </c>
      <c r="J118" s="17">
        <v>40007.0</v>
      </c>
      <c r="K118" s="18">
        <v>9438.21</v>
      </c>
      <c r="L118" s="17">
        <v>36116.0</v>
      </c>
      <c r="M118" s="18">
        <v>28707.0</v>
      </c>
      <c r="N118" s="18">
        <v>20.5144</v>
      </c>
      <c r="O118" s="18">
        <v>3600.0</v>
      </c>
    </row>
    <row r="119">
      <c r="A119" s="8" t="s">
        <v>486</v>
      </c>
      <c r="B119" s="9">
        <v>25.0</v>
      </c>
      <c r="C119" s="9" t="s">
        <v>460</v>
      </c>
      <c r="D119" s="9">
        <v>50.0</v>
      </c>
      <c r="E119" s="10">
        <v>2.0</v>
      </c>
      <c r="F119" s="9">
        <v>2.0</v>
      </c>
      <c r="G119" s="9">
        <v>0.0</v>
      </c>
      <c r="H119" s="9">
        <v>1.0</v>
      </c>
      <c r="I119" s="9">
        <v>0.0</v>
      </c>
      <c r="J119" s="17">
        <v>41855.0</v>
      </c>
      <c r="K119" s="18">
        <v>15240.7</v>
      </c>
      <c r="L119" s="17">
        <v>37996.0</v>
      </c>
      <c r="M119" s="18">
        <v>34978.9</v>
      </c>
      <c r="N119" s="18">
        <v>7.94049</v>
      </c>
      <c r="O119" s="18">
        <v>3600.0</v>
      </c>
    </row>
    <row r="120">
      <c r="A120" s="8" t="s">
        <v>487</v>
      </c>
      <c r="B120" s="9">
        <v>25.0</v>
      </c>
      <c r="C120" s="9" t="s">
        <v>460</v>
      </c>
      <c r="D120" s="9">
        <v>50.0</v>
      </c>
      <c r="E120" s="10">
        <v>2.0</v>
      </c>
      <c r="F120" s="9">
        <v>3.0</v>
      </c>
      <c r="G120" s="9">
        <v>0.0</v>
      </c>
      <c r="H120" s="9">
        <v>1.0</v>
      </c>
      <c r="I120" s="9">
        <v>0.0</v>
      </c>
      <c r="J120" s="17">
        <v>39105.0</v>
      </c>
      <c r="K120" s="18">
        <v>7948.73</v>
      </c>
      <c r="L120" s="17">
        <v>35467.0</v>
      </c>
      <c r="M120" s="18">
        <v>28931.3</v>
      </c>
      <c r="N120" s="18">
        <v>18.4274</v>
      </c>
      <c r="O120" s="18">
        <v>3600.0</v>
      </c>
    </row>
    <row r="121">
      <c r="A121" s="8" t="s">
        <v>488</v>
      </c>
      <c r="B121" s="9">
        <v>25.0</v>
      </c>
      <c r="C121" s="9" t="s">
        <v>460</v>
      </c>
      <c r="D121" s="9">
        <v>50.0</v>
      </c>
      <c r="E121" s="10">
        <v>2.0</v>
      </c>
      <c r="F121" s="9">
        <v>4.0</v>
      </c>
      <c r="G121" s="9">
        <v>0.0</v>
      </c>
      <c r="H121" s="9">
        <v>1.0</v>
      </c>
      <c r="I121" s="9">
        <v>0.0</v>
      </c>
      <c r="J121" s="17">
        <v>39174.0</v>
      </c>
      <c r="K121" s="18">
        <v>10956.5</v>
      </c>
      <c r="L121" s="17">
        <v>38582.0</v>
      </c>
      <c r="M121" s="18">
        <v>31134.4</v>
      </c>
      <c r="N121" s="18">
        <v>19.3033</v>
      </c>
      <c r="O121" s="18">
        <v>3600.0</v>
      </c>
    </row>
    <row r="122">
      <c r="A122" s="8" t="s">
        <v>489</v>
      </c>
      <c r="B122" s="9">
        <v>25.0</v>
      </c>
      <c r="C122" s="9" t="s">
        <v>460</v>
      </c>
      <c r="D122" s="9">
        <v>50.0</v>
      </c>
      <c r="E122" s="10">
        <v>2.0</v>
      </c>
      <c r="F122" s="9">
        <v>5.0</v>
      </c>
      <c r="G122" s="9">
        <v>0.0</v>
      </c>
      <c r="H122" s="9">
        <v>1.0</v>
      </c>
      <c r="I122" s="9">
        <v>0.0</v>
      </c>
      <c r="J122" s="17">
        <v>43432.0</v>
      </c>
      <c r="K122" s="18">
        <v>12068.8</v>
      </c>
      <c r="L122" s="17">
        <v>35714.0</v>
      </c>
      <c r="M122" s="18">
        <v>31834.8</v>
      </c>
      <c r="N122" s="18">
        <v>10.8618</v>
      </c>
      <c r="O122" s="18">
        <v>3600.0</v>
      </c>
    </row>
    <row r="123">
      <c r="A123" s="8" t="s">
        <v>490</v>
      </c>
      <c r="B123" s="9">
        <v>25.0</v>
      </c>
      <c r="C123" s="9" t="s">
        <v>460</v>
      </c>
      <c r="D123" s="9">
        <v>75.0</v>
      </c>
      <c r="E123" s="10">
        <v>0.6</v>
      </c>
      <c r="F123" s="9">
        <v>1.0</v>
      </c>
      <c r="G123" s="9">
        <v>0.0</v>
      </c>
      <c r="H123" s="9">
        <v>1.0</v>
      </c>
      <c r="I123" s="9">
        <v>0.0</v>
      </c>
      <c r="J123" s="17">
        <v>-2751.0</v>
      </c>
      <c r="K123" s="18">
        <v>-6570.36</v>
      </c>
      <c r="L123" s="17">
        <v>-4326.0</v>
      </c>
      <c r="M123" s="18">
        <v>-5178.53</v>
      </c>
      <c r="N123" s="18">
        <v>19.7072</v>
      </c>
      <c r="O123" s="18">
        <v>3600.0</v>
      </c>
    </row>
    <row r="124">
      <c r="A124" s="8" t="s">
        <v>491</v>
      </c>
      <c r="B124" s="9">
        <v>25.0</v>
      </c>
      <c r="C124" s="9" t="s">
        <v>460</v>
      </c>
      <c r="D124" s="9">
        <v>75.0</v>
      </c>
      <c r="E124" s="10">
        <v>0.6</v>
      </c>
      <c r="F124" s="9">
        <v>2.0</v>
      </c>
      <c r="G124" s="9">
        <v>0.0</v>
      </c>
      <c r="H124" s="9">
        <v>1.0</v>
      </c>
      <c r="I124" s="9">
        <v>0.0</v>
      </c>
      <c r="J124" s="17">
        <v>-2969.0</v>
      </c>
      <c r="K124" s="18">
        <v>-6402.57</v>
      </c>
      <c r="L124" s="17">
        <v>-4666.0</v>
      </c>
      <c r="M124" s="18">
        <v>-4891.77</v>
      </c>
      <c r="N124" s="18">
        <v>4.83853</v>
      </c>
      <c r="O124" s="18">
        <v>3600.0</v>
      </c>
    </row>
    <row r="125">
      <c r="A125" s="8" t="s">
        <v>492</v>
      </c>
      <c r="B125" s="9">
        <v>25.0</v>
      </c>
      <c r="C125" s="9" t="s">
        <v>460</v>
      </c>
      <c r="D125" s="9">
        <v>75.0</v>
      </c>
      <c r="E125" s="10">
        <v>0.6</v>
      </c>
      <c r="F125" s="9">
        <v>3.0</v>
      </c>
      <c r="G125" s="9">
        <v>0.0</v>
      </c>
      <c r="H125" s="9">
        <v>1.0</v>
      </c>
      <c r="I125" s="9">
        <v>0.0</v>
      </c>
      <c r="J125" s="17">
        <v>-2790.0</v>
      </c>
      <c r="K125" s="18">
        <v>-6887.97</v>
      </c>
      <c r="L125" s="17">
        <v>-4131.0</v>
      </c>
      <c r="M125" s="18">
        <v>-5212.53</v>
      </c>
      <c r="N125" s="18">
        <v>26.1807</v>
      </c>
      <c r="O125" s="18">
        <v>3600.0</v>
      </c>
    </row>
    <row r="126">
      <c r="A126" s="8" t="s">
        <v>493</v>
      </c>
      <c r="B126" s="9">
        <v>25.0</v>
      </c>
      <c r="C126" s="9" t="s">
        <v>460</v>
      </c>
      <c r="D126" s="9">
        <v>75.0</v>
      </c>
      <c r="E126" s="10">
        <v>0.6</v>
      </c>
      <c r="F126" s="9">
        <v>4.0</v>
      </c>
      <c r="G126" s="9">
        <v>0.0</v>
      </c>
      <c r="H126" s="9">
        <v>1.0</v>
      </c>
      <c r="I126" s="9">
        <v>0.0</v>
      </c>
      <c r="J126" s="17">
        <v>-3122.0</v>
      </c>
      <c r="K126" s="18">
        <v>-7075.86</v>
      </c>
      <c r="L126" s="17">
        <v>-4719.0</v>
      </c>
      <c r="M126" s="18">
        <v>-5586.45</v>
      </c>
      <c r="N126" s="18">
        <v>18.382</v>
      </c>
      <c r="O126" s="18">
        <v>3600.0</v>
      </c>
    </row>
    <row r="127">
      <c r="A127" s="8" t="s">
        <v>494</v>
      </c>
      <c r="B127" s="9">
        <v>25.0</v>
      </c>
      <c r="C127" s="9" t="s">
        <v>460</v>
      </c>
      <c r="D127" s="9">
        <v>75.0</v>
      </c>
      <c r="E127" s="10">
        <v>0.6</v>
      </c>
      <c r="F127" s="9">
        <v>5.0</v>
      </c>
      <c r="G127" s="9">
        <v>0.0</v>
      </c>
      <c r="H127" s="9">
        <v>1.0</v>
      </c>
      <c r="I127" s="9">
        <v>0.0</v>
      </c>
      <c r="J127" s="17">
        <v>-2275.0</v>
      </c>
      <c r="K127" s="18">
        <v>-6417.17</v>
      </c>
      <c r="L127" s="17">
        <v>-4364.0</v>
      </c>
      <c r="M127" s="18">
        <v>-5058.79</v>
      </c>
      <c r="N127" s="18">
        <v>15.921</v>
      </c>
      <c r="O127" s="18">
        <v>3600.0</v>
      </c>
    </row>
    <row r="128">
      <c r="A128" s="8" t="s">
        <v>495</v>
      </c>
      <c r="B128" s="9">
        <v>25.0</v>
      </c>
      <c r="C128" s="9" t="s">
        <v>460</v>
      </c>
      <c r="D128" s="9">
        <v>75.0</v>
      </c>
      <c r="E128" s="10">
        <v>1.0</v>
      </c>
      <c r="F128" s="9">
        <v>1.0</v>
      </c>
      <c r="G128" s="9">
        <v>0.0</v>
      </c>
      <c r="H128" s="9">
        <v>1.0</v>
      </c>
      <c r="I128" s="9">
        <v>0.0</v>
      </c>
      <c r="J128" s="17">
        <v>3288.0</v>
      </c>
      <c r="K128" s="18">
        <v>-4124.78</v>
      </c>
      <c r="L128" s="17">
        <v>719.0</v>
      </c>
      <c r="M128" s="18">
        <v>-1903.79</v>
      </c>
      <c r="N128" s="18">
        <v>364.784</v>
      </c>
      <c r="O128" s="18">
        <v>3600.0</v>
      </c>
    </row>
    <row r="129">
      <c r="A129" s="8" t="s">
        <v>496</v>
      </c>
      <c r="B129" s="9">
        <v>25.0</v>
      </c>
      <c r="C129" s="9" t="s">
        <v>460</v>
      </c>
      <c r="D129" s="9">
        <v>75.0</v>
      </c>
      <c r="E129" s="10">
        <v>1.0</v>
      </c>
      <c r="F129" s="9">
        <v>2.0</v>
      </c>
      <c r="G129" s="9">
        <v>0.0</v>
      </c>
      <c r="H129" s="9">
        <v>1.0</v>
      </c>
      <c r="I129" s="9">
        <v>0.0</v>
      </c>
      <c r="J129" s="17">
        <v>3116.0</v>
      </c>
      <c r="K129" s="18">
        <v>-4088.09</v>
      </c>
      <c r="L129" s="17">
        <v>990.0</v>
      </c>
      <c r="M129" s="18">
        <v>-2535.25</v>
      </c>
      <c r="N129" s="18">
        <v>356.086</v>
      </c>
      <c r="O129" s="18">
        <v>3600.0</v>
      </c>
    </row>
    <row r="130">
      <c r="A130" s="8" t="s">
        <v>497</v>
      </c>
      <c r="B130" s="9">
        <v>25.0</v>
      </c>
      <c r="C130" s="9" t="s">
        <v>460</v>
      </c>
      <c r="D130" s="9">
        <v>75.0</v>
      </c>
      <c r="E130" s="10">
        <v>1.0</v>
      </c>
      <c r="F130" s="9">
        <v>3.0</v>
      </c>
      <c r="G130" s="9">
        <v>0.0</v>
      </c>
      <c r="H130" s="9">
        <v>1.0</v>
      </c>
      <c r="I130" s="9">
        <v>0.0</v>
      </c>
      <c r="J130" s="17">
        <v>3491.0</v>
      </c>
      <c r="K130" s="18">
        <v>-4228.27</v>
      </c>
      <c r="L130" s="17">
        <v>937.0</v>
      </c>
      <c r="M130" s="18">
        <v>-2050.27</v>
      </c>
      <c r="N130" s="18">
        <v>318.812</v>
      </c>
      <c r="O130" s="18">
        <v>3600.0</v>
      </c>
    </row>
    <row r="131">
      <c r="A131" s="8" t="s">
        <v>498</v>
      </c>
      <c r="B131" s="9">
        <v>25.0</v>
      </c>
      <c r="C131" s="9" t="s">
        <v>460</v>
      </c>
      <c r="D131" s="9">
        <v>75.0</v>
      </c>
      <c r="E131" s="10">
        <v>1.0</v>
      </c>
      <c r="F131" s="9">
        <v>4.0</v>
      </c>
      <c r="G131" s="9">
        <v>0.0</v>
      </c>
      <c r="H131" s="9">
        <v>1.0</v>
      </c>
      <c r="I131" s="9">
        <v>0.0</v>
      </c>
      <c r="J131" s="17">
        <v>2190.0</v>
      </c>
      <c r="K131" s="18">
        <v>-4386.62</v>
      </c>
      <c r="L131" s="17">
        <v>917.0</v>
      </c>
      <c r="M131" s="18">
        <v>-2249.76</v>
      </c>
      <c r="N131" s="18">
        <v>345.34</v>
      </c>
      <c r="O131" s="18">
        <v>3600.0</v>
      </c>
    </row>
    <row r="132">
      <c r="A132" s="8" t="s">
        <v>499</v>
      </c>
      <c r="B132" s="9">
        <v>25.0</v>
      </c>
      <c r="C132" s="9" t="s">
        <v>460</v>
      </c>
      <c r="D132" s="9">
        <v>75.0</v>
      </c>
      <c r="E132" s="10">
        <v>1.0</v>
      </c>
      <c r="F132" s="9">
        <v>5.0</v>
      </c>
      <c r="G132" s="9">
        <v>0.0</v>
      </c>
      <c r="H132" s="9">
        <v>1.0</v>
      </c>
      <c r="I132" s="9">
        <v>0.0</v>
      </c>
      <c r="J132" s="17">
        <v>2100.0</v>
      </c>
      <c r="K132" s="18">
        <v>-4056.2</v>
      </c>
      <c r="L132" s="17">
        <v>598.0</v>
      </c>
      <c r="M132" s="18">
        <v>-2080.53</v>
      </c>
      <c r="N132" s="18">
        <v>447.915</v>
      </c>
      <c r="O132" s="18">
        <v>3600.0</v>
      </c>
    </row>
    <row r="133">
      <c r="A133" s="8" t="s">
        <v>500</v>
      </c>
      <c r="B133" s="9">
        <v>25.0</v>
      </c>
      <c r="C133" s="9" t="s">
        <v>460</v>
      </c>
      <c r="D133" s="9">
        <v>75.0</v>
      </c>
      <c r="E133" s="10">
        <v>2.0</v>
      </c>
      <c r="F133" s="9">
        <v>1.0</v>
      </c>
      <c r="G133" s="9">
        <v>0.0</v>
      </c>
      <c r="H133" s="9">
        <v>1.0</v>
      </c>
      <c r="I133" s="9">
        <v>0.0</v>
      </c>
      <c r="J133" s="17">
        <v>60253.0</v>
      </c>
      <c r="K133" s="18">
        <v>17623.8</v>
      </c>
      <c r="L133" s="17">
        <v>54898.0</v>
      </c>
      <c r="M133" s="18">
        <v>42153.3</v>
      </c>
      <c r="N133" s="18">
        <v>23.2153</v>
      </c>
      <c r="O133" s="18">
        <v>3600.0</v>
      </c>
    </row>
    <row r="134">
      <c r="A134" s="8" t="s">
        <v>501</v>
      </c>
      <c r="B134" s="9">
        <v>25.0</v>
      </c>
      <c r="C134" s="9" t="s">
        <v>460</v>
      </c>
      <c r="D134" s="9">
        <v>75.0</v>
      </c>
      <c r="E134" s="10">
        <v>2.0</v>
      </c>
      <c r="F134" s="9">
        <v>2.0</v>
      </c>
      <c r="G134" s="9">
        <v>0.0</v>
      </c>
      <c r="H134" s="9">
        <v>1.0</v>
      </c>
      <c r="I134" s="9">
        <v>0.0</v>
      </c>
      <c r="J134" s="17">
        <v>55453.0</v>
      </c>
      <c r="K134" s="18">
        <v>4810.69</v>
      </c>
      <c r="L134" s="17">
        <v>55010.0</v>
      </c>
      <c r="M134" s="18">
        <v>34529.9</v>
      </c>
      <c r="N134" s="18">
        <v>37.2297</v>
      </c>
      <c r="O134" s="18">
        <v>3600.0</v>
      </c>
    </row>
    <row r="135">
      <c r="A135" s="8" t="s">
        <v>502</v>
      </c>
      <c r="B135" s="9">
        <v>25.0</v>
      </c>
      <c r="C135" s="9" t="s">
        <v>460</v>
      </c>
      <c r="D135" s="9">
        <v>75.0</v>
      </c>
      <c r="E135" s="10">
        <v>2.0</v>
      </c>
      <c r="F135" s="9">
        <v>3.0</v>
      </c>
      <c r="G135" s="9">
        <v>0.0</v>
      </c>
      <c r="H135" s="9">
        <v>1.0</v>
      </c>
      <c r="I135" s="9">
        <v>0.0</v>
      </c>
      <c r="J135" s="17">
        <v>61080.0</v>
      </c>
      <c r="K135" s="18">
        <v>27678.2</v>
      </c>
      <c r="L135" s="17">
        <v>55574.0</v>
      </c>
      <c r="M135" s="18">
        <v>50476.0</v>
      </c>
      <c r="N135" s="18">
        <v>9.17337</v>
      </c>
      <c r="O135" s="18">
        <v>3600.0</v>
      </c>
    </row>
    <row r="136">
      <c r="A136" s="8" t="s">
        <v>503</v>
      </c>
      <c r="B136" s="9">
        <v>25.0</v>
      </c>
      <c r="C136" s="9" t="s">
        <v>460</v>
      </c>
      <c r="D136" s="9">
        <v>75.0</v>
      </c>
      <c r="E136" s="10">
        <v>2.0</v>
      </c>
      <c r="F136" s="9">
        <v>4.0</v>
      </c>
      <c r="G136" s="9">
        <v>0.0</v>
      </c>
      <c r="H136" s="9">
        <v>1.0</v>
      </c>
      <c r="I136" s="9">
        <v>0.0</v>
      </c>
      <c r="J136" s="17">
        <v>61662.0</v>
      </c>
      <c r="K136" s="18">
        <v>12996.6</v>
      </c>
      <c r="L136" s="17">
        <v>61230.0</v>
      </c>
      <c r="M136" s="18">
        <v>33206.7</v>
      </c>
      <c r="N136" s="18">
        <v>45.7672</v>
      </c>
      <c r="O136" s="18">
        <v>3600.0</v>
      </c>
    </row>
    <row r="137">
      <c r="A137" s="8" t="s">
        <v>504</v>
      </c>
      <c r="B137" s="9">
        <v>25.0</v>
      </c>
      <c r="C137" s="9" t="s">
        <v>460</v>
      </c>
      <c r="D137" s="9">
        <v>75.0</v>
      </c>
      <c r="E137" s="10">
        <v>2.0</v>
      </c>
      <c r="F137" s="9">
        <v>5.0</v>
      </c>
      <c r="G137" s="9">
        <v>0.0</v>
      </c>
      <c r="H137" s="9">
        <v>1.0</v>
      </c>
      <c r="I137" s="9">
        <v>0.0</v>
      </c>
      <c r="J137" s="17">
        <v>62492.0</v>
      </c>
      <c r="K137" s="18">
        <v>14514.8</v>
      </c>
      <c r="L137" s="17">
        <v>56685.0</v>
      </c>
      <c r="M137" s="18">
        <v>39357.8</v>
      </c>
      <c r="N137" s="18">
        <v>30.5675</v>
      </c>
      <c r="O137" s="18">
        <v>3600.0</v>
      </c>
    </row>
    <row r="138">
      <c r="A138" s="4"/>
      <c r="B138" s="19"/>
      <c r="C138" s="19"/>
      <c r="D138" s="19"/>
      <c r="E138" s="15"/>
      <c r="F138" s="19"/>
      <c r="G138" s="19"/>
      <c r="H138" s="19"/>
      <c r="I138" s="19"/>
      <c r="J138" s="20"/>
      <c r="K138" s="13"/>
      <c r="L138" s="12"/>
      <c r="M138" s="13"/>
      <c r="N138" s="13"/>
      <c r="O138" s="13"/>
    </row>
    <row r="139">
      <c r="B139" s="19"/>
      <c r="C139" s="19"/>
      <c r="D139" s="19"/>
      <c r="E139" s="15"/>
      <c r="F139" s="11"/>
      <c r="G139" s="11"/>
      <c r="H139" s="11"/>
      <c r="I139" s="19"/>
      <c r="J139" s="20"/>
      <c r="K139" s="13"/>
      <c r="L139" s="12"/>
      <c r="M139" s="13"/>
      <c r="N139" s="13"/>
      <c r="O139" s="13"/>
    </row>
    <row r="140">
      <c r="B140" s="11"/>
      <c r="C140" s="11"/>
      <c r="D140" s="11"/>
      <c r="E140" s="15"/>
      <c r="F140" s="11"/>
      <c r="G140" s="11"/>
      <c r="H140" s="11"/>
      <c r="I140" s="11"/>
      <c r="J140" s="12"/>
      <c r="K140" s="13"/>
      <c r="L140" s="12"/>
      <c r="M140" s="13"/>
      <c r="N140" s="13"/>
      <c r="O140" s="13"/>
    </row>
    <row r="141">
      <c r="B141" s="11"/>
      <c r="C141" s="11"/>
      <c r="D141" s="11"/>
      <c r="E141" s="15"/>
      <c r="F141" s="11"/>
      <c r="G141" s="11"/>
      <c r="H141" s="11"/>
      <c r="I141" s="11"/>
      <c r="J141" s="12"/>
      <c r="K141" s="13"/>
      <c r="L141" s="12"/>
      <c r="M141" s="13"/>
      <c r="N141" s="13"/>
      <c r="O141" s="13"/>
    </row>
    <row r="142">
      <c r="B142" s="11"/>
      <c r="C142" s="11"/>
      <c r="D142" s="11"/>
      <c r="E142" s="15"/>
      <c r="F142" s="11"/>
      <c r="G142" s="11"/>
      <c r="H142" s="11"/>
      <c r="I142" s="11"/>
      <c r="J142" s="12"/>
      <c r="K142" s="13"/>
      <c r="L142" s="12"/>
      <c r="M142" s="13"/>
      <c r="N142" s="13"/>
      <c r="O142" s="13"/>
    </row>
    <row r="143">
      <c r="B143" s="11"/>
      <c r="C143" s="11"/>
      <c r="D143" s="11"/>
      <c r="E143" s="15"/>
      <c r="F143" s="11"/>
      <c r="G143" s="11"/>
      <c r="H143" s="11"/>
      <c r="I143" s="11"/>
      <c r="J143" s="12"/>
      <c r="K143" s="13"/>
      <c r="L143" s="12"/>
      <c r="M143" s="13"/>
      <c r="N143" s="13"/>
      <c r="O143" s="13"/>
    </row>
    <row r="144">
      <c r="B144" s="11"/>
      <c r="C144" s="11"/>
      <c r="D144" s="11"/>
      <c r="E144" s="15"/>
      <c r="F144" s="11"/>
      <c r="G144" s="11"/>
      <c r="H144" s="11"/>
      <c r="I144" s="11"/>
      <c r="J144" s="12"/>
      <c r="K144" s="13"/>
      <c r="L144" s="12"/>
      <c r="M144" s="13"/>
      <c r="N144" s="13"/>
      <c r="O144" s="13"/>
    </row>
    <row r="145">
      <c r="B145" s="11"/>
      <c r="C145" s="11"/>
      <c r="D145" s="11"/>
      <c r="E145" s="15"/>
      <c r="F145" s="11"/>
      <c r="G145" s="11"/>
      <c r="H145" s="11"/>
      <c r="I145" s="11"/>
      <c r="J145" s="12"/>
      <c r="K145" s="13"/>
      <c r="L145" s="12"/>
      <c r="M145" s="13"/>
      <c r="N145" s="13"/>
      <c r="O145" s="13"/>
    </row>
    <row r="146">
      <c r="B146" s="11"/>
      <c r="C146" s="11"/>
      <c r="D146" s="11"/>
      <c r="E146" s="15"/>
      <c r="F146" s="11"/>
      <c r="G146" s="11"/>
      <c r="H146" s="11"/>
      <c r="I146" s="11"/>
      <c r="J146" s="12"/>
      <c r="K146" s="13"/>
      <c r="L146" s="12"/>
      <c r="M146" s="13"/>
      <c r="N146" s="13"/>
      <c r="O146" s="13"/>
    </row>
    <row r="147">
      <c r="B147" s="11"/>
      <c r="C147" s="11"/>
      <c r="D147" s="11"/>
      <c r="E147" s="15"/>
      <c r="F147" s="11"/>
      <c r="G147" s="11"/>
      <c r="H147" s="11"/>
      <c r="I147" s="11"/>
      <c r="J147" s="12"/>
      <c r="K147" s="13"/>
      <c r="L147" s="12"/>
      <c r="M147" s="13"/>
      <c r="N147" s="13"/>
      <c r="O147" s="13"/>
    </row>
    <row r="148">
      <c r="B148" s="11"/>
      <c r="C148" s="11"/>
      <c r="D148" s="11"/>
      <c r="E148" s="15"/>
      <c r="F148" s="11"/>
      <c r="G148" s="11"/>
      <c r="H148" s="11"/>
      <c r="I148" s="11"/>
      <c r="J148" s="12"/>
      <c r="K148" s="13"/>
      <c r="L148" s="12"/>
      <c r="M148" s="13"/>
      <c r="N148" s="13"/>
      <c r="O148" s="13"/>
    </row>
    <row r="149">
      <c r="B149" s="11"/>
      <c r="C149" s="11"/>
      <c r="D149" s="11"/>
      <c r="E149" s="15"/>
      <c r="F149" s="11"/>
      <c r="G149" s="11"/>
      <c r="H149" s="11"/>
      <c r="I149" s="11"/>
      <c r="J149" s="12"/>
      <c r="K149" s="13"/>
      <c r="L149" s="12"/>
      <c r="M149" s="13"/>
      <c r="N149" s="13"/>
      <c r="O149" s="13"/>
    </row>
    <row r="150">
      <c r="B150" s="11"/>
      <c r="C150" s="11"/>
      <c r="D150" s="11"/>
      <c r="E150" s="15"/>
      <c r="F150" s="11"/>
      <c r="G150" s="11"/>
      <c r="H150" s="11"/>
      <c r="I150" s="11"/>
      <c r="J150" s="12"/>
      <c r="K150" s="13"/>
      <c r="L150" s="12"/>
      <c r="M150" s="13"/>
      <c r="N150" s="13"/>
      <c r="O150" s="13"/>
    </row>
    <row r="151">
      <c r="B151" s="11"/>
      <c r="C151" s="11"/>
      <c r="D151" s="11"/>
      <c r="E151" s="15"/>
      <c r="F151" s="11"/>
      <c r="G151" s="11"/>
      <c r="H151" s="11"/>
      <c r="I151" s="11"/>
      <c r="J151" s="12"/>
      <c r="K151" s="13"/>
      <c r="L151" s="12"/>
      <c r="M151" s="13"/>
      <c r="N151" s="13"/>
      <c r="O151" s="13"/>
    </row>
    <row r="152">
      <c r="B152" s="11"/>
      <c r="C152" s="11"/>
      <c r="D152" s="11"/>
      <c r="E152" s="15"/>
      <c r="F152" s="11"/>
      <c r="G152" s="11"/>
      <c r="H152" s="11"/>
      <c r="I152" s="11"/>
      <c r="J152" s="12"/>
      <c r="K152" s="13"/>
      <c r="L152" s="12"/>
      <c r="M152" s="13"/>
      <c r="N152" s="13"/>
      <c r="O152" s="13"/>
    </row>
    <row r="153">
      <c r="B153" s="11"/>
      <c r="C153" s="11"/>
      <c r="D153" s="11"/>
      <c r="E153" s="15"/>
      <c r="F153" s="11"/>
      <c r="G153" s="11"/>
      <c r="H153" s="11"/>
      <c r="I153" s="11"/>
      <c r="J153" s="12"/>
      <c r="K153" s="13"/>
      <c r="L153" s="12"/>
      <c r="M153" s="13"/>
      <c r="N153" s="13"/>
      <c r="O153" s="13"/>
    </row>
    <row r="154">
      <c r="B154" s="11"/>
      <c r="C154" s="11"/>
      <c r="D154" s="11"/>
      <c r="E154" s="15"/>
      <c r="F154" s="11"/>
      <c r="G154" s="11"/>
      <c r="H154" s="11"/>
      <c r="I154" s="11"/>
      <c r="J154" s="12"/>
      <c r="K154" s="13"/>
      <c r="L154" s="12"/>
      <c r="M154" s="13"/>
      <c r="N154" s="13"/>
      <c r="O154" s="13"/>
    </row>
    <row r="155">
      <c r="B155" s="11"/>
      <c r="C155" s="11"/>
      <c r="D155" s="11"/>
      <c r="E155" s="15"/>
      <c r="F155" s="11"/>
      <c r="G155" s="11"/>
      <c r="H155" s="11"/>
      <c r="I155" s="11"/>
      <c r="J155" s="12"/>
      <c r="K155" s="13"/>
      <c r="L155" s="12"/>
      <c r="M155" s="13"/>
      <c r="N155" s="13"/>
      <c r="O155" s="13"/>
    </row>
    <row r="156">
      <c r="B156" s="11"/>
      <c r="C156" s="11"/>
      <c r="D156" s="11"/>
      <c r="E156" s="15"/>
      <c r="F156" s="11"/>
      <c r="G156" s="11"/>
      <c r="H156" s="11"/>
      <c r="I156" s="11"/>
      <c r="J156" s="12"/>
      <c r="K156" s="13"/>
      <c r="L156" s="12"/>
      <c r="M156" s="13"/>
      <c r="N156" s="13"/>
      <c r="O156" s="13"/>
    </row>
    <row r="157">
      <c r="B157" s="11"/>
      <c r="C157" s="11"/>
      <c r="D157" s="11"/>
      <c r="E157" s="15"/>
      <c r="F157" s="11"/>
      <c r="G157" s="11"/>
      <c r="H157" s="11"/>
      <c r="I157" s="11"/>
      <c r="J157" s="12"/>
      <c r="K157" s="13"/>
      <c r="L157" s="12"/>
      <c r="M157" s="13"/>
      <c r="N157" s="13"/>
      <c r="O157" s="13"/>
    </row>
    <row r="158">
      <c r="B158" s="11"/>
      <c r="C158" s="11"/>
      <c r="D158" s="11"/>
      <c r="E158" s="15"/>
      <c r="F158" s="11"/>
      <c r="G158" s="11"/>
      <c r="H158" s="11"/>
      <c r="I158" s="11"/>
      <c r="J158" s="12"/>
      <c r="K158" s="13"/>
      <c r="L158" s="12"/>
      <c r="M158" s="13"/>
      <c r="N158" s="13"/>
      <c r="O158" s="13"/>
    </row>
    <row r="159">
      <c r="B159" s="11"/>
      <c r="C159" s="11"/>
      <c r="D159" s="11"/>
      <c r="E159" s="15"/>
      <c r="F159" s="11"/>
      <c r="G159" s="11"/>
      <c r="H159" s="11"/>
      <c r="I159" s="11"/>
      <c r="J159" s="12"/>
      <c r="K159" s="13"/>
      <c r="L159" s="12"/>
      <c r="M159" s="13"/>
      <c r="N159" s="13"/>
      <c r="O159" s="13"/>
    </row>
    <row r="160">
      <c r="B160" s="11"/>
      <c r="C160" s="11"/>
      <c r="D160" s="11"/>
      <c r="E160" s="15"/>
      <c r="F160" s="11"/>
      <c r="G160" s="11"/>
      <c r="H160" s="11"/>
      <c r="I160" s="11"/>
      <c r="J160" s="12"/>
      <c r="K160" s="13"/>
      <c r="L160" s="12"/>
      <c r="M160" s="13"/>
      <c r="N160" s="13"/>
      <c r="O160" s="13"/>
    </row>
    <row r="161">
      <c r="B161" s="11"/>
      <c r="C161" s="11"/>
      <c r="D161" s="11"/>
      <c r="E161" s="15"/>
      <c r="F161" s="11"/>
      <c r="G161" s="11"/>
      <c r="H161" s="11"/>
      <c r="I161" s="11"/>
      <c r="J161" s="12"/>
      <c r="K161" s="13"/>
      <c r="L161" s="12"/>
      <c r="M161" s="13"/>
      <c r="N161" s="13"/>
      <c r="O161" s="13"/>
    </row>
    <row r="162">
      <c r="B162" s="11"/>
      <c r="C162" s="11"/>
      <c r="D162" s="11"/>
      <c r="E162" s="15"/>
      <c r="F162" s="11"/>
      <c r="G162" s="11"/>
      <c r="H162" s="11"/>
      <c r="I162" s="11"/>
      <c r="J162" s="12"/>
      <c r="K162" s="13"/>
      <c r="L162" s="12"/>
      <c r="M162" s="13"/>
      <c r="N162" s="13"/>
      <c r="O162" s="13"/>
    </row>
    <row r="163">
      <c r="B163" s="11"/>
      <c r="C163" s="11"/>
      <c r="D163" s="11"/>
      <c r="E163" s="15"/>
      <c r="F163" s="11"/>
      <c r="G163" s="11"/>
      <c r="H163" s="11"/>
      <c r="I163" s="11"/>
      <c r="J163" s="12"/>
      <c r="K163" s="13"/>
      <c r="L163" s="12"/>
      <c r="M163" s="13"/>
      <c r="N163" s="13"/>
      <c r="O163" s="13"/>
    </row>
    <row r="164">
      <c r="B164" s="11"/>
      <c r="C164" s="11"/>
      <c r="D164" s="11"/>
      <c r="E164" s="15"/>
      <c r="F164" s="11"/>
      <c r="G164" s="11"/>
      <c r="H164" s="11"/>
      <c r="I164" s="11"/>
      <c r="J164" s="12"/>
      <c r="K164" s="13"/>
      <c r="L164" s="12"/>
      <c r="M164" s="13"/>
      <c r="N164" s="13"/>
      <c r="O164" s="13"/>
    </row>
    <row r="165">
      <c r="B165" s="11"/>
      <c r="C165" s="11"/>
      <c r="D165" s="11"/>
      <c r="E165" s="15"/>
      <c r="F165" s="11"/>
      <c r="G165" s="11"/>
      <c r="H165" s="11"/>
      <c r="I165" s="11"/>
      <c r="J165" s="12"/>
      <c r="K165" s="13"/>
      <c r="L165" s="12"/>
      <c r="M165" s="13"/>
      <c r="N165" s="13"/>
      <c r="O165" s="13"/>
    </row>
    <row r="166">
      <c r="B166" s="11"/>
      <c r="C166" s="11"/>
      <c r="D166" s="11"/>
      <c r="E166" s="15"/>
      <c r="F166" s="11"/>
      <c r="G166" s="11"/>
      <c r="H166" s="11"/>
      <c r="I166" s="11"/>
      <c r="J166" s="12"/>
      <c r="K166" s="13"/>
      <c r="L166" s="12"/>
      <c r="M166" s="13"/>
      <c r="N166" s="13"/>
      <c r="O166" s="13"/>
    </row>
    <row r="167">
      <c r="B167" s="11"/>
      <c r="C167" s="11"/>
      <c r="D167" s="11"/>
      <c r="E167" s="15"/>
      <c r="F167" s="11"/>
      <c r="G167" s="11"/>
      <c r="H167" s="11"/>
      <c r="I167" s="11"/>
      <c r="J167" s="12"/>
      <c r="K167" s="13"/>
      <c r="L167" s="12"/>
      <c r="M167" s="13"/>
      <c r="N167" s="13"/>
      <c r="O167" s="13"/>
    </row>
    <row r="168">
      <c r="B168" s="11"/>
      <c r="C168" s="11"/>
      <c r="D168" s="11"/>
      <c r="E168" s="15"/>
      <c r="F168" s="11"/>
      <c r="G168" s="11"/>
      <c r="H168" s="11"/>
      <c r="I168" s="11"/>
      <c r="J168" s="12"/>
      <c r="K168" s="13"/>
      <c r="L168" s="12"/>
      <c r="M168" s="13"/>
      <c r="N168" s="13"/>
      <c r="O168" s="13"/>
    </row>
    <row r="169">
      <c r="B169" s="11"/>
      <c r="C169" s="11"/>
      <c r="D169" s="11"/>
      <c r="E169" s="15"/>
      <c r="F169" s="11"/>
      <c r="G169" s="11"/>
      <c r="H169" s="11"/>
      <c r="I169" s="11"/>
      <c r="J169" s="12"/>
      <c r="K169" s="13"/>
      <c r="L169" s="12"/>
      <c r="M169" s="13"/>
      <c r="N169" s="13"/>
      <c r="O169" s="13"/>
    </row>
    <row r="170">
      <c r="B170" s="11"/>
      <c r="C170" s="11"/>
      <c r="D170" s="11"/>
      <c r="E170" s="15"/>
      <c r="F170" s="11"/>
      <c r="G170" s="11"/>
      <c r="H170" s="11"/>
      <c r="I170" s="11"/>
      <c r="J170" s="12"/>
      <c r="K170" s="13"/>
      <c r="L170" s="12"/>
      <c r="M170" s="13"/>
      <c r="N170" s="13"/>
      <c r="O170" s="13"/>
    </row>
    <row r="171">
      <c r="B171" s="11"/>
      <c r="C171" s="11"/>
      <c r="D171" s="11"/>
      <c r="E171" s="15"/>
      <c r="F171" s="11"/>
      <c r="G171" s="11"/>
      <c r="H171" s="11"/>
      <c r="I171" s="11"/>
      <c r="J171" s="12"/>
      <c r="K171" s="13"/>
      <c r="L171" s="12"/>
      <c r="M171" s="13"/>
      <c r="N171" s="13"/>
      <c r="O171" s="13"/>
    </row>
    <row r="172">
      <c r="B172" s="11"/>
      <c r="C172" s="11"/>
      <c r="D172" s="11"/>
      <c r="E172" s="15"/>
      <c r="F172" s="11"/>
      <c r="G172" s="11"/>
      <c r="H172" s="11"/>
      <c r="I172" s="11"/>
      <c r="J172" s="12"/>
      <c r="K172" s="13"/>
      <c r="L172" s="12"/>
      <c r="M172" s="13"/>
      <c r="N172" s="13"/>
      <c r="O172" s="13"/>
    </row>
    <row r="173">
      <c r="B173" s="11"/>
      <c r="C173" s="11"/>
      <c r="D173" s="11"/>
      <c r="E173" s="15"/>
      <c r="F173" s="11"/>
      <c r="G173" s="11"/>
      <c r="H173" s="11"/>
      <c r="I173" s="11"/>
      <c r="J173" s="12"/>
      <c r="K173" s="13"/>
      <c r="L173" s="12"/>
      <c r="M173" s="13"/>
      <c r="N173" s="13"/>
      <c r="O173" s="13"/>
    </row>
    <row r="174">
      <c r="B174" s="11"/>
      <c r="C174" s="11"/>
      <c r="D174" s="11"/>
      <c r="E174" s="15"/>
      <c r="F174" s="11"/>
      <c r="G174" s="11"/>
      <c r="H174" s="11"/>
      <c r="I174" s="11"/>
      <c r="J174" s="12"/>
      <c r="K174" s="13"/>
      <c r="L174" s="12"/>
      <c r="M174" s="13"/>
      <c r="N174" s="13"/>
      <c r="O174" s="13"/>
    </row>
    <row r="175">
      <c r="B175" s="11"/>
      <c r="C175" s="11"/>
      <c r="D175" s="11"/>
      <c r="E175" s="15"/>
      <c r="F175" s="11"/>
      <c r="G175" s="11"/>
      <c r="H175" s="11"/>
      <c r="I175" s="11"/>
      <c r="J175" s="12"/>
      <c r="K175" s="13"/>
      <c r="L175" s="12"/>
      <c r="M175" s="13"/>
      <c r="N175" s="13"/>
      <c r="O175" s="13"/>
    </row>
    <row r="176">
      <c r="B176" s="11"/>
      <c r="C176" s="11"/>
      <c r="D176" s="11"/>
      <c r="E176" s="15"/>
      <c r="F176" s="11"/>
      <c r="G176" s="11"/>
      <c r="H176" s="11"/>
      <c r="I176" s="11"/>
      <c r="J176" s="12"/>
      <c r="K176" s="13"/>
      <c r="L176" s="12"/>
      <c r="M176" s="13"/>
      <c r="N176" s="13"/>
      <c r="O176" s="13"/>
    </row>
    <row r="177">
      <c r="B177" s="11"/>
      <c r="C177" s="11"/>
      <c r="D177" s="11"/>
      <c r="E177" s="15"/>
      <c r="F177" s="11"/>
      <c r="G177" s="11"/>
      <c r="H177" s="11"/>
      <c r="I177" s="11"/>
      <c r="J177" s="12"/>
      <c r="K177" s="13"/>
      <c r="L177" s="12"/>
      <c r="M177" s="13"/>
      <c r="N177" s="13"/>
      <c r="O177" s="13"/>
    </row>
    <row r="178">
      <c r="B178" s="11"/>
      <c r="C178" s="11"/>
      <c r="D178" s="11"/>
      <c r="E178" s="15"/>
      <c r="F178" s="11"/>
      <c r="G178" s="11"/>
      <c r="H178" s="11"/>
      <c r="I178" s="11"/>
      <c r="J178" s="12"/>
      <c r="K178" s="13"/>
      <c r="L178" s="12"/>
      <c r="M178" s="13"/>
      <c r="N178" s="13"/>
      <c r="O178" s="13"/>
    </row>
    <row r="179">
      <c r="B179" s="11"/>
      <c r="C179" s="11"/>
      <c r="D179" s="11"/>
      <c r="E179" s="15"/>
      <c r="F179" s="11"/>
      <c r="G179" s="11"/>
      <c r="H179" s="11"/>
      <c r="I179" s="11"/>
      <c r="J179" s="12"/>
      <c r="K179" s="13"/>
      <c r="L179" s="12"/>
      <c r="M179" s="13"/>
      <c r="N179" s="13"/>
      <c r="O179" s="13"/>
    </row>
    <row r="180">
      <c r="B180" s="11"/>
      <c r="C180" s="11"/>
      <c r="D180" s="11"/>
      <c r="E180" s="15"/>
      <c r="F180" s="11"/>
      <c r="G180" s="11"/>
      <c r="H180" s="11"/>
      <c r="I180" s="11"/>
      <c r="J180" s="12"/>
      <c r="K180" s="13"/>
      <c r="L180" s="12"/>
      <c r="M180" s="13"/>
      <c r="N180" s="13"/>
      <c r="O180" s="13"/>
    </row>
    <row r="181">
      <c r="B181" s="11"/>
      <c r="C181" s="11"/>
      <c r="D181" s="11"/>
      <c r="E181" s="15"/>
      <c r="F181" s="11"/>
      <c r="G181" s="11"/>
      <c r="H181" s="11"/>
      <c r="I181" s="11"/>
      <c r="J181" s="12"/>
      <c r="K181" s="13"/>
      <c r="L181" s="12"/>
      <c r="M181" s="13"/>
      <c r="N181" s="13"/>
      <c r="O181" s="13"/>
    </row>
    <row r="182">
      <c r="B182" s="11"/>
      <c r="C182" s="11"/>
      <c r="D182" s="11"/>
      <c r="E182" s="15"/>
      <c r="F182" s="11"/>
      <c r="G182" s="11"/>
      <c r="H182" s="11"/>
      <c r="I182" s="11"/>
      <c r="J182" s="12"/>
      <c r="K182" s="13"/>
      <c r="L182" s="12"/>
      <c r="M182" s="13"/>
      <c r="N182" s="13"/>
      <c r="O182" s="13"/>
    </row>
    <row r="183">
      <c r="B183" s="11"/>
      <c r="C183" s="11"/>
      <c r="D183" s="11"/>
      <c r="E183" s="15"/>
      <c r="F183" s="11"/>
      <c r="G183" s="11"/>
      <c r="H183" s="11"/>
      <c r="I183" s="11"/>
      <c r="J183" s="12"/>
      <c r="K183" s="13"/>
      <c r="L183" s="12"/>
      <c r="M183" s="13"/>
      <c r="N183" s="13"/>
      <c r="O183" s="13"/>
    </row>
    <row r="184">
      <c r="B184" s="11"/>
      <c r="C184" s="11"/>
      <c r="D184" s="11"/>
      <c r="E184" s="15"/>
      <c r="F184" s="11"/>
      <c r="G184" s="11"/>
      <c r="H184" s="11"/>
      <c r="I184" s="11"/>
      <c r="J184" s="12"/>
      <c r="K184" s="13"/>
      <c r="L184" s="12"/>
      <c r="M184" s="13"/>
      <c r="N184" s="13"/>
      <c r="O184" s="13"/>
    </row>
    <row r="185">
      <c r="B185" s="11"/>
      <c r="C185" s="11"/>
      <c r="D185" s="11"/>
      <c r="E185" s="15"/>
      <c r="F185" s="11"/>
      <c r="G185" s="11"/>
      <c r="H185" s="11"/>
      <c r="I185" s="11"/>
      <c r="J185" s="12"/>
      <c r="K185" s="13"/>
      <c r="L185" s="12"/>
      <c r="M185" s="13"/>
      <c r="N185" s="13"/>
      <c r="O185" s="13"/>
    </row>
    <row r="186">
      <c r="B186" s="11"/>
      <c r="C186" s="11"/>
      <c r="D186" s="11"/>
      <c r="E186" s="15"/>
      <c r="F186" s="11"/>
      <c r="G186" s="11"/>
      <c r="H186" s="11"/>
      <c r="I186" s="11"/>
      <c r="J186" s="12"/>
      <c r="K186" s="13"/>
      <c r="L186" s="12"/>
      <c r="M186" s="13"/>
      <c r="N186" s="13"/>
      <c r="O186" s="13"/>
    </row>
    <row r="187">
      <c r="B187" s="11"/>
      <c r="C187" s="11"/>
      <c r="D187" s="11"/>
      <c r="E187" s="15"/>
      <c r="F187" s="11"/>
      <c r="G187" s="11"/>
      <c r="H187" s="11"/>
      <c r="I187" s="11"/>
      <c r="J187" s="12"/>
      <c r="K187" s="13"/>
      <c r="L187" s="12"/>
      <c r="M187" s="13"/>
      <c r="N187" s="13"/>
      <c r="O187" s="13"/>
    </row>
    <row r="188">
      <c r="B188" s="11"/>
      <c r="C188" s="11"/>
      <c r="D188" s="11"/>
      <c r="E188" s="15"/>
      <c r="F188" s="11"/>
      <c r="G188" s="11"/>
      <c r="H188" s="11"/>
      <c r="I188" s="11"/>
      <c r="J188" s="12"/>
      <c r="K188" s="13"/>
      <c r="L188" s="12"/>
      <c r="M188" s="13"/>
      <c r="N188" s="13"/>
      <c r="O188" s="13"/>
    </row>
    <row r="189">
      <c r="B189" s="11"/>
      <c r="C189" s="11"/>
      <c r="D189" s="11"/>
      <c r="E189" s="15"/>
      <c r="F189" s="11"/>
      <c r="G189" s="11"/>
      <c r="H189" s="11"/>
      <c r="I189" s="11"/>
      <c r="J189" s="12"/>
      <c r="K189" s="13"/>
      <c r="L189" s="12"/>
      <c r="M189" s="13"/>
      <c r="N189" s="13"/>
      <c r="O189" s="13"/>
    </row>
    <row r="190">
      <c r="B190" s="11"/>
      <c r="C190" s="11"/>
      <c r="D190" s="11"/>
      <c r="E190" s="15"/>
      <c r="F190" s="11"/>
      <c r="G190" s="11"/>
      <c r="H190" s="11"/>
      <c r="I190" s="11"/>
      <c r="J190" s="12"/>
      <c r="K190" s="13"/>
      <c r="L190" s="12"/>
      <c r="M190" s="13"/>
      <c r="N190" s="13"/>
      <c r="O190" s="13"/>
    </row>
    <row r="191">
      <c r="B191" s="11"/>
      <c r="C191" s="11"/>
      <c r="D191" s="11"/>
      <c r="E191" s="15"/>
      <c r="F191" s="11"/>
      <c r="G191" s="11"/>
      <c r="H191" s="11"/>
      <c r="I191" s="11"/>
      <c r="J191" s="12"/>
      <c r="K191" s="13"/>
      <c r="L191" s="12"/>
      <c r="M191" s="13"/>
      <c r="N191" s="13"/>
      <c r="O191" s="13"/>
    </row>
    <row r="192">
      <c r="B192" s="11"/>
      <c r="C192" s="11"/>
      <c r="D192" s="11"/>
      <c r="E192" s="15"/>
      <c r="F192" s="11"/>
      <c r="G192" s="11"/>
      <c r="H192" s="11"/>
      <c r="I192" s="11"/>
      <c r="J192" s="12"/>
      <c r="K192" s="13"/>
      <c r="L192" s="12"/>
      <c r="M192" s="13"/>
      <c r="N192" s="13"/>
      <c r="O192" s="13"/>
    </row>
    <row r="193">
      <c r="B193" s="11"/>
      <c r="C193" s="11"/>
      <c r="D193" s="11"/>
      <c r="E193" s="15"/>
      <c r="F193" s="11"/>
      <c r="G193" s="11"/>
      <c r="H193" s="11"/>
      <c r="I193" s="11"/>
      <c r="J193" s="12"/>
      <c r="K193" s="13"/>
      <c r="L193" s="12"/>
      <c r="M193" s="13"/>
      <c r="N193" s="13"/>
      <c r="O193" s="13"/>
    </row>
    <row r="194">
      <c r="B194" s="11"/>
      <c r="C194" s="11"/>
      <c r="D194" s="11"/>
      <c r="E194" s="15"/>
      <c r="F194" s="11"/>
      <c r="G194" s="11"/>
      <c r="H194" s="11"/>
      <c r="I194" s="11"/>
      <c r="J194" s="12"/>
      <c r="K194" s="13"/>
      <c r="L194" s="12"/>
      <c r="M194" s="13"/>
      <c r="N194" s="13"/>
      <c r="O194" s="13"/>
    </row>
    <row r="195">
      <c r="B195" s="11"/>
      <c r="C195" s="11"/>
      <c r="D195" s="11"/>
      <c r="E195" s="15"/>
      <c r="F195" s="11"/>
      <c r="G195" s="11"/>
      <c r="H195" s="11"/>
      <c r="I195" s="11"/>
      <c r="J195" s="12"/>
      <c r="K195" s="13"/>
      <c r="L195" s="12"/>
      <c r="M195" s="13"/>
      <c r="N195" s="13"/>
      <c r="O195" s="13"/>
    </row>
    <row r="196">
      <c r="B196" s="11"/>
      <c r="C196" s="11"/>
      <c r="D196" s="11"/>
      <c r="E196" s="15"/>
      <c r="F196" s="11"/>
      <c r="G196" s="11"/>
      <c r="H196" s="11"/>
      <c r="I196" s="11"/>
      <c r="J196" s="12"/>
      <c r="K196" s="13"/>
      <c r="L196" s="12"/>
      <c r="M196" s="13"/>
      <c r="N196" s="13"/>
      <c r="O196" s="13"/>
    </row>
    <row r="197">
      <c r="B197" s="11"/>
      <c r="C197" s="11"/>
      <c r="D197" s="11"/>
      <c r="E197" s="15"/>
      <c r="F197" s="11"/>
      <c r="G197" s="11"/>
      <c r="H197" s="11"/>
      <c r="I197" s="11"/>
      <c r="J197" s="12"/>
      <c r="K197" s="13"/>
      <c r="L197" s="12"/>
      <c r="M197" s="13"/>
      <c r="N197" s="13"/>
      <c r="O197" s="13"/>
    </row>
    <row r="198">
      <c r="B198" s="11"/>
      <c r="C198" s="11"/>
      <c r="D198" s="11"/>
      <c r="E198" s="15"/>
      <c r="F198" s="11"/>
      <c r="G198" s="11"/>
      <c r="H198" s="11"/>
      <c r="I198" s="11"/>
      <c r="J198" s="12"/>
      <c r="K198" s="13"/>
      <c r="L198" s="12"/>
      <c r="M198" s="13"/>
      <c r="N198" s="13"/>
      <c r="O198" s="13"/>
    </row>
    <row r="199">
      <c r="B199" s="11"/>
      <c r="C199" s="11"/>
      <c r="D199" s="11"/>
      <c r="E199" s="15"/>
      <c r="F199" s="11"/>
      <c r="G199" s="11"/>
      <c r="H199" s="11"/>
      <c r="I199" s="11"/>
      <c r="J199" s="12"/>
      <c r="K199" s="13"/>
      <c r="L199" s="12"/>
      <c r="M199" s="13"/>
      <c r="N199" s="13"/>
      <c r="O199" s="13"/>
    </row>
    <row r="200">
      <c r="B200" s="11"/>
      <c r="C200" s="11"/>
      <c r="D200" s="11"/>
      <c r="E200" s="15"/>
      <c r="F200" s="11"/>
      <c r="G200" s="11"/>
      <c r="H200" s="11"/>
      <c r="I200" s="11"/>
      <c r="J200" s="12"/>
      <c r="K200" s="13"/>
      <c r="L200" s="12"/>
      <c r="M200" s="13"/>
      <c r="N200" s="13"/>
      <c r="O200" s="13"/>
    </row>
    <row r="201">
      <c r="B201" s="11"/>
      <c r="C201" s="11"/>
      <c r="D201" s="11"/>
      <c r="E201" s="15"/>
      <c r="F201" s="11"/>
      <c r="G201" s="11"/>
      <c r="H201" s="11"/>
      <c r="I201" s="11"/>
      <c r="J201" s="12"/>
      <c r="K201" s="13"/>
      <c r="L201" s="12"/>
      <c r="M201" s="13"/>
      <c r="N201" s="13"/>
      <c r="O201" s="13"/>
    </row>
    <row r="202">
      <c r="B202" s="11"/>
      <c r="C202" s="11"/>
      <c r="D202" s="11"/>
      <c r="E202" s="15"/>
      <c r="F202" s="11"/>
      <c r="G202" s="11"/>
      <c r="H202" s="11"/>
      <c r="I202" s="11"/>
      <c r="J202" s="12"/>
      <c r="K202" s="13"/>
      <c r="L202" s="12"/>
      <c r="M202" s="13"/>
      <c r="N202" s="13"/>
      <c r="O202" s="13"/>
    </row>
    <row r="203">
      <c r="B203" s="11"/>
      <c r="C203" s="11"/>
      <c r="D203" s="11"/>
      <c r="E203" s="15"/>
      <c r="F203" s="11"/>
      <c r="G203" s="11"/>
      <c r="H203" s="11"/>
      <c r="I203" s="11"/>
      <c r="J203" s="12"/>
      <c r="K203" s="13"/>
      <c r="L203" s="12"/>
      <c r="M203" s="13"/>
      <c r="N203" s="13"/>
      <c r="O203" s="13"/>
    </row>
    <row r="204">
      <c r="B204" s="11"/>
      <c r="C204" s="11"/>
      <c r="D204" s="11"/>
      <c r="E204" s="15"/>
      <c r="F204" s="11"/>
      <c r="G204" s="11"/>
      <c r="H204" s="11"/>
      <c r="I204" s="11"/>
      <c r="J204" s="12"/>
      <c r="K204" s="13"/>
      <c r="L204" s="12"/>
      <c r="M204" s="13"/>
      <c r="N204" s="13"/>
      <c r="O204" s="13"/>
    </row>
    <row r="205">
      <c r="B205" s="11"/>
      <c r="C205" s="11"/>
      <c r="D205" s="11"/>
      <c r="E205" s="15"/>
      <c r="F205" s="11"/>
      <c r="G205" s="11"/>
      <c r="H205" s="11"/>
      <c r="I205" s="11"/>
      <c r="J205" s="12"/>
      <c r="K205" s="13"/>
      <c r="L205" s="12"/>
      <c r="M205" s="13"/>
      <c r="N205" s="13"/>
      <c r="O205" s="13"/>
    </row>
    <row r="206">
      <c r="B206" s="11"/>
      <c r="C206" s="11"/>
      <c r="D206" s="11"/>
      <c r="E206" s="15"/>
      <c r="F206" s="11"/>
      <c r="G206" s="11"/>
      <c r="H206" s="11"/>
      <c r="I206" s="11"/>
      <c r="J206" s="12"/>
      <c r="K206" s="13"/>
      <c r="L206" s="12"/>
      <c r="M206" s="13"/>
      <c r="N206" s="13"/>
      <c r="O206" s="13"/>
    </row>
    <row r="207">
      <c r="B207" s="11"/>
      <c r="C207" s="11"/>
      <c r="D207" s="11"/>
      <c r="E207" s="15"/>
      <c r="F207" s="11"/>
      <c r="G207" s="11"/>
      <c r="H207" s="11"/>
      <c r="I207" s="11"/>
      <c r="J207" s="12"/>
      <c r="K207" s="13"/>
      <c r="L207" s="12"/>
      <c r="M207" s="13"/>
      <c r="N207" s="13"/>
      <c r="O207" s="13"/>
    </row>
    <row r="208">
      <c r="B208" s="11"/>
      <c r="C208" s="11"/>
      <c r="D208" s="11"/>
      <c r="E208" s="15"/>
      <c r="F208" s="11"/>
      <c r="G208" s="11"/>
      <c r="H208" s="11"/>
      <c r="I208" s="11"/>
      <c r="J208" s="12"/>
      <c r="K208" s="13"/>
      <c r="L208" s="12"/>
      <c r="M208" s="13"/>
      <c r="N208" s="13"/>
      <c r="O208" s="13"/>
    </row>
    <row r="209">
      <c r="B209" s="11"/>
      <c r="C209" s="11"/>
      <c r="D209" s="11"/>
      <c r="E209" s="15"/>
      <c r="F209" s="11"/>
      <c r="G209" s="11"/>
      <c r="H209" s="11"/>
      <c r="I209" s="11"/>
      <c r="J209" s="12"/>
      <c r="K209" s="13"/>
      <c r="L209" s="12"/>
      <c r="M209" s="13"/>
      <c r="N209" s="13"/>
      <c r="O209" s="13"/>
    </row>
    <row r="210">
      <c r="B210" s="11"/>
      <c r="C210" s="11"/>
      <c r="D210" s="11"/>
      <c r="E210" s="15"/>
      <c r="F210" s="11"/>
      <c r="G210" s="11"/>
      <c r="H210" s="11"/>
      <c r="I210" s="11"/>
      <c r="J210" s="12"/>
      <c r="K210" s="13"/>
      <c r="L210" s="12"/>
      <c r="M210" s="13"/>
      <c r="N210" s="13"/>
      <c r="O210" s="13"/>
    </row>
    <row r="211">
      <c r="B211" s="11"/>
      <c r="C211" s="11"/>
      <c r="D211" s="11"/>
      <c r="E211" s="15"/>
      <c r="F211" s="11"/>
      <c r="G211" s="11"/>
      <c r="H211" s="11"/>
      <c r="I211" s="11"/>
      <c r="J211" s="12"/>
      <c r="K211" s="13"/>
      <c r="L211" s="12"/>
      <c r="M211" s="13"/>
      <c r="N211" s="13"/>
      <c r="O211" s="13"/>
    </row>
    <row r="212">
      <c r="B212" s="11"/>
      <c r="C212" s="11"/>
      <c r="D212" s="11"/>
      <c r="E212" s="15"/>
      <c r="F212" s="11"/>
      <c r="G212" s="11"/>
      <c r="H212" s="11"/>
      <c r="I212" s="11"/>
      <c r="J212" s="12"/>
      <c r="K212" s="13"/>
      <c r="L212" s="12"/>
      <c r="M212" s="13"/>
      <c r="N212" s="13"/>
      <c r="O212" s="13"/>
    </row>
    <row r="213">
      <c r="B213" s="11"/>
      <c r="C213" s="11"/>
      <c r="D213" s="11"/>
      <c r="E213" s="15"/>
      <c r="F213" s="11"/>
      <c r="G213" s="11"/>
      <c r="H213" s="11"/>
      <c r="I213" s="11"/>
      <c r="J213" s="12"/>
      <c r="K213" s="13"/>
      <c r="L213" s="12"/>
      <c r="M213" s="13"/>
      <c r="N213" s="13"/>
      <c r="O213" s="13"/>
    </row>
    <row r="214">
      <c r="B214" s="11"/>
      <c r="C214" s="11"/>
      <c r="D214" s="11"/>
      <c r="E214" s="15"/>
      <c r="F214" s="11"/>
      <c r="G214" s="11"/>
      <c r="H214" s="11"/>
      <c r="I214" s="11"/>
      <c r="J214" s="12"/>
      <c r="K214" s="13"/>
      <c r="L214" s="12"/>
      <c r="M214" s="13"/>
      <c r="N214" s="13"/>
      <c r="O214" s="13"/>
    </row>
    <row r="215">
      <c r="B215" s="11"/>
      <c r="C215" s="11"/>
      <c r="D215" s="11"/>
      <c r="E215" s="15"/>
      <c r="F215" s="11"/>
      <c r="G215" s="11"/>
      <c r="H215" s="11"/>
      <c r="I215" s="11"/>
      <c r="J215" s="12"/>
      <c r="K215" s="13"/>
      <c r="L215" s="12"/>
      <c r="M215" s="13"/>
      <c r="N215" s="13"/>
      <c r="O215" s="13"/>
    </row>
    <row r="216">
      <c r="B216" s="11"/>
      <c r="C216" s="11"/>
      <c r="D216" s="11"/>
      <c r="E216" s="15"/>
      <c r="F216" s="11"/>
      <c r="G216" s="11"/>
      <c r="H216" s="11"/>
      <c r="I216" s="11"/>
      <c r="J216" s="12"/>
      <c r="K216" s="13"/>
      <c r="L216" s="12"/>
      <c r="M216" s="13"/>
      <c r="N216" s="13"/>
      <c r="O216" s="13"/>
    </row>
    <row r="217">
      <c r="B217" s="11"/>
      <c r="C217" s="11"/>
      <c r="D217" s="11"/>
      <c r="E217" s="15"/>
      <c r="F217" s="11"/>
      <c r="G217" s="11"/>
      <c r="H217" s="11"/>
      <c r="I217" s="11"/>
      <c r="J217" s="12"/>
      <c r="K217" s="13"/>
      <c r="L217" s="12"/>
      <c r="M217" s="13"/>
      <c r="N217" s="13"/>
      <c r="O217" s="13"/>
    </row>
    <row r="218">
      <c r="B218" s="11"/>
      <c r="C218" s="11"/>
      <c r="D218" s="11"/>
      <c r="E218" s="15"/>
      <c r="F218" s="11"/>
      <c r="G218" s="11"/>
      <c r="H218" s="11"/>
      <c r="I218" s="11"/>
      <c r="J218" s="12"/>
      <c r="K218" s="13"/>
      <c r="L218" s="12"/>
      <c r="M218" s="13"/>
      <c r="N218" s="13"/>
      <c r="O218" s="13"/>
    </row>
    <row r="219">
      <c r="B219" s="11"/>
      <c r="C219" s="11"/>
      <c r="D219" s="11"/>
      <c r="E219" s="15"/>
      <c r="F219" s="11"/>
      <c r="G219" s="11"/>
      <c r="H219" s="11"/>
      <c r="I219" s="11"/>
      <c r="J219" s="12"/>
      <c r="K219" s="13"/>
      <c r="L219" s="12"/>
      <c r="M219" s="13"/>
      <c r="N219" s="13"/>
      <c r="O219" s="13"/>
    </row>
    <row r="220">
      <c r="B220" s="11"/>
      <c r="C220" s="11"/>
      <c r="D220" s="11"/>
      <c r="E220" s="15"/>
      <c r="F220" s="11"/>
      <c r="G220" s="11"/>
      <c r="H220" s="11"/>
      <c r="I220" s="11"/>
      <c r="J220" s="12"/>
      <c r="K220" s="13"/>
      <c r="L220" s="12"/>
      <c r="M220" s="13"/>
      <c r="N220" s="13"/>
      <c r="O220" s="13"/>
    </row>
    <row r="221">
      <c r="B221" s="11"/>
      <c r="C221" s="11"/>
      <c r="D221" s="11"/>
      <c r="E221" s="15"/>
      <c r="F221" s="11"/>
      <c r="G221" s="11"/>
      <c r="H221" s="11"/>
      <c r="I221" s="11"/>
      <c r="J221" s="12"/>
      <c r="K221" s="13"/>
      <c r="L221" s="12"/>
      <c r="M221" s="13"/>
      <c r="N221" s="13"/>
      <c r="O221" s="13"/>
    </row>
    <row r="222">
      <c r="B222" s="11"/>
      <c r="C222" s="11"/>
      <c r="D222" s="11"/>
      <c r="E222" s="15"/>
      <c r="F222" s="11"/>
      <c r="G222" s="11"/>
      <c r="H222" s="11"/>
      <c r="I222" s="11"/>
      <c r="J222" s="12"/>
      <c r="K222" s="13"/>
      <c r="L222" s="12"/>
      <c r="M222" s="13"/>
      <c r="N222" s="13"/>
      <c r="O222" s="13"/>
    </row>
    <row r="223">
      <c r="B223" s="11"/>
      <c r="C223" s="11"/>
      <c r="D223" s="11"/>
      <c r="E223" s="15"/>
      <c r="F223" s="11"/>
      <c r="G223" s="11"/>
      <c r="H223" s="11"/>
      <c r="I223" s="11"/>
      <c r="J223" s="12"/>
      <c r="K223" s="13"/>
      <c r="L223" s="12"/>
      <c r="M223" s="13"/>
      <c r="N223" s="13"/>
      <c r="O223" s="13"/>
    </row>
    <row r="224">
      <c r="B224" s="11"/>
      <c r="C224" s="11"/>
      <c r="D224" s="11"/>
      <c r="E224" s="15"/>
      <c r="F224" s="11"/>
      <c r="G224" s="11"/>
      <c r="H224" s="11"/>
      <c r="I224" s="11"/>
      <c r="J224" s="12"/>
      <c r="K224" s="13"/>
      <c r="L224" s="12"/>
      <c r="M224" s="13"/>
      <c r="N224" s="13"/>
      <c r="O224" s="13"/>
    </row>
    <row r="225">
      <c r="B225" s="11"/>
      <c r="C225" s="11"/>
      <c r="D225" s="11"/>
      <c r="E225" s="15"/>
      <c r="F225" s="11"/>
      <c r="G225" s="11"/>
      <c r="H225" s="11"/>
      <c r="I225" s="11"/>
      <c r="J225" s="12"/>
      <c r="K225" s="13"/>
      <c r="L225" s="12"/>
      <c r="M225" s="13"/>
      <c r="N225" s="13"/>
      <c r="O225" s="13"/>
    </row>
    <row r="226">
      <c r="B226" s="11"/>
      <c r="C226" s="11"/>
      <c r="D226" s="11"/>
      <c r="E226" s="15"/>
      <c r="F226" s="11"/>
      <c r="G226" s="11"/>
      <c r="H226" s="11"/>
      <c r="I226" s="11"/>
      <c r="J226" s="12"/>
      <c r="K226" s="13"/>
      <c r="L226" s="12"/>
      <c r="M226" s="13"/>
      <c r="N226" s="13"/>
      <c r="O226" s="13"/>
    </row>
    <row r="227">
      <c r="B227" s="11"/>
      <c r="C227" s="11"/>
      <c r="D227" s="11"/>
      <c r="E227" s="15"/>
      <c r="F227" s="11"/>
      <c r="G227" s="11"/>
      <c r="H227" s="11"/>
      <c r="I227" s="11"/>
      <c r="J227" s="12"/>
      <c r="K227" s="13"/>
      <c r="L227" s="12"/>
      <c r="M227" s="13"/>
      <c r="N227" s="13"/>
      <c r="O227" s="13"/>
    </row>
    <row r="228">
      <c r="B228" s="11"/>
      <c r="C228" s="11"/>
      <c r="D228" s="11"/>
      <c r="E228" s="15"/>
      <c r="F228" s="11"/>
      <c r="G228" s="11"/>
      <c r="H228" s="11"/>
      <c r="I228" s="11"/>
      <c r="J228" s="12"/>
      <c r="K228" s="13"/>
      <c r="L228" s="12"/>
      <c r="M228" s="13"/>
      <c r="N228" s="13"/>
      <c r="O228" s="13"/>
    </row>
    <row r="229">
      <c r="B229" s="11"/>
      <c r="C229" s="11"/>
      <c r="D229" s="11"/>
      <c r="E229" s="15"/>
      <c r="F229" s="11"/>
      <c r="G229" s="11"/>
      <c r="H229" s="11"/>
      <c r="I229" s="11"/>
      <c r="J229" s="12"/>
      <c r="K229" s="13"/>
      <c r="L229" s="12"/>
      <c r="M229" s="13"/>
      <c r="N229" s="13"/>
      <c r="O229" s="13"/>
    </row>
    <row r="230">
      <c r="B230" s="11"/>
      <c r="C230" s="11"/>
      <c r="D230" s="11"/>
      <c r="E230" s="15"/>
      <c r="F230" s="11"/>
      <c r="G230" s="11"/>
      <c r="H230" s="11"/>
      <c r="I230" s="11"/>
      <c r="J230" s="12"/>
      <c r="K230" s="13"/>
      <c r="L230" s="12"/>
      <c r="M230" s="13"/>
      <c r="N230" s="13"/>
      <c r="O230" s="13"/>
    </row>
    <row r="231">
      <c r="B231" s="11"/>
      <c r="C231" s="11"/>
      <c r="D231" s="11"/>
      <c r="E231" s="15"/>
      <c r="F231" s="11"/>
      <c r="G231" s="11"/>
      <c r="H231" s="11"/>
      <c r="I231" s="11"/>
      <c r="J231" s="12"/>
      <c r="K231" s="13"/>
      <c r="L231" s="12"/>
      <c r="M231" s="13"/>
      <c r="N231" s="13"/>
      <c r="O231" s="13"/>
    </row>
    <row r="232">
      <c r="B232" s="11"/>
      <c r="C232" s="11"/>
      <c r="D232" s="11"/>
      <c r="E232" s="15"/>
      <c r="F232" s="11"/>
      <c r="G232" s="11"/>
      <c r="H232" s="11"/>
      <c r="I232" s="11"/>
      <c r="J232" s="12"/>
      <c r="K232" s="13"/>
      <c r="L232" s="12"/>
      <c r="M232" s="13"/>
      <c r="N232" s="13"/>
      <c r="O232" s="13"/>
    </row>
    <row r="233">
      <c r="B233" s="11"/>
      <c r="C233" s="11"/>
      <c r="D233" s="11"/>
      <c r="E233" s="15"/>
      <c r="F233" s="11"/>
      <c r="G233" s="11"/>
      <c r="H233" s="11"/>
      <c r="I233" s="11"/>
      <c r="J233" s="12"/>
      <c r="K233" s="13"/>
      <c r="L233" s="12"/>
      <c r="M233" s="13"/>
      <c r="N233" s="13"/>
      <c r="O233" s="13"/>
    </row>
    <row r="234">
      <c r="B234" s="11"/>
      <c r="C234" s="11"/>
      <c r="D234" s="11"/>
      <c r="E234" s="15"/>
      <c r="F234" s="11"/>
      <c r="G234" s="11"/>
      <c r="H234" s="11"/>
      <c r="I234" s="11"/>
      <c r="J234" s="12"/>
      <c r="K234" s="13"/>
      <c r="L234" s="12"/>
      <c r="M234" s="13"/>
      <c r="N234" s="13"/>
      <c r="O234" s="13"/>
    </row>
    <row r="235">
      <c r="B235" s="11"/>
      <c r="C235" s="11"/>
      <c r="D235" s="11"/>
      <c r="E235" s="15"/>
      <c r="F235" s="11"/>
      <c r="G235" s="11"/>
      <c r="H235" s="11"/>
      <c r="I235" s="11"/>
      <c r="J235" s="12"/>
      <c r="K235" s="13"/>
      <c r="L235" s="12"/>
      <c r="M235" s="13"/>
      <c r="N235" s="13"/>
      <c r="O235" s="13"/>
    </row>
    <row r="236">
      <c r="B236" s="11"/>
      <c r="C236" s="11"/>
      <c r="D236" s="11"/>
      <c r="E236" s="15"/>
      <c r="F236" s="11"/>
      <c r="G236" s="11"/>
      <c r="H236" s="11"/>
      <c r="I236" s="11"/>
      <c r="J236" s="12"/>
      <c r="K236" s="13"/>
      <c r="L236" s="12"/>
      <c r="M236" s="13"/>
      <c r="N236" s="13"/>
      <c r="O236" s="13"/>
    </row>
    <row r="237">
      <c r="B237" s="11"/>
      <c r="C237" s="11"/>
      <c r="D237" s="11"/>
      <c r="E237" s="15"/>
      <c r="F237" s="11"/>
      <c r="G237" s="11"/>
      <c r="H237" s="11"/>
      <c r="I237" s="11"/>
      <c r="J237" s="12"/>
      <c r="K237" s="13"/>
      <c r="L237" s="12"/>
      <c r="M237" s="13"/>
      <c r="N237" s="13"/>
      <c r="O237" s="13"/>
    </row>
    <row r="238">
      <c r="B238" s="11"/>
      <c r="C238" s="11"/>
      <c r="D238" s="11"/>
      <c r="E238" s="15"/>
      <c r="F238" s="11"/>
      <c r="G238" s="11"/>
      <c r="H238" s="11"/>
      <c r="I238" s="11"/>
      <c r="J238" s="12"/>
      <c r="K238" s="13"/>
      <c r="L238" s="12"/>
      <c r="M238" s="13"/>
      <c r="N238" s="13"/>
      <c r="O238" s="13"/>
    </row>
    <row r="239">
      <c r="B239" s="11"/>
      <c r="C239" s="11"/>
      <c r="D239" s="11"/>
      <c r="E239" s="15"/>
      <c r="F239" s="11"/>
      <c r="G239" s="11"/>
      <c r="H239" s="11"/>
      <c r="I239" s="11"/>
      <c r="J239" s="12"/>
      <c r="K239" s="13"/>
      <c r="L239" s="12"/>
      <c r="M239" s="13"/>
      <c r="N239" s="13"/>
      <c r="O239" s="13"/>
    </row>
    <row r="240">
      <c r="B240" s="11"/>
      <c r="C240" s="11"/>
      <c r="D240" s="11"/>
      <c r="E240" s="15"/>
      <c r="F240" s="11"/>
      <c r="G240" s="11"/>
      <c r="H240" s="11"/>
      <c r="I240" s="11"/>
      <c r="J240" s="12"/>
      <c r="K240" s="13"/>
      <c r="L240" s="12"/>
      <c r="M240" s="13"/>
      <c r="N240" s="13"/>
      <c r="O240" s="13"/>
    </row>
    <row r="241">
      <c r="B241" s="11"/>
      <c r="C241" s="11"/>
      <c r="D241" s="11"/>
      <c r="E241" s="15"/>
      <c r="F241" s="11"/>
      <c r="G241" s="11"/>
      <c r="H241" s="11"/>
      <c r="I241" s="11"/>
      <c r="J241" s="12"/>
      <c r="K241" s="13"/>
      <c r="L241" s="12"/>
      <c r="M241" s="13"/>
      <c r="N241" s="13"/>
      <c r="O241" s="13"/>
    </row>
    <row r="242">
      <c r="B242" s="11"/>
      <c r="C242" s="11"/>
      <c r="D242" s="11"/>
      <c r="E242" s="15"/>
      <c r="F242" s="11"/>
      <c r="G242" s="11"/>
      <c r="H242" s="11"/>
      <c r="I242" s="11"/>
      <c r="J242" s="12"/>
      <c r="K242" s="13"/>
      <c r="L242" s="12"/>
      <c r="M242" s="13"/>
      <c r="N242" s="13"/>
      <c r="O242" s="13"/>
    </row>
    <row r="243">
      <c r="B243" s="11"/>
      <c r="C243" s="11"/>
      <c r="D243" s="11"/>
      <c r="E243" s="15"/>
      <c r="F243" s="11"/>
      <c r="G243" s="11"/>
      <c r="H243" s="11"/>
      <c r="I243" s="11"/>
      <c r="J243" s="12"/>
      <c r="K243" s="13"/>
      <c r="L243" s="12"/>
      <c r="M243" s="13"/>
      <c r="N243" s="13"/>
      <c r="O243" s="13"/>
    </row>
    <row r="244">
      <c r="B244" s="11"/>
      <c r="C244" s="11"/>
      <c r="D244" s="11"/>
      <c r="E244" s="15"/>
      <c r="F244" s="11"/>
      <c r="G244" s="11"/>
      <c r="H244" s="11"/>
      <c r="I244" s="11"/>
      <c r="J244" s="12"/>
      <c r="K244" s="13"/>
      <c r="L244" s="12"/>
      <c r="M244" s="13"/>
      <c r="N244" s="13"/>
      <c r="O244" s="13"/>
    </row>
    <row r="245">
      <c r="B245" s="11"/>
      <c r="C245" s="11"/>
      <c r="D245" s="11"/>
      <c r="E245" s="15"/>
      <c r="F245" s="11"/>
      <c r="G245" s="11"/>
      <c r="H245" s="11"/>
      <c r="I245" s="11"/>
      <c r="J245" s="12"/>
      <c r="K245" s="13"/>
      <c r="L245" s="12"/>
      <c r="M245" s="13"/>
      <c r="N245" s="13"/>
      <c r="O245" s="13"/>
    </row>
    <row r="246">
      <c r="B246" s="11"/>
      <c r="C246" s="11"/>
      <c r="D246" s="11"/>
      <c r="E246" s="15"/>
      <c r="F246" s="11"/>
      <c r="G246" s="11"/>
      <c r="H246" s="11"/>
      <c r="I246" s="11"/>
      <c r="J246" s="12"/>
      <c r="K246" s="13"/>
      <c r="L246" s="12"/>
      <c r="M246" s="13"/>
      <c r="N246" s="13"/>
      <c r="O246" s="13"/>
    </row>
    <row r="247">
      <c r="B247" s="11"/>
      <c r="C247" s="11"/>
      <c r="D247" s="11"/>
      <c r="E247" s="15"/>
      <c r="F247" s="11"/>
      <c r="G247" s="11"/>
      <c r="H247" s="11"/>
      <c r="I247" s="11"/>
      <c r="J247" s="12"/>
      <c r="K247" s="13"/>
      <c r="L247" s="12"/>
      <c r="M247" s="13"/>
      <c r="N247" s="13"/>
      <c r="O247" s="13"/>
    </row>
    <row r="248">
      <c r="B248" s="11"/>
      <c r="C248" s="11"/>
      <c r="D248" s="11"/>
      <c r="E248" s="15"/>
      <c r="F248" s="11"/>
      <c r="G248" s="11"/>
      <c r="H248" s="11"/>
      <c r="I248" s="11"/>
      <c r="J248" s="12"/>
      <c r="K248" s="13"/>
      <c r="L248" s="12"/>
      <c r="M248" s="13"/>
      <c r="N248" s="13"/>
      <c r="O248" s="13"/>
    </row>
    <row r="249">
      <c r="B249" s="11"/>
      <c r="C249" s="11"/>
      <c r="D249" s="11"/>
      <c r="E249" s="15"/>
      <c r="F249" s="11"/>
      <c r="G249" s="11"/>
      <c r="H249" s="11"/>
      <c r="I249" s="11"/>
      <c r="J249" s="12"/>
      <c r="K249" s="13"/>
      <c r="L249" s="12"/>
      <c r="M249" s="13"/>
      <c r="N249" s="13"/>
      <c r="O249" s="13"/>
    </row>
    <row r="250">
      <c r="B250" s="11"/>
      <c r="C250" s="11"/>
      <c r="D250" s="11"/>
      <c r="E250" s="15"/>
      <c r="F250" s="11"/>
      <c r="G250" s="11"/>
      <c r="H250" s="11"/>
      <c r="I250" s="11"/>
      <c r="J250" s="12"/>
      <c r="K250" s="13"/>
      <c r="L250" s="12"/>
      <c r="M250" s="13"/>
      <c r="N250" s="13"/>
      <c r="O250" s="13"/>
    </row>
    <row r="251">
      <c r="B251" s="11"/>
      <c r="C251" s="11"/>
      <c r="D251" s="11"/>
      <c r="E251" s="15"/>
      <c r="F251" s="11"/>
      <c r="G251" s="11"/>
      <c r="H251" s="11"/>
      <c r="I251" s="11"/>
      <c r="J251" s="12"/>
      <c r="K251" s="13"/>
      <c r="L251" s="12"/>
      <c r="M251" s="13"/>
      <c r="N251" s="13"/>
      <c r="O251" s="13"/>
    </row>
    <row r="252">
      <c r="B252" s="11"/>
      <c r="C252" s="11"/>
      <c r="D252" s="11"/>
      <c r="E252" s="15"/>
      <c r="F252" s="11"/>
      <c r="G252" s="11"/>
      <c r="H252" s="11"/>
      <c r="I252" s="11"/>
      <c r="J252" s="12"/>
      <c r="K252" s="13"/>
      <c r="L252" s="12"/>
      <c r="M252" s="13"/>
      <c r="N252" s="13"/>
      <c r="O252" s="13"/>
    </row>
    <row r="253">
      <c r="B253" s="11"/>
      <c r="C253" s="11"/>
      <c r="D253" s="11"/>
      <c r="E253" s="15"/>
      <c r="F253" s="11"/>
      <c r="G253" s="11"/>
      <c r="H253" s="11"/>
      <c r="I253" s="11"/>
      <c r="J253" s="12"/>
      <c r="K253" s="13"/>
      <c r="L253" s="12"/>
      <c r="M253" s="13"/>
      <c r="N253" s="13"/>
      <c r="O253" s="13"/>
    </row>
    <row r="254">
      <c r="B254" s="11"/>
      <c r="C254" s="11"/>
      <c r="D254" s="11"/>
      <c r="E254" s="15"/>
      <c r="F254" s="11"/>
      <c r="G254" s="11"/>
      <c r="H254" s="11"/>
      <c r="I254" s="11"/>
      <c r="J254" s="12"/>
      <c r="K254" s="13"/>
      <c r="L254" s="12"/>
      <c r="M254" s="13"/>
      <c r="N254" s="13"/>
      <c r="O254" s="13"/>
    </row>
    <row r="255">
      <c r="B255" s="11"/>
      <c r="C255" s="11"/>
      <c r="D255" s="11"/>
      <c r="E255" s="15"/>
      <c r="F255" s="11"/>
      <c r="G255" s="11"/>
      <c r="H255" s="11"/>
      <c r="I255" s="11"/>
      <c r="J255" s="12"/>
      <c r="K255" s="13"/>
      <c r="L255" s="12"/>
      <c r="M255" s="13"/>
      <c r="N255" s="13"/>
      <c r="O255" s="13"/>
    </row>
    <row r="256">
      <c r="B256" s="11"/>
      <c r="C256" s="11"/>
      <c r="D256" s="11"/>
      <c r="E256" s="15"/>
      <c r="F256" s="11"/>
      <c r="G256" s="11"/>
      <c r="H256" s="11"/>
      <c r="I256" s="11"/>
      <c r="J256" s="12"/>
      <c r="K256" s="13"/>
      <c r="L256" s="12"/>
      <c r="M256" s="13"/>
      <c r="N256" s="13"/>
      <c r="O256" s="13"/>
    </row>
    <row r="257">
      <c r="B257" s="11"/>
      <c r="C257" s="11"/>
      <c r="D257" s="11"/>
      <c r="E257" s="15"/>
      <c r="F257" s="11"/>
      <c r="G257" s="11"/>
      <c r="H257" s="11"/>
      <c r="I257" s="11"/>
      <c r="J257" s="12"/>
      <c r="K257" s="13"/>
      <c r="L257" s="12"/>
      <c r="M257" s="13"/>
      <c r="N257" s="13"/>
      <c r="O257" s="13"/>
    </row>
    <row r="258">
      <c r="B258" s="11"/>
      <c r="C258" s="11"/>
      <c r="D258" s="11"/>
      <c r="E258" s="15"/>
      <c r="F258" s="11"/>
      <c r="G258" s="11"/>
      <c r="H258" s="11"/>
      <c r="I258" s="11"/>
      <c r="J258" s="12"/>
      <c r="K258" s="13"/>
      <c r="L258" s="12"/>
      <c r="M258" s="13"/>
      <c r="N258" s="13"/>
      <c r="O258" s="13"/>
    </row>
    <row r="259">
      <c r="B259" s="11"/>
      <c r="C259" s="11"/>
      <c r="D259" s="11"/>
      <c r="E259" s="15"/>
      <c r="F259" s="11"/>
      <c r="G259" s="11"/>
      <c r="H259" s="11"/>
      <c r="I259" s="11"/>
      <c r="J259" s="12"/>
      <c r="K259" s="13"/>
      <c r="L259" s="12"/>
      <c r="M259" s="13"/>
      <c r="N259" s="13"/>
      <c r="O259" s="13"/>
    </row>
    <row r="260">
      <c r="B260" s="11"/>
      <c r="C260" s="11"/>
      <c r="D260" s="11"/>
      <c r="E260" s="15"/>
      <c r="F260" s="11"/>
      <c r="G260" s="11"/>
      <c r="H260" s="11"/>
      <c r="I260" s="11"/>
      <c r="J260" s="12"/>
      <c r="K260" s="13"/>
      <c r="L260" s="12"/>
      <c r="M260" s="13"/>
      <c r="N260" s="13"/>
      <c r="O260" s="13"/>
    </row>
    <row r="261">
      <c r="B261" s="11"/>
      <c r="C261" s="11"/>
      <c r="D261" s="11"/>
      <c r="E261" s="15"/>
      <c r="F261" s="11"/>
      <c r="G261" s="11"/>
      <c r="H261" s="11"/>
      <c r="I261" s="11"/>
      <c r="J261" s="12"/>
      <c r="K261" s="13"/>
      <c r="L261" s="12"/>
      <c r="M261" s="13"/>
      <c r="N261" s="13"/>
      <c r="O261" s="13"/>
    </row>
    <row r="262">
      <c r="B262" s="11"/>
      <c r="C262" s="11"/>
      <c r="D262" s="11"/>
      <c r="E262" s="15"/>
      <c r="F262" s="11"/>
      <c r="G262" s="11"/>
      <c r="H262" s="11"/>
      <c r="I262" s="11"/>
      <c r="J262" s="12"/>
      <c r="K262" s="13"/>
      <c r="L262" s="12"/>
      <c r="M262" s="13"/>
      <c r="N262" s="13"/>
      <c r="O262" s="13"/>
    </row>
    <row r="263">
      <c r="B263" s="11"/>
      <c r="C263" s="11"/>
      <c r="D263" s="11"/>
      <c r="E263" s="15"/>
      <c r="F263" s="11"/>
      <c r="G263" s="11"/>
      <c r="H263" s="11"/>
      <c r="I263" s="11"/>
      <c r="J263" s="12"/>
      <c r="K263" s="13"/>
      <c r="L263" s="12"/>
      <c r="M263" s="13"/>
      <c r="N263" s="13"/>
      <c r="O263" s="13"/>
    </row>
    <row r="264">
      <c r="B264" s="11"/>
      <c r="C264" s="11"/>
      <c r="D264" s="11"/>
      <c r="E264" s="15"/>
      <c r="F264" s="11"/>
      <c r="G264" s="11"/>
      <c r="H264" s="11"/>
      <c r="I264" s="11"/>
      <c r="J264" s="12"/>
      <c r="K264" s="13"/>
      <c r="L264" s="12"/>
      <c r="M264" s="13"/>
      <c r="N264" s="13"/>
      <c r="O264" s="13"/>
    </row>
    <row r="265">
      <c r="B265" s="11"/>
      <c r="C265" s="11"/>
      <c r="D265" s="11"/>
      <c r="E265" s="15"/>
      <c r="F265" s="11"/>
      <c r="G265" s="11"/>
      <c r="H265" s="11"/>
      <c r="I265" s="11"/>
      <c r="J265" s="12"/>
      <c r="K265" s="13"/>
      <c r="L265" s="12"/>
      <c r="M265" s="13"/>
      <c r="N265" s="13"/>
      <c r="O265" s="13"/>
    </row>
    <row r="266">
      <c r="B266" s="11"/>
      <c r="C266" s="11"/>
      <c r="D266" s="11"/>
      <c r="E266" s="15"/>
      <c r="F266" s="11"/>
      <c r="G266" s="11"/>
      <c r="H266" s="11"/>
      <c r="I266" s="11"/>
      <c r="J266" s="12"/>
      <c r="K266" s="13"/>
      <c r="L266" s="12"/>
      <c r="M266" s="13"/>
      <c r="N266" s="13"/>
      <c r="O266" s="13"/>
    </row>
    <row r="267">
      <c r="B267" s="11"/>
      <c r="C267" s="11"/>
      <c r="D267" s="11"/>
      <c r="E267" s="15"/>
      <c r="F267" s="11"/>
      <c r="G267" s="11"/>
      <c r="H267" s="11"/>
      <c r="I267" s="11"/>
      <c r="J267" s="12"/>
      <c r="K267" s="13"/>
      <c r="L267" s="12"/>
      <c r="M267" s="13"/>
      <c r="N267" s="13"/>
      <c r="O267" s="13"/>
    </row>
    <row r="268">
      <c r="B268" s="11"/>
      <c r="C268" s="11"/>
      <c r="D268" s="11"/>
      <c r="E268" s="15"/>
      <c r="F268" s="11"/>
      <c r="G268" s="11"/>
      <c r="H268" s="11"/>
      <c r="I268" s="11"/>
      <c r="J268" s="12"/>
      <c r="K268" s="13"/>
      <c r="L268" s="12"/>
      <c r="M268" s="13"/>
      <c r="N268" s="13"/>
      <c r="O268" s="13"/>
    </row>
    <row r="269">
      <c r="B269" s="11"/>
      <c r="C269" s="11"/>
      <c r="D269" s="11"/>
      <c r="E269" s="15"/>
      <c r="F269" s="11"/>
      <c r="G269" s="11"/>
      <c r="H269" s="11"/>
      <c r="I269" s="11"/>
      <c r="J269" s="12"/>
      <c r="K269" s="13"/>
      <c r="L269" s="12"/>
      <c r="M269" s="13"/>
      <c r="N269" s="13"/>
      <c r="O269" s="13"/>
    </row>
    <row r="270">
      <c r="B270" s="11"/>
      <c r="C270" s="11"/>
      <c r="D270" s="11"/>
      <c r="E270" s="15"/>
      <c r="F270" s="11"/>
      <c r="G270" s="11"/>
      <c r="H270" s="11"/>
      <c r="I270" s="11"/>
      <c r="J270" s="12"/>
      <c r="K270" s="13"/>
      <c r="L270" s="12"/>
      <c r="M270" s="13"/>
      <c r="N270" s="13"/>
      <c r="O270" s="13"/>
    </row>
    <row r="271">
      <c r="B271" s="11"/>
      <c r="C271" s="11"/>
      <c r="D271" s="11"/>
      <c r="E271" s="15"/>
      <c r="F271" s="11"/>
      <c r="G271" s="11"/>
      <c r="H271" s="11"/>
      <c r="I271" s="11"/>
      <c r="J271" s="12"/>
      <c r="K271" s="13"/>
      <c r="L271" s="12"/>
      <c r="M271" s="13"/>
      <c r="N271" s="13"/>
      <c r="O271" s="13"/>
    </row>
    <row r="272">
      <c r="B272" s="11"/>
      <c r="C272" s="11"/>
      <c r="D272" s="11"/>
      <c r="E272" s="15"/>
      <c r="F272" s="11"/>
      <c r="G272" s="11"/>
      <c r="H272" s="11"/>
      <c r="I272" s="11"/>
      <c r="J272" s="12"/>
      <c r="K272" s="13"/>
      <c r="L272" s="12"/>
      <c r="M272" s="13"/>
      <c r="N272" s="13"/>
      <c r="O272" s="13"/>
    </row>
    <row r="273">
      <c r="B273" s="11"/>
      <c r="C273" s="11"/>
      <c r="D273" s="11"/>
      <c r="E273" s="15"/>
      <c r="F273" s="11"/>
      <c r="G273" s="11"/>
      <c r="H273" s="11"/>
      <c r="I273" s="11"/>
      <c r="J273" s="12"/>
      <c r="K273" s="13"/>
      <c r="L273" s="12"/>
      <c r="M273" s="13"/>
      <c r="N273" s="13"/>
      <c r="O273" s="13"/>
    </row>
    <row r="274">
      <c r="B274" s="11"/>
      <c r="C274" s="11"/>
      <c r="D274" s="11"/>
      <c r="E274" s="15"/>
      <c r="F274" s="11"/>
      <c r="G274" s="11"/>
      <c r="H274" s="11"/>
      <c r="I274" s="11"/>
      <c r="J274" s="12"/>
      <c r="K274" s="13"/>
      <c r="L274" s="12"/>
      <c r="M274" s="13"/>
      <c r="N274" s="13"/>
      <c r="O274" s="13"/>
    </row>
    <row r="275">
      <c r="B275" s="11"/>
      <c r="C275" s="11"/>
      <c r="D275" s="11"/>
      <c r="E275" s="15"/>
      <c r="F275" s="11"/>
      <c r="G275" s="11"/>
      <c r="H275" s="11"/>
      <c r="I275" s="11"/>
      <c r="J275" s="12"/>
      <c r="K275" s="13"/>
      <c r="L275" s="12"/>
      <c r="M275" s="13"/>
      <c r="N275" s="13"/>
      <c r="O275" s="13"/>
    </row>
    <row r="276">
      <c r="B276" s="11"/>
      <c r="C276" s="11"/>
      <c r="D276" s="11"/>
      <c r="E276" s="15"/>
      <c r="F276" s="11"/>
      <c r="G276" s="11"/>
      <c r="H276" s="11"/>
      <c r="I276" s="11"/>
      <c r="J276" s="12"/>
      <c r="K276" s="13"/>
      <c r="L276" s="12"/>
      <c r="M276" s="13"/>
      <c r="N276" s="13"/>
      <c r="O276" s="13"/>
    </row>
    <row r="277">
      <c r="B277" s="11"/>
      <c r="C277" s="11"/>
      <c r="D277" s="11"/>
      <c r="E277" s="15"/>
      <c r="F277" s="11"/>
      <c r="G277" s="11"/>
      <c r="H277" s="11"/>
      <c r="I277" s="11"/>
      <c r="J277" s="12"/>
      <c r="K277" s="13"/>
      <c r="L277" s="12"/>
      <c r="M277" s="13"/>
      <c r="N277" s="13"/>
      <c r="O277" s="13"/>
    </row>
    <row r="278">
      <c r="B278" s="11"/>
      <c r="C278" s="11"/>
      <c r="D278" s="11"/>
      <c r="E278" s="15"/>
      <c r="F278" s="11"/>
      <c r="G278" s="11"/>
      <c r="H278" s="11"/>
      <c r="I278" s="11"/>
      <c r="J278" s="12"/>
      <c r="K278" s="13"/>
      <c r="L278" s="12"/>
      <c r="M278" s="13"/>
      <c r="N278" s="13"/>
      <c r="O278" s="13"/>
    </row>
    <row r="279">
      <c r="B279" s="11"/>
      <c r="C279" s="11"/>
      <c r="D279" s="11"/>
      <c r="E279" s="15"/>
      <c r="F279" s="11"/>
      <c r="G279" s="11"/>
      <c r="H279" s="11"/>
      <c r="I279" s="11"/>
      <c r="J279" s="12"/>
      <c r="K279" s="13"/>
      <c r="L279" s="12"/>
      <c r="M279" s="13"/>
      <c r="N279" s="13"/>
      <c r="O279" s="13"/>
    </row>
    <row r="280">
      <c r="B280" s="11"/>
      <c r="C280" s="11"/>
      <c r="D280" s="11"/>
      <c r="E280" s="15"/>
      <c r="F280" s="11"/>
      <c r="G280" s="11"/>
      <c r="H280" s="11"/>
      <c r="I280" s="11"/>
      <c r="J280" s="12"/>
      <c r="K280" s="13"/>
      <c r="L280" s="12"/>
      <c r="M280" s="13"/>
      <c r="N280" s="13"/>
      <c r="O280" s="13"/>
    </row>
    <row r="281">
      <c r="B281" s="11"/>
      <c r="C281" s="11"/>
      <c r="D281" s="11"/>
      <c r="E281" s="15"/>
      <c r="F281" s="11"/>
      <c r="G281" s="11"/>
      <c r="H281" s="11"/>
      <c r="I281" s="11"/>
      <c r="J281" s="12"/>
      <c r="K281" s="13"/>
      <c r="L281" s="12"/>
      <c r="M281" s="13"/>
      <c r="N281" s="13"/>
      <c r="O281" s="13"/>
    </row>
    <row r="282">
      <c r="B282" s="11"/>
      <c r="C282" s="11"/>
      <c r="D282" s="11"/>
      <c r="E282" s="15"/>
      <c r="F282" s="11"/>
      <c r="G282" s="11"/>
      <c r="H282" s="11"/>
      <c r="I282" s="11"/>
      <c r="J282" s="12"/>
      <c r="K282" s="13"/>
      <c r="L282" s="12"/>
      <c r="M282" s="13"/>
      <c r="N282" s="13"/>
      <c r="O282" s="13"/>
    </row>
    <row r="283">
      <c r="B283" s="11"/>
      <c r="C283" s="11"/>
      <c r="D283" s="11"/>
      <c r="E283" s="15"/>
      <c r="F283" s="11"/>
      <c r="G283" s="11"/>
      <c r="H283" s="11"/>
      <c r="I283" s="11"/>
      <c r="J283" s="12"/>
      <c r="K283" s="13"/>
      <c r="L283" s="12"/>
      <c r="M283" s="13"/>
      <c r="N283" s="13"/>
      <c r="O283" s="13"/>
    </row>
    <row r="284">
      <c r="B284" s="11"/>
      <c r="C284" s="11"/>
      <c r="D284" s="11"/>
      <c r="E284" s="15"/>
      <c r="F284" s="11"/>
      <c r="G284" s="11"/>
      <c r="H284" s="11"/>
      <c r="I284" s="11"/>
      <c r="J284" s="12"/>
      <c r="K284" s="13"/>
      <c r="L284" s="12"/>
      <c r="M284" s="13"/>
      <c r="N284" s="13"/>
      <c r="O284" s="13"/>
    </row>
    <row r="285">
      <c r="B285" s="11"/>
      <c r="C285" s="11"/>
      <c r="D285" s="11"/>
      <c r="E285" s="15"/>
      <c r="F285" s="11"/>
      <c r="G285" s="11"/>
      <c r="H285" s="11"/>
      <c r="I285" s="11"/>
      <c r="J285" s="12"/>
      <c r="K285" s="13"/>
      <c r="L285" s="12"/>
      <c r="M285" s="13"/>
      <c r="N285" s="13"/>
      <c r="O285" s="13"/>
    </row>
    <row r="286">
      <c r="B286" s="11"/>
      <c r="C286" s="11"/>
      <c r="D286" s="11"/>
      <c r="E286" s="15"/>
      <c r="F286" s="11"/>
      <c r="G286" s="11"/>
      <c r="H286" s="11"/>
      <c r="I286" s="11"/>
      <c r="J286" s="12"/>
      <c r="K286" s="13"/>
      <c r="L286" s="12"/>
      <c r="M286" s="13"/>
      <c r="N286" s="13"/>
      <c r="O286" s="13"/>
    </row>
    <row r="287">
      <c r="B287" s="11"/>
      <c r="C287" s="11"/>
      <c r="D287" s="11"/>
      <c r="E287" s="15"/>
      <c r="F287" s="11"/>
      <c r="G287" s="11"/>
      <c r="H287" s="11"/>
      <c r="I287" s="11"/>
      <c r="J287" s="12"/>
      <c r="K287" s="13"/>
      <c r="L287" s="12"/>
      <c r="M287" s="13"/>
      <c r="N287" s="13"/>
      <c r="O287" s="13"/>
    </row>
    <row r="288">
      <c r="B288" s="11"/>
      <c r="C288" s="11"/>
      <c r="D288" s="11"/>
      <c r="E288" s="15"/>
      <c r="F288" s="11"/>
      <c r="G288" s="11"/>
      <c r="H288" s="11"/>
      <c r="I288" s="11"/>
      <c r="J288" s="12"/>
      <c r="K288" s="13"/>
      <c r="L288" s="12"/>
      <c r="M288" s="13"/>
      <c r="N288" s="13"/>
      <c r="O288" s="13"/>
    </row>
    <row r="289">
      <c r="B289" s="11"/>
      <c r="C289" s="11"/>
      <c r="D289" s="11"/>
      <c r="E289" s="15"/>
      <c r="F289" s="11"/>
      <c r="G289" s="11"/>
      <c r="H289" s="11"/>
      <c r="I289" s="11"/>
      <c r="J289" s="12"/>
      <c r="K289" s="13"/>
      <c r="L289" s="12"/>
      <c r="M289" s="13"/>
      <c r="N289" s="13"/>
      <c r="O289" s="13"/>
    </row>
    <row r="290">
      <c r="B290" s="11"/>
      <c r="C290" s="11"/>
      <c r="D290" s="11"/>
      <c r="E290" s="15"/>
      <c r="F290" s="11"/>
      <c r="G290" s="11"/>
      <c r="H290" s="11"/>
      <c r="I290" s="11"/>
      <c r="J290" s="12"/>
      <c r="K290" s="13"/>
      <c r="L290" s="12"/>
      <c r="M290" s="13"/>
      <c r="N290" s="13"/>
      <c r="O290" s="13"/>
    </row>
    <row r="291">
      <c r="B291" s="11"/>
      <c r="C291" s="11"/>
      <c r="D291" s="11"/>
      <c r="E291" s="15"/>
      <c r="F291" s="11"/>
      <c r="G291" s="11"/>
      <c r="H291" s="11"/>
      <c r="I291" s="11"/>
      <c r="J291" s="12"/>
      <c r="K291" s="13"/>
      <c r="L291" s="12"/>
      <c r="M291" s="13"/>
      <c r="N291" s="13"/>
      <c r="O291" s="13"/>
    </row>
    <row r="292">
      <c r="B292" s="11"/>
      <c r="C292" s="11"/>
      <c r="D292" s="11"/>
      <c r="E292" s="15"/>
      <c r="F292" s="11"/>
      <c r="G292" s="11"/>
      <c r="H292" s="11"/>
      <c r="I292" s="11"/>
      <c r="J292" s="12"/>
      <c r="K292" s="13"/>
      <c r="L292" s="12"/>
      <c r="M292" s="13"/>
      <c r="N292" s="13"/>
      <c r="O292" s="13"/>
    </row>
    <row r="293">
      <c r="B293" s="11"/>
      <c r="C293" s="11"/>
      <c r="D293" s="11"/>
      <c r="E293" s="15"/>
      <c r="F293" s="11"/>
      <c r="G293" s="11"/>
      <c r="H293" s="11"/>
      <c r="I293" s="11"/>
      <c r="J293" s="12"/>
      <c r="K293" s="13"/>
      <c r="L293" s="12"/>
      <c r="M293" s="13"/>
      <c r="N293" s="13"/>
      <c r="O293" s="13"/>
    </row>
    <row r="294">
      <c r="B294" s="11"/>
      <c r="C294" s="11"/>
      <c r="D294" s="11"/>
      <c r="E294" s="15"/>
      <c r="F294" s="11"/>
      <c r="G294" s="11"/>
      <c r="H294" s="11"/>
      <c r="I294" s="11"/>
      <c r="J294" s="12"/>
      <c r="K294" s="13"/>
      <c r="L294" s="12"/>
      <c r="M294" s="13"/>
      <c r="N294" s="13"/>
      <c r="O294" s="13"/>
    </row>
    <row r="295">
      <c r="B295" s="11"/>
      <c r="C295" s="11"/>
      <c r="D295" s="11"/>
      <c r="E295" s="15"/>
      <c r="F295" s="11"/>
      <c r="G295" s="11"/>
      <c r="H295" s="11"/>
      <c r="I295" s="11"/>
      <c r="J295" s="12"/>
      <c r="K295" s="13"/>
      <c r="L295" s="12"/>
      <c r="M295" s="13"/>
      <c r="N295" s="13"/>
      <c r="O295" s="13"/>
    </row>
    <row r="296">
      <c r="B296" s="11"/>
      <c r="C296" s="11"/>
      <c r="D296" s="11"/>
      <c r="E296" s="15"/>
      <c r="F296" s="11"/>
      <c r="G296" s="11"/>
      <c r="H296" s="11"/>
      <c r="I296" s="11"/>
      <c r="J296" s="12"/>
      <c r="K296" s="13"/>
      <c r="L296" s="12"/>
      <c r="M296" s="13"/>
      <c r="N296" s="13"/>
      <c r="O296" s="13"/>
    </row>
    <row r="297">
      <c r="B297" s="11"/>
      <c r="C297" s="11"/>
      <c r="D297" s="11"/>
      <c r="E297" s="15"/>
      <c r="F297" s="11"/>
      <c r="G297" s="11"/>
      <c r="H297" s="11"/>
      <c r="I297" s="11"/>
      <c r="J297" s="12"/>
      <c r="K297" s="13"/>
      <c r="L297" s="12"/>
      <c r="M297" s="13"/>
      <c r="N297" s="13"/>
      <c r="O297" s="13"/>
    </row>
    <row r="298">
      <c r="B298" s="11"/>
      <c r="C298" s="11"/>
      <c r="D298" s="11"/>
      <c r="E298" s="15"/>
      <c r="F298" s="11"/>
      <c r="G298" s="11"/>
      <c r="H298" s="11"/>
      <c r="I298" s="11"/>
      <c r="J298" s="12"/>
      <c r="K298" s="13"/>
      <c r="L298" s="12"/>
      <c r="M298" s="13"/>
      <c r="N298" s="13"/>
      <c r="O298" s="13"/>
    </row>
    <row r="299">
      <c r="B299" s="11"/>
      <c r="C299" s="11"/>
      <c r="D299" s="11"/>
      <c r="E299" s="15"/>
      <c r="F299" s="11"/>
      <c r="G299" s="11"/>
      <c r="H299" s="11"/>
      <c r="I299" s="11"/>
      <c r="J299" s="12"/>
      <c r="K299" s="13"/>
      <c r="L299" s="12"/>
      <c r="M299" s="13"/>
      <c r="N299" s="13"/>
      <c r="O299" s="13"/>
    </row>
    <row r="300">
      <c r="B300" s="11"/>
      <c r="C300" s="11"/>
      <c r="D300" s="11"/>
      <c r="E300" s="15"/>
      <c r="F300" s="11"/>
      <c r="G300" s="11"/>
      <c r="H300" s="11"/>
      <c r="I300" s="11"/>
      <c r="J300" s="12"/>
      <c r="K300" s="13"/>
      <c r="L300" s="12"/>
      <c r="M300" s="13"/>
      <c r="N300" s="13"/>
      <c r="O300" s="13"/>
    </row>
    <row r="301">
      <c r="B301" s="11"/>
      <c r="C301" s="11"/>
      <c r="D301" s="11"/>
      <c r="E301" s="15"/>
      <c r="F301" s="11"/>
      <c r="G301" s="11"/>
      <c r="H301" s="11"/>
      <c r="I301" s="11"/>
      <c r="J301" s="12"/>
      <c r="K301" s="13"/>
      <c r="L301" s="12"/>
      <c r="M301" s="13"/>
      <c r="N301" s="13"/>
      <c r="O301" s="13"/>
    </row>
    <row r="302">
      <c r="B302" s="11"/>
      <c r="C302" s="11"/>
      <c r="D302" s="11"/>
      <c r="E302" s="15"/>
      <c r="F302" s="11"/>
      <c r="G302" s="11"/>
      <c r="H302" s="11"/>
      <c r="I302" s="11"/>
      <c r="J302" s="12"/>
      <c r="K302" s="13"/>
      <c r="L302" s="12"/>
      <c r="M302" s="13"/>
      <c r="N302" s="13"/>
      <c r="O302" s="13"/>
    </row>
    <row r="303">
      <c r="B303" s="11"/>
      <c r="C303" s="11"/>
      <c r="D303" s="11"/>
      <c r="E303" s="15"/>
      <c r="F303" s="11"/>
      <c r="G303" s="11"/>
      <c r="H303" s="11"/>
      <c r="I303" s="11"/>
      <c r="J303" s="12"/>
      <c r="K303" s="13"/>
      <c r="L303" s="12"/>
      <c r="M303" s="13"/>
      <c r="N303" s="13"/>
      <c r="O303" s="13"/>
    </row>
    <row r="304">
      <c r="B304" s="11"/>
      <c r="C304" s="11"/>
      <c r="D304" s="11"/>
      <c r="E304" s="15"/>
      <c r="F304" s="11"/>
      <c r="G304" s="11"/>
      <c r="H304" s="11"/>
      <c r="I304" s="11"/>
      <c r="J304" s="12"/>
      <c r="K304" s="13"/>
      <c r="L304" s="12"/>
      <c r="M304" s="13"/>
      <c r="N304" s="13"/>
      <c r="O304" s="13"/>
    </row>
    <row r="305">
      <c r="B305" s="11"/>
      <c r="C305" s="11"/>
      <c r="D305" s="11"/>
      <c r="E305" s="15"/>
      <c r="F305" s="11"/>
      <c r="G305" s="11"/>
      <c r="H305" s="11"/>
      <c r="I305" s="11"/>
      <c r="J305" s="12"/>
      <c r="K305" s="13"/>
      <c r="L305" s="12"/>
      <c r="M305" s="13"/>
      <c r="N305" s="13"/>
      <c r="O305" s="13"/>
    </row>
    <row r="306">
      <c r="B306" s="11"/>
      <c r="C306" s="11"/>
      <c r="D306" s="11"/>
      <c r="E306" s="15"/>
      <c r="F306" s="11"/>
      <c r="G306" s="11"/>
      <c r="H306" s="11"/>
      <c r="I306" s="11"/>
      <c r="J306" s="12"/>
      <c r="K306" s="13"/>
      <c r="L306" s="12"/>
      <c r="M306" s="13"/>
      <c r="N306" s="13"/>
      <c r="O306" s="13"/>
    </row>
    <row r="307">
      <c r="B307" s="11"/>
      <c r="C307" s="11"/>
      <c r="D307" s="11"/>
      <c r="E307" s="15"/>
      <c r="F307" s="11"/>
      <c r="G307" s="11"/>
      <c r="H307" s="11"/>
      <c r="I307" s="11"/>
      <c r="J307" s="12"/>
      <c r="K307" s="13"/>
      <c r="L307" s="12"/>
      <c r="M307" s="13"/>
      <c r="N307" s="13"/>
      <c r="O307" s="13"/>
    </row>
    <row r="308">
      <c r="B308" s="11"/>
      <c r="C308" s="11"/>
      <c r="D308" s="11"/>
      <c r="E308" s="15"/>
      <c r="F308" s="11"/>
      <c r="G308" s="11"/>
      <c r="H308" s="11"/>
      <c r="I308" s="11"/>
      <c r="J308" s="12"/>
      <c r="K308" s="13"/>
      <c r="L308" s="12"/>
      <c r="M308" s="13"/>
      <c r="N308" s="13"/>
      <c r="O308" s="13"/>
    </row>
    <row r="309">
      <c r="B309" s="11"/>
      <c r="C309" s="11"/>
      <c r="D309" s="11"/>
      <c r="E309" s="15"/>
      <c r="F309" s="11"/>
      <c r="G309" s="11"/>
      <c r="H309" s="11"/>
      <c r="I309" s="11"/>
      <c r="J309" s="12"/>
      <c r="K309" s="13"/>
      <c r="L309" s="12"/>
      <c r="M309" s="13"/>
      <c r="N309" s="13"/>
      <c r="O309" s="13"/>
    </row>
    <row r="310">
      <c r="B310" s="11"/>
      <c r="C310" s="11"/>
      <c r="D310" s="11"/>
      <c r="E310" s="15"/>
      <c r="F310" s="11"/>
      <c r="G310" s="11"/>
      <c r="H310" s="11"/>
      <c r="I310" s="11"/>
      <c r="J310" s="12"/>
      <c r="K310" s="13"/>
      <c r="L310" s="12"/>
      <c r="M310" s="13"/>
      <c r="N310" s="13"/>
      <c r="O310" s="13"/>
    </row>
    <row r="311">
      <c r="B311" s="11"/>
      <c r="C311" s="11"/>
      <c r="D311" s="11"/>
      <c r="E311" s="15"/>
      <c r="F311" s="11"/>
      <c r="G311" s="11"/>
      <c r="H311" s="11"/>
      <c r="I311" s="11"/>
      <c r="J311" s="12"/>
      <c r="K311" s="13"/>
      <c r="L311" s="12"/>
      <c r="M311" s="13"/>
      <c r="N311" s="13"/>
      <c r="O311" s="13"/>
    </row>
    <row r="312">
      <c r="B312" s="11"/>
      <c r="C312" s="11"/>
      <c r="D312" s="11"/>
      <c r="E312" s="15"/>
      <c r="F312" s="11"/>
      <c r="G312" s="11"/>
      <c r="H312" s="11"/>
      <c r="I312" s="11"/>
      <c r="J312" s="12"/>
      <c r="K312" s="13"/>
      <c r="L312" s="12"/>
      <c r="M312" s="13"/>
      <c r="N312" s="13"/>
      <c r="O312" s="13"/>
    </row>
    <row r="313">
      <c r="B313" s="11"/>
      <c r="C313" s="11"/>
      <c r="D313" s="11"/>
      <c r="E313" s="15"/>
      <c r="F313" s="11"/>
      <c r="G313" s="11"/>
      <c r="H313" s="11"/>
      <c r="I313" s="11"/>
      <c r="J313" s="12"/>
      <c r="K313" s="13"/>
      <c r="L313" s="12"/>
      <c r="M313" s="13"/>
      <c r="N313" s="13"/>
      <c r="O313" s="13"/>
    </row>
    <row r="314">
      <c r="B314" s="11"/>
      <c r="C314" s="11"/>
      <c r="D314" s="11"/>
      <c r="E314" s="15"/>
      <c r="F314" s="11"/>
      <c r="G314" s="11"/>
      <c r="H314" s="11"/>
      <c r="I314" s="11"/>
      <c r="J314" s="12"/>
      <c r="K314" s="13"/>
      <c r="L314" s="12"/>
      <c r="M314" s="13"/>
      <c r="N314" s="13"/>
      <c r="O314" s="13"/>
    </row>
    <row r="315">
      <c r="B315" s="11"/>
      <c r="C315" s="11"/>
      <c r="D315" s="11"/>
      <c r="E315" s="15"/>
      <c r="F315" s="11"/>
      <c r="G315" s="11"/>
      <c r="H315" s="11"/>
      <c r="I315" s="11"/>
      <c r="J315" s="12"/>
      <c r="K315" s="13"/>
      <c r="L315" s="12"/>
      <c r="M315" s="13"/>
      <c r="N315" s="13"/>
      <c r="O315" s="13"/>
    </row>
    <row r="316">
      <c r="B316" s="11"/>
      <c r="C316" s="11"/>
      <c r="D316" s="11"/>
      <c r="E316" s="15"/>
      <c r="F316" s="11"/>
      <c r="G316" s="11"/>
      <c r="H316" s="11"/>
      <c r="I316" s="11"/>
      <c r="J316" s="12"/>
      <c r="K316" s="13"/>
      <c r="L316" s="12"/>
      <c r="M316" s="13"/>
      <c r="N316" s="13"/>
      <c r="O316" s="13"/>
    </row>
    <row r="317">
      <c r="B317" s="11"/>
      <c r="C317" s="11"/>
      <c r="D317" s="11"/>
      <c r="E317" s="15"/>
      <c r="F317" s="11"/>
      <c r="G317" s="11"/>
      <c r="H317" s="11"/>
      <c r="I317" s="11"/>
      <c r="J317" s="12"/>
      <c r="K317" s="13"/>
      <c r="L317" s="12"/>
      <c r="M317" s="13"/>
      <c r="N317" s="13"/>
      <c r="O317" s="13"/>
    </row>
    <row r="318">
      <c r="B318" s="11"/>
      <c r="C318" s="11"/>
      <c r="D318" s="11"/>
      <c r="E318" s="15"/>
      <c r="F318" s="11"/>
      <c r="G318" s="11"/>
      <c r="H318" s="11"/>
      <c r="I318" s="11"/>
      <c r="J318" s="12"/>
      <c r="K318" s="13"/>
      <c r="L318" s="12"/>
      <c r="M318" s="13"/>
      <c r="N318" s="13"/>
      <c r="O318" s="13"/>
    </row>
    <row r="319">
      <c r="B319" s="11"/>
      <c r="C319" s="11"/>
      <c r="D319" s="11"/>
      <c r="E319" s="15"/>
      <c r="F319" s="11"/>
      <c r="G319" s="11"/>
      <c r="H319" s="11"/>
      <c r="I319" s="11"/>
      <c r="J319" s="12"/>
      <c r="K319" s="13"/>
      <c r="L319" s="12"/>
      <c r="M319" s="13"/>
      <c r="N319" s="13"/>
      <c r="O319" s="13"/>
    </row>
    <row r="320">
      <c r="B320" s="11"/>
      <c r="C320" s="11"/>
      <c r="D320" s="11"/>
      <c r="E320" s="15"/>
      <c r="F320" s="11"/>
      <c r="G320" s="11"/>
      <c r="H320" s="11"/>
      <c r="I320" s="11"/>
      <c r="J320" s="12"/>
      <c r="K320" s="13"/>
      <c r="L320" s="12"/>
      <c r="M320" s="13"/>
      <c r="N320" s="13"/>
      <c r="O320" s="13"/>
    </row>
    <row r="321">
      <c r="B321" s="11"/>
      <c r="C321" s="11"/>
      <c r="D321" s="11"/>
      <c r="E321" s="15"/>
      <c r="F321" s="11"/>
      <c r="G321" s="11"/>
      <c r="H321" s="11"/>
      <c r="I321" s="11"/>
      <c r="J321" s="12"/>
      <c r="K321" s="13"/>
      <c r="L321" s="12"/>
      <c r="M321" s="13"/>
      <c r="N321" s="13"/>
      <c r="O321" s="13"/>
    </row>
    <row r="322">
      <c r="B322" s="11"/>
      <c r="C322" s="11"/>
      <c r="D322" s="11"/>
      <c r="E322" s="15"/>
      <c r="F322" s="11"/>
      <c r="G322" s="11"/>
      <c r="H322" s="11"/>
      <c r="I322" s="11"/>
      <c r="J322" s="12"/>
      <c r="K322" s="13"/>
      <c r="L322" s="12"/>
      <c r="M322" s="13"/>
      <c r="N322" s="13"/>
      <c r="O322" s="13"/>
    </row>
    <row r="323">
      <c r="B323" s="11"/>
      <c r="C323" s="11"/>
      <c r="D323" s="11"/>
      <c r="E323" s="15"/>
      <c r="F323" s="11"/>
      <c r="G323" s="11"/>
      <c r="H323" s="11"/>
      <c r="I323" s="11"/>
      <c r="J323" s="12"/>
      <c r="K323" s="13"/>
      <c r="L323" s="12"/>
      <c r="M323" s="13"/>
      <c r="N323" s="13"/>
      <c r="O323" s="13"/>
    </row>
    <row r="324">
      <c r="B324" s="11"/>
      <c r="C324" s="11"/>
      <c r="D324" s="11"/>
      <c r="E324" s="15"/>
      <c r="F324" s="11"/>
      <c r="G324" s="11"/>
      <c r="H324" s="11"/>
      <c r="I324" s="11"/>
      <c r="J324" s="12"/>
      <c r="K324" s="13"/>
      <c r="L324" s="12"/>
      <c r="M324" s="13"/>
      <c r="N324" s="13"/>
      <c r="O324" s="13"/>
    </row>
    <row r="325">
      <c r="B325" s="11"/>
      <c r="C325" s="11"/>
      <c r="D325" s="11"/>
      <c r="E325" s="15"/>
      <c r="F325" s="11"/>
      <c r="G325" s="11"/>
      <c r="H325" s="11"/>
      <c r="I325" s="11"/>
      <c r="J325" s="12"/>
      <c r="K325" s="13"/>
      <c r="L325" s="12"/>
      <c r="M325" s="13"/>
      <c r="N325" s="13"/>
      <c r="O325" s="13"/>
    </row>
    <row r="326">
      <c r="B326" s="11"/>
      <c r="C326" s="11"/>
      <c r="D326" s="11"/>
      <c r="E326" s="15"/>
      <c r="F326" s="11"/>
      <c r="G326" s="11"/>
      <c r="H326" s="11"/>
      <c r="I326" s="11"/>
      <c r="J326" s="12"/>
      <c r="K326" s="13"/>
      <c r="L326" s="12"/>
      <c r="M326" s="13"/>
      <c r="N326" s="13"/>
      <c r="O326" s="13"/>
    </row>
    <row r="327">
      <c r="B327" s="11"/>
      <c r="C327" s="11"/>
      <c r="D327" s="11"/>
      <c r="E327" s="15"/>
      <c r="F327" s="11"/>
      <c r="G327" s="11"/>
      <c r="H327" s="11"/>
      <c r="I327" s="11"/>
      <c r="J327" s="12"/>
      <c r="K327" s="13"/>
      <c r="L327" s="12"/>
      <c r="M327" s="13"/>
      <c r="N327" s="13"/>
      <c r="O327" s="13"/>
    </row>
    <row r="328">
      <c r="B328" s="11"/>
      <c r="C328" s="11"/>
      <c r="D328" s="11"/>
      <c r="E328" s="15"/>
      <c r="F328" s="11"/>
      <c r="G328" s="11"/>
      <c r="H328" s="11"/>
      <c r="I328" s="11"/>
      <c r="J328" s="12"/>
      <c r="K328" s="13"/>
      <c r="L328" s="12"/>
      <c r="M328" s="13"/>
      <c r="N328" s="13"/>
      <c r="O328" s="13"/>
    </row>
    <row r="329">
      <c r="B329" s="11"/>
      <c r="C329" s="11"/>
      <c r="D329" s="11"/>
      <c r="E329" s="15"/>
      <c r="F329" s="11"/>
      <c r="G329" s="11"/>
      <c r="H329" s="11"/>
      <c r="I329" s="11"/>
      <c r="J329" s="12"/>
      <c r="K329" s="13"/>
      <c r="L329" s="12"/>
      <c r="M329" s="13"/>
      <c r="N329" s="13"/>
      <c r="O329" s="13"/>
    </row>
    <row r="330">
      <c r="B330" s="11"/>
      <c r="C330" s="11"/>
      <c r="D330" s="11"/>
      <c r="E330" s="15"/>
      <c r="F330" s="11"/>
      <c r="G330" s="11"/>
      <c r="H330" s="11"/>
      <c r="I330" s="11"/>
      <c r="J330" s="12"/>
      <c r="K330" s="13"/>
      <c r="L330" s="12"/>
      <c r="M330" s="13"/>
      <c r="N330" s="13"/>
      <c r="O330" s="13"/>
    </row>
    <row r="331">
      <c r="B331" s="11"/>
      <c r="C331" s="11"/>
      <c r="D331" s="11"/>
      <c r="E331" s="15"/>
      <c r="F331" s="11"/>
      <c r="G331" s="11"/>
      <c r="H331" s="11"/>
      <c r="I331" s="11"/>
      <c r="J331" s="12"/>
      <c r="K331" s="13"/>
      <c r="L331" s="12"/>
      <c r="M331" s="13"/>
      <c r="N331" s="13"/>
      <c r="O331" s="13"/>
    </row>
    <row r="332">
      <c r="B332" s="11"/>
      <c r="C332" s="11"/>
      <c r="D332" s="11"/>
      <c r="E332" s="15"/>
      <c r="F332" s="11"/>
      <c r="G332" s="11"/>
      <c r="H332" s="11"/>
      <c r="I332" s="11"/>
      <c r="J332" s="12"/>
      <c r="K332" s="13"/>
      <c r="L332" s="12"/>
      <c r="M332" s="13"/>
      <c r="N332" s="13"/>
      <c r="O332" s="13"/>
    </row>
    <row r="333">
      <c r="B333" s="11"/>
      <c r="C333" s="11"/>
      <c r="D333" s="11"/>
      <c r="E333" s="15"/>
      <c r="F333" s="11"/>
      <c r="G333" s="11"/>
      <c r="H333" s="11"/>
      <c r="I333" s="11"/>
      <c r="J333" s="12"/>
      <c r="K333" s="13"/>
      <c r="L333" s="12"/>
      <c r="M333" s="13"/>
      <c r="N333" s="13"/>
      <c r="O333" s="13"/>
    </row>
    <row r="334">
      <c r="B334" s="11"/>
      <c r="C334" s="11"/>
      <c r="D334" s="11"/>
      <c r="E334" s="15"/>
      <c r="F334" s="11"/>
      <c r="G334" s="11"/>
      <c r="H334" s="11"/>
      <c r="I334" s="11"/>
      <c r="J334" s="12"/>
      <c r="K334" s="13"/>
      <c r="L334" s="12"/>
      <c r="M334" s="13"/>
      <c r="N334" s="13"/>
      <c r="O334" s="13"/>
    </row>
    <row r="335">
      <c r="B335" s="11"/>
      <c r="C335" s="11"/>
      <c r="D335" s="11"/>
      <c r="E335" s="15"/>
      <c r="F335" s="11"/>
      <c r="G335" s="11"/>
      <c r="H335" s="11"/>
      <c r="I335" s="11"/>
      <c r="J335" s="12"/>
      <c r="K335" s="13"/>
      <c r="L335" s="12"/>
      <c r="M335" s="13"/>
      <c r="N335" s="13"/>
      <c r="O335" s="13"/>
    </row>
    <row r="336">
      <c r="B336" s="11"/>
      <c r="C336" s="11"/>
      <c r="D336" s="11"/>
      <c r="E336" s="15"/>
      <c r="F336" s="11"/>
      <c r="G336" s="11"/>
      <c r="H336" s="11"/>
      <c r="I336" s="11"/>
      <c r="J336" s="12"/>
      <c r="K336" s="13"/>
      <c r="L336" s="12"/>
      <c r="M336" s="13"/>
      <c r="N336" s="13"/>
      <c r="O336" s="13"/>
    </row>
    <row r="337">
      <c r="B337" s="11"/>
      <c r="C337" s="11"/>
      <c r="D337" s="11"/>
      <c r="E337" s="15"/>
      <c r="F337" s="11"/>
      <c r="G337" s="11"/>
      <c r="H337" s="11"/>
      <c r="I337" s="11"/>
      <c r="J337" s="12"/>
      <c r="K337" s="13"/>
      <c r="L337" s="12"/>
      <c r="M337" s="13"/>
      <c r="N337" s="13"/>
      <c r="O337" s="13"/>
    </row>
    <row r="338">
      <c r="B338" s="11"/>
      <c r="C338" s="11"/>
      <c r="D338" s="11"/>
      <c r="E338" s="15"/>
      <c r="F338" s="11"/>
      <c r="G338" s="11"/>
      <c r="H338" s="11"/>
      <c r="I338" s="11"/>
      <c r="J338" s="12"/>
      <c r="K338" s="13"/>
      <c r="L338" s="12"/>
      <c r="M338" s="13"/>
      <c r="N338" s="13"/>
      <c r="O338" s="13"/>
    </row>
    <row r="339">
      <c r="B339" s="11"/>
      <c r="C339" s="11"/>
      <c r="D339" s="11"/>
      <c r="E339" s="15"/>
      <c r="F339" s="11"/>
      <c r="G339" s="11"/>
      <c r="H339" s="11"/>
      <c r="I339" s="11"/>
      <c r="J339" s="12"/>
      <c r="K339" s="13"/>
      <c r="L339" s="12"/>
      <c r="M339" s="13"/>
      <c r="N339" s="13"/>
      <c r="O339" s="13"/>
    </row>
    <row r="340">
      <c r="B340" s="11"/>
      <c r="C340" s="11"/>
      <c r="D340" s="11"/>
      <c r="E340" s="15"/>
      <c r="F340" s="11"/>
      <c r="G340" s="11"/>
      <c r="H340" s="11"/>
      <c r="I340" s="11"/>
      <c r="J340" s="12"/>
      <c r="K340" s="13"/>
      <c r="L340" s="12"/>
      <c r="M340" s="13"/>
      <c r="N340" s="13"/>
      <c r="O340" s="13"/>
    </row>
    <row r="341">
      <c r="B341" s="11"/>
      <c r="C341" s="11"/>
      <c r="D341" s="11"/>
      <c r="E341" s="15"/>
      <c r="F341" s="11"/>
      <c r="G341" s="11"/>
      <c r="H341" s="11"/>
      <c r="I341" s="11"/>
      <c r="J341" s="12"/>
      <c r="K341" s="13"/>
      <c r="L341" s="12"/>
      <c r="M341" s="13"/>
      <c r="N341" s="13"/>
      <c r="O341" s="13"/>
    </row>
    <row r="342">
      <c r="B342" s="11"/>
      <c r="C342" s="11"/>
      <c r="D342" s="11"/>
      <c r="E342" s="15"/>
      <c r="F342" s="11"/>
      <c r="G342" s="11"/>
      <c r="H342" s="11"/>
      <c r="I342" s="11"/>
      <c r="J342" s="12"/>
      <c r="K342" s="13"/>
      <c r="L342" s="12"/>
      <c r="M342" s="13"/>
      <c r="N342" s="13"/>
      <c r="O342" s="13"/>
    </row>
    <row r="343">
      <c r="B343" s="11"/>
      <c r="C343" s="11"/>
      <c r="D343" s="11"/>
      <c r="E343" s="15"/>
      <c r="F343" s="11"/>
      <c r="G343" s="11"/>
      <c r="H343" s="11"/>
      <c r="I343" s="11"/>
      <c r="J343" s="12"/>
      <c r="K343" s="13"/>
      <c r="L343" s="12"/>
      <c r="M343" s="13"/>
      <c r="N343" s="13"/>
      <c r="O343" s="13"/>
    </row>
    <row r="344">
      <c r="B344" s="11"/>
      <c r="C344" s="11"/>
      <c r="D344" s="11"/>
      <c r="E344" s="15"/>
      <c r="F344" s="11"/>
      <c r="G344" s="11"/>
      <c r="H344" s="11"/>
      <c r="I344" s="11"/>
      <c r="J344" s="12"/>
      <c r="K344" s="13"/>
      <c r="L344" s="12"/>
      <c r="M344" s="13"/>
      <c r="N344" s="13"/>
      <c r="O344" s="13"/>
    </row>
    <row r="345">
      <c r="B345" s="11"/>
      <c r="C345" s="11"/>
      <c r="D345" s="11"/>
      <c r="E345" s="15"/>
      <c r="F345" s="11"/>
      <c r="G345" s="11"/>
      <c r="H345" s="11"/>
      <c r="I345" s="11"/>
      <c r="J345" s="12"/>
      <c r="K345" s="13"/>
      <c r="L345" s="12"/>
      <c r="M345" s="13"/>
      <c r="N345" s="13"/>
      <c r="O345" s="13"/>
    </row>
    <row r="346">
      <c r="B346" s="11"/>
      <c r="C346" s="11"/>
      <c r="D346" s="11"/>
      <c r="E346" s="15"/>
      <c r="F346" s="11"/>
      <c r="G346" s="11"/>
      <c r="H346" s="11"/>
      <c r="I346" s="11"/>
      <c r="J346" s="12"/>
      <c r="K346" s="13"/>
      <c r="L346" s="12"/>
      <c r="M346" s="13"/>
      <c r="N346" s="13"/>
      <c r="O346" s="13"/>
    </row>
    <row r="347">
      <c r="B347" s="11"/>
      <c r="C347" s="11"/>
      <c r="D347" s="11"/>
      <c r="E347" s="15"/>
      <c r="F347" s="11"/>
      <c r="G347" s="11"/>
      <c r="H347" s="11"/>
      <c r="I347" s="11"/>
      <c r="J347" s="12"/>
      <c r="K347" s="13"/>
      <c r="L347" s="12"/>
      <c r="M347" s="13"/>
      <c r="N347" s="13"/>
      <c r="O347" s="13"/>
    </row>
    <row r="348">
      <c r="B348" s="11"/>
      <c r="C348" s="11"/>
      <c r="D348" s="11"/>
      <c r="E348" s="15"/>
      <c r="F348" s="11"/>
      <c r="G348" s="11"/>
      <c r="H348" s="11"/>
      <c r="I348" s="11"/>
      <c r="J348" s="12"/>
      <c r="K348" s="13"/>
      <c r="L348" s="12"/>
      <c r="M348" s="13"/>
      <c r="N348" s="13"/>
      <c r="O348" s="13"/>
    </row>
    <row r="349">
      <c r="B349" s="11"/>
      <c r="C349" s="11"/>
      <c r="D349" s="11"/>
      <c r="E349" s="15"/>
      <c r="F349" s="11"/>
      <c r="G349" s="11"/>
      <c r="H349" s="11"/>
      <c r="I349" s="11"/>
      <c r="J349" s="12"/>
      <c r="K349" s="13"/>
      <c r="L349" s="12"/>
      <c r="M349" s="13"/>
      <c r="N349" s="13"/>
      <c r="O349" s="13"/>
    </row>
    <row r="350">
      <c r="B350" s="11"/>
      <c r="C350" s="11"/>
      <c r="D350" s="11"/>
      <c r="E350" s="15"/>
      <c r="F350" s="11"/>
      <c r="G350" s="11"/>
      <c r="H350" s="11"/>
      <c r="I350" s="11"/>
      <c r="J350" s="12"/>
      <c r="K350" s="13"/>
      <c r="L350" s="12"/>
      <c r="M350" s="13"/>
      <c r="N350" s="13"/>
      <c r="O350" s="13"/>
    </row>
    <row r="351">
      <c r="B351" s="11"/>
      <c r="C351" s="11"/>
      <c r="D351" s="11"/>
      <c r="E351" s="15"/>
      <c r="F351" s="11"/>
      <c r="G351" s="11"/>
      <c r="H351" s="11"/>
      <c r="I351" s="11"/>
      <c r="J351" s="12"/>
      <c r="K351" s="13"/>
      <c r="L351" s="12"/>
      <c r="M351" s="13"/>
      <c r="N351" s="13"/>
      <c r="O351" s="13"/>
    </row>
    <row r="352">
      <c r="B352" s="11"/>
      <c r="C352" s="11"/>
      <c r="D352" s="11"/>
      <c r="E352" s="15"/>
      <c r="F352" s="11"/>
      <c r="G352" s="11"/>
      <c r="H352" s="11"/>
      <c r="I352" s="11"/>
      <c r="J352" s="12"/>
      <c r="K352" s="13"/>
      <c r="L352" s="12"/>
      <c r="M352" s="13"/>
      <c r="N352" s="13"/>
      <c r="O352" s="13"/>
    </row>
    <row r="353">
      <c r="B353" s="11"/>
      <c r="C353" s="11"/>
      <c r="D353" s="11"/>
      <c r="E353" s="15"/>
      <c r="F353" s="11"/>
      <c r="G353" s="11"/>
      <c r="H353" s="11"/>
      <c r="I353" s="11"/>
      <c r="J353" s="12"/>
      <c r="K353" s="13"/>
      <c r="L353" s="12"/>
      <c r="M353" s="13"/>
      <c r="N353" s="13"/>
      <c r="O353" s="13"/>
    </row>
    <row r="354">
      <c r="B354" s="11"/>
      <c r="C354" s="11"/>
      <c r="D354" s="11"/>
      <c r="E354" s="15"/>
      <c r="F354" s="11"/>
      <c r="G354" s="11"/>
      <c r="H354" s="11"/>
      <c r="I354" s="11"/>
      <c r="J354" s="12"/>
      <c r="K354" s="13"/>
      <c r="L354" s="12"/>
      <c r="M354" s="13"/>
      <c r="N354" s="13"/>
      <c r="O354" s="13"/>
    </row>
    <row r="355">
      <c r="B355" s="11"/>
      <c r="C355" s="11"/>
      <c r="D355" s="11"/>
      <c r="E355" s="15"/>
      <c r="F355" s="11"/>
      <c r="G355" s="11"/>
      <c r="H355" s="11"/>
      <c r="I355" s="11"/>
      <c r="J355" s="12"/>
      <c r="K355" s="13"/>
      <c r="L355" s="12"/>
      <c r="M355" s="13"/>
      <c r="N355" s="13"/>
      <c r="O355" s="13"/>
    </row>
    <row r="356">
      <c r="B356" s="11"/>
      <c r="C356" s="11"/>
      <c r="D356" s="11"/>
      <c r="E356" s="15"/>
      <c r="F356" s="11"/>
      <c r="G356" s="11"/>
      <c r="H356" s="11"/>
      <c r="I356" s="11"/>
      <c r="J356" s="12"/>
      <c r="K356" s="13"/>
      <c r="L356" s="12"/>
      <c r="M356" s="13"/>
      <c r="N356" s="13"/>
      <c r="O356" s="13"/>
    </row>
    <row r="357">
      <c r="B357" s="11"/>
      <c r="C357" s="11"/>
      <c r="D357" s="11"/>
      <c r="E357" s="15"/>
      <c r="F357" s="11"/>
      <c r="G357" s="11"/>
      <c r="H357" s="11"/>
      <c r="I357" s="11"/>
      <c r="J357" s="12"/>
      <c r="K357" s="13"/>
      <c r="L357" s="12"/>
      <c r="M357" s="13"/>
      <c r="N357" s="13"/>
      <c r="O357" s="13"/>
    </row>
    <row r="358">
      <c r="B358" s="11"/>
      <c r="C358" s="11"/>
      <c r="D358" s="11"/>
      <c r="E358" s="15"/>
      <c r="F358" s="11"/>
      <c r="G358" s="11"/>
      <c r="H358" s="11"/>
      <c r="I358" s="11"/>
      <c r="J358" s="12"/>
      <c r="K358" s="13"/>
      <c r="L358" s="12"/>
      <c r="M358" s="13"/>
      <c r="N358" s="13"/>
      <c r="O358" s="13"/>
    </row>
    <row r="359">
      <c r="B359" s="11"/>
      <c r="C359" s="11"/>
      <c r="D359" s="11"/>
      <c r="E359" s="15"/>
      <c r="F359" s="11"/>
      <c r="G359" s="11"/>
      <c r="H359" s="11"/>
      <c r="I359" s="11"/>
      <c r="J359" s="12"/>
      <c r="K359" s="13"/>
      <c r="L359" s="12"/>
      <c r="M359" s="13"/>
      <c r="N359" s="13"/>
      <c r="O359" s="13"/>
    </row>
    <row r="360">
      <c r="B360" s="11"/>
      <c r="C360" s="11"/>
      <c r="D360" s="11"/>
      <c r="E360" s="15"/>
      <c r="F360" s="11"/>
      <c r="G360" s="11"/>
      <c r="H360" s="11"/>
      <c r="I360" s="11"/>
      <c r="J360" s="12"/>
      <c r="K360" s="13"/>
      <c r="L360" s="12"/>
      <c r="M360" s="13"/>
      <c r="N360" s="13"/>
      <c r="O360" s="13"/>
    </row>
    <row r="361">
      <c r="B361" s="11"/>
      <c r="C361" s="11"/>
      <c r="D361" s="11"/>
      <c r="E361" s="15"/>
      <c r="F361" s="11"/>
      <c r="G361" s="11"/>
      <c r="H361" s="11"/>
      <c r="I361" s="11"/>
      <c r="J361" s="12"/>
      <c r="K361" s="13"/>
      <c r="L361" s="12"/>
      <c r="M361" s="13"/>
      <c r="N361" s="13"/>
      <c r="O361" s="13"/>
    </row>
    <row r="362">
      <c r="B362" s="11"/>
      <c r="C362" s="11"/>
      <c r="D362" s="11"/>
      <c r="E362" s="15"/>
      <c r="F362" s="11"/>
      <c r="G362" s="11"/>
      <c r="H362" s="11"/>
      <c r="I362" s="11"/>
      <c r="J362" s="12"/>
      <c r="K362" s="13"/>
      <c r="L362" s="12"/>
      <c r="M362" s="13"/>
      <c r="N362" s="13"/>
      <c r="O362" s="13"/>
    </row>
    <row r="363">
      <c r="B363" s="11"/>
      <c r="C363" s="11"/>
      <c r="D363" s="11"/>
      <c r="E363" s="15"/>
      <c r="F363" s="11"/>
      <c r="G363" s="11"/>
      <c r="H363" s="11"/>
      <c r="I363" s="11"/>
      <c r="J363" s="12"/>
      <c r="K363" s="13"/>
      <c r="L363" s="12"/>
      <c r="M363" s="13"/>
      <c r="N363" s="13"/>
      <c r="O363" s="13"/>
    </row>
    <row r="364">
      <c r="B364" s="11"/>
      <c r="C364" s="11"/>
      <c r="D364" s="11"/>
      <c r="E364" s="15"/>
      <c r="F364" s="11"/>
      <c r="G364" s="11"/>
      <c r="H364" s="11"/>
      <c r="I364" s="11"/>
      <c r="J364" s="12"/>
      <c r="K364" s="13"/>
      <c r="L364" s="12"/>
      <c r="M364" s="13"/>
      <c r="N364" s="13"/>
      <c r="O364" s="13"/>
    </row>
    <row r="365">
      <c r="B365" s="11"/>
      <c r="C365" s="11"/>
      <c r="D365" s="11"/>
      <c r="E365" s="15"/>
      <c r="F365" s="11"/>
      <c r="G365" s="11"/>
      <c r="H365" s="11"/>
      <c r="I365" s="11"/>
      <c r="J365" s="12"/>
      <c r="K365" s="13"/>
      <c r="L365" s="12"/>
      <c r="M365" s="13"/>
      <c r="N365" s="13"/>
      <c r="O365" s="13"/>
    </row>
    <row r="366">
      <c r="B366" s="11"/>
      <c r="C366" s="11"/>
      <c r="D366" s="11"/>
      <c r="E366" s="15"/>
      <c r="F366" s="11"/>
      <c r="G366" s="11"/>
      <c r="H366" s="11"/>
      <c r="I366" s="11"/>
      <c r="J366" s="12"/>
      <c r="K366" s="13"/>
      <c r="L366" s="12"/>
      <c r="M366" s="13"/>
      <c r="N366" s="13"/>
      <c r="O366" s="13"/>
    </row>
    <row r="367">
      <c r="B367" s="11"/>
      <c r="C367" s="11"/>
      <c r="D367" s="11"/>
      <c r="E367" s="15"/>
      <c r="F367" s="11"/>
      <c r="G367" s="11"/>
      <c r="H367" s="11"/>
      <c r="I367" s="11"/>
      <c r="J367" s="12"/>
      <c r="K367" s="13"/>
      <c r="L367" s="12"/>
      <c r="M367" s="13"/>
      <c r="N367" s="13"/>
      <c r="O367" s="13"/>
    </row>
    <row r="368">
      <c r="B368" s="11"/>
      <c r="C368" s="11"/>
      <c r="D368" s="11"/>
      <c r="E368" s="15"/>
      <c r="F368" s="11"/>
      <c r="G368" s="11"/>
      <c r="H368" s="11"/>
      <c r="I368" s="11"/>
      <c r="J368" s="12"/>
      <c r="K368" s="13"/>
      <c r="L368" s="12"/>
      <c r="M368" s="13"/>
      <c r="N368" s="13"/>
      <c r="O368" s="13"/>
    </row>
    <row r="369">
      <c r="B369" s="11"/>
      <c r="C369" s="11"/>
      <c r="D369" s="11"/>
      <c r="E369" s="15"/>
      <c r="F369" s="11"/>
      <c r="G369" s="11"/>
      <c r="H369" s="11"/>
      <c r="I369" s="11"/>
      <c r="J369" s="12"/>
      <c r="K369" s="13"/>
      <c r="L369" s="12"/>
      <c r="M369" s="13"/>
      <c r="N369" s="13"/>
      <c r="O369" s="13"/>
    </row>
    <row r="370">
      <c r="B370" s="11"/>
      <c r="C370" s="11"/>
      <c r="D370" s="11"/>
      <c r="E370" s="15"/>
      <c r="F370" s="11"/>
      <c r="G370" s="11"/>
      <c r="H370" s="11"/>
      <c r="I370" s="11"/>
      <c r="J370" s="12"/>
      <c r="K370" s="13"/>
      <c r="L370" s="12"/>
      <c r="M370" s="13"/>
      <c r="N370" s="13"/>
      <c r="O370" s="13"/>
    </row>
    <row r="371">
      <c r="B371" s="11"/>
      <c r="C371" s="11"/>
      <c r="D371" s="11"/>
      <c r="E371" s="15"/>
      <c r="F371" s="11"/>
      <c r="G371" s="11"/>
      <c r="H371" s="11"/>
      <c r="I371" s="11"/>
      <c r="J371" s="12"/>
      <c r="K371" s="13"/>
      <c r="L371" s="12"/>
      <c r="M371" s="13"/>
      <c r="N371" s="13"/>
      <c r="O371" s="13"/>
    </row>
    <row r="372">
      <c r="B372" s="11"/>
      <c r="C372" s="11"/>
      <c r="D372" s="11"/>
      <c r="E372" s="15"/>
      <c r="F372" s="11"/>
      <c r="G372" s="11"/>
      <c r="H372" s="11"/>
      <c r="I372" s="11"/>
      <c r="J372" s="12"/>
      <c r="K372" s="13"/>
      <c r="L372" s="12"/>
      <c r="M372" s="13"/>
      <c r="N372" s="13"/>
      <c r="O372" s="13"/>
    </row>
    <row r="373">
      <c r="B373" s="11"/>
      <c r="C373" s="11"/>
      <c r="D373" s="11"/>
      <c r="E373" s="15"/>
      <c r="F373" s="11"/>
      <c r="G373" s="11"/>
      <c r="H373" s="11"/>
      <c r="I373" s="11"/>
      <c r="J373" s="12"/>
      <c r="K373" s="13"/>
      <c r="L373" s="12"/>
      <c r="M373" s="13"/>
      <c r="N373" s="13"/>
      <c r="O373" s="13"/>
    </row>
    <row r="374">
      <c r="B374" s="11"/>
      <c r="C374" s="11"/>
      <c r="D374" s="11"/>
      <c r="E374" s="15"/>
      <c r="F374" s="11"/>
      <c r="G374" s="11"/>
      <c r="H374" s="11"/>
      <c r="I374" s="11"/>
      <c r="J374" s="12"/>
      <c r="K374" s="13"/>
      <c r="L374" s="12"/>
      <c r="M374" s="13"/>
      <c r="N374" s="13"/>
      <c r="O374" s="13"/>
    </row>
    <row r="375">
      <c r="B375" s="11"/>
      <c r="C375" s="11"/>
      <c r="D375" s="11"/>
      <c r="E375" s="15"/>
      <c r="F375" s="11"/>
      <c r="G375" s="11"/>
      <c r="H375" s="11"/>
      <c r="I375" s="11"/>
      <c r="J375" s="12"/>
      <c r="K375" s="13"/>
      <c r="L375" s="12"/>
      <c r="M375" s="13"/>
      <c r="N375" s="13"/>
      <c r="O375" s="13"/>
    </row>
    <row r="376">
      <c r="B376" s="11"/>
      <c r="C376" s="11"/>
      <c r="D376" s="11"/>
      <c r="E376" s="15"/>
      <c r="F376" s="11"/>
      <c r="G376" s="11"/>
      <c r="H376" s="11"/>
      <c r="I376" s="11"/>
      <c r="J376" s="12"/>
      <c r="K376" s="13"/>
      <c r="L376" s="12"/>
      <c r="M376" s="13"/>
      <c r="N376" s="13"/>
      <c r="O376" s="13"/>
    </row>
    <row r="377">
      <c r="B377" s="11"/>
      <c r="C377" s="11"/>
      <c r="D377" s="11"/>
      <c r="E377" s="15"/>
      <c r="F377" s="11"/>
      <c r="G377" s="11"/>
      <c r="H377" s="11"/>
      <c r="I377" s="11"/>
      <c r="J377" s="12"/>
      <c r="K377" s="13"/>
      <c r="L377" s="12"/>
      <c r="M377" s="13"/>
      <c r="N377" s="13"/>
      <c r="O377" s="13"/>
    </row>
    <row r="378">
      <c r="B378" s="11"/>
      <c r="C378" s="11"/>
      <c r="D378" s="11"/>
      <c r="E378" s="15"/>
      <c r="F378" s="11"/>
      <c r="G378" s="11"/>
      <c r="H378" s="11"/>
      <c r="I378" s="11"/>
      <c r="J378" s="12"/>
      <c r="K378" s="13"/>
      <c r="L378" s="12"/>
      <c r="M378" s="13"/>
      <c r="N378" s="13"/>
      <c r="O378" s="13"/>
    </row>
    <row r="379">
      <c r="B379" s="11"/>
      <c r="C379" s="11"/>
      <c r="D379" s="11"/>
      <c r="E379" s="15"/>
      <c r="F379" s="11"/>
      <c r="G379" s="11"/>
      <c r="H379" s="11"/>
      <c r="I379" s="11"/>
      <c r="J379" s="12"/>
      <c r="K379" s="13"/>
      <c r="L379" s="12"/>
      <c r="M379" s="13"/>
      <c r="N379" s="13"/>
      <c r="O379" s="13"/>
    </row>
    <row r="380">
      <c r="B380" s="11"/>
      <c r="C380" s="11"/>
      <c r="D380" s="11"/>
      <c r="E380" s="15"/>
      <c r="F380" s="11"/>
      <c r="G380" s="11"/>
      <c r="H380" s="11"/>
      <c r="I380" s="11"/>
      <c r="J380" s="12"/>
      <c r="K380" s="13"/>
      <c r="L380" s="12"/>
      <c r="M380" s="13"/>
      <c r="N380" s="13"/>
      <c r="O380" s="13"/>
    </row>
    <row r="381">
      <c r="B381" s="11"/>
      <c r="C381" s="11"/>
      <c r="D381" s="11"/>
      <c r="E381" s="15"/>
      <c r="F381" s="11"/>
      <c r="G381" s="11"/>
      <c r="H381" s="11"/>
      <c r="I381" s="11"/>
      <c r="J381" s="12"/>
      <c r="K381" s="13"/>
      <c r="L381" s="12"/>
      <c r="M381" s="13"/>
      <c r="N381" s="13"/>
      <c r="O381" s="13"/>
    </row>
    <row r="382">
      <c r="B382" s="11"/>
      <c r="C382" s="11"/>
      <c r="D382" s="11"/>
      <c r="E382" s="15"/>
      <c r="F382" s="11"/>
      <c r="G382" s="11"/>
      <c r="H382" s="11"/>
      <c r="I382" s="11"/>
      <c r="J382" s="12"/>
      <c r="K382" s="13"/>
      <c r="L382" s="12"/>
      <c r="M382" s="13"/>
      <c r="N382" s="13"/>
      <c r="O382" s="13"/>
    </row>
    <row r="383">
      <c r="B383" s="11"/>
      <c r="C383" s="11"/>
      <c r="D383" s="11"/>
      <c r="E383" s="15"/>
      <c r="F383" s="11"/>
      <c r="G383" s="11"/>
      <c r="H383" s="11"/>
      <c r="I383" s="11"/>
      <c r="J383" s="12"/>
      <c r="K383" s="13"/>
      <c r="L383" s="12"/>
      <c r="M383" s="13"/>
      <c r="N383" s="13"/>
      <c r="O383" s="13"/>
    </row>
    <row r="384">
      <c r="B384" s="11"/>
      <c r="C384" s="11"/>
      <c r="D384" s="11"/>
      <c r="E384" s="15"/>
      <c r="F384" s="11"/>
      <c r="G384" s="11"/>
      <c r="H384" s="11"/>
      <c r="I384" s="11"/>
      <c r="J384" s="12"/>
      <c r="K384" s="13"/>
      <c r="L384" s="12"/>
      <c r="M384" s="13"/>
      <c r="N384" s="13"/>
      <c r="O384" s="13"/>
    </row>
    <row r="385">
      <c r="B385" s="11"/>
      <c r="C385" s="11"/>
      <c r="D385" s="11"/>
      <c r="E385" s="15"/>
      <c r="F385" s="11"/>
      <c r="G385" s="11"/>
      <c r="H385" s="11"/>
      <c r="I385" s="11"/>
      <c r="J385" s="12"/>
      <c r="K385" s="13"/>
      <c r="L385" s="12"/>
      <c r="M385" s="13"/>
      <c r="N385" s="13"/>
      <c r="O385" s="13"/>
    </row>
    <row r="386">
      <c r="B386" s="11"/>
      <c r="C386" s="11"/>
      <c r="D386" s="11"/>
      <c r="E386" s="15"/>
      <c r="F386" s="11"/>
      <c r="G386" s="11"/>
      <c r="H386" s="11"/>
      <c r="I386" s="11"/>
      <c r="J386" s="12"/>
      <c r="K386" s="13"/>
      <c r="L386" s="12"/>
      <c r="M386" s="13"/>
      <c r="N386" s="13"/>
      <c r="O386" s="13"/>
    </row>
    <row r="387">
      <c r="B387" s="11"/>
      <c r="C387" s="11"/>
      <c r="D387" s="11"/>
      <c r="E387" s="15"/>
      <c r="F387" s="11"/>
      <c r="G387" s="11"/>
      <c r="H387" s="11"/>
      <c r="I387" s="11"/>
      <c r="J387" s="12"/>
      <c r="K387" s="13"/>
      <c r="L387" s="12"/>
      <c r="M387" s="13"/>
      <c r="N387" s="13"/>
      <c r="O387" s="13"/>
    </row>
    <row r="388">
      <c r="B388" s="11"/>
      <c r="C388" s="11"/>
      <c r="D388" s="11"/>
      <c r="E388" s="15"/>
      <c r="F388" s="11"/>
      <c r="G388" s="11"/>
      <c r="H388" s="11"/>
      <c r="I388" s="11"/>
      <c r="J388" s="12"/>
      <c r="K388" s="13"/>
      <c r="L388" s="12"/>
      <c r="M388" s="13"/>
      <c r="N388" s="13"/>
      <c r="O388" s="13"/>
    </row>
    <row r="389">
      <c r="B389" s="11"/>
      <c r="C389" s="11"/>
      <c r="D389" s="11"/>
      <c r="E389" s="15"/>
      <c r="F389" s="11"/>
      <c r="G389" s="11"/>
      <c r="H389" s="11"/>
      <c r="I389" s="11"/>
      <c r="J389" s="12"/>
      <c r="K389" s="13"/>
      <c r="L389" s="12"/>
      <c r="M389" s="13"/>
      <c r="N389" s="13"/>
      <c r="O389" s="13"/>
    </row>
    <row r="390">
      <c r="B390" s="11"/>
      <c r="C390" s="11"/>
      <c r="D390" s="11"/>
      <c r="E390" s="15"/>
      <c r="F390" s="11"/>
      <c r="G390" s="11"/>
      <c r="H390" s="11"/>
      <c r="I390" s="11"/>
      <c r="J390" s="12"/>
      <c r="K390" s="13"/>
      <c r="L390" s="12"/>
      <c r="M390" s="13"/>
      <c r="N390" s="13"/>
      <c r="O390" s="13"/>
    </row>
    <row r="391">
      <c r="B391" s="11"/>
      <c r="C391" s="11"/>
      <c r="D391" s="11"/>
      <c r="E391" s="15"/>
      <c r="F391" s="11"/>
      <c r="G391" s="11"/>
      <c r="H391" s="11"/>
      <c r="I391" s="11"/>
      <c r="J391" s="12"/>
      <c r="K391" s="13"/>
      <c r="L391" s="12"/>
      <c r="M391" s="13"/>
      <c r="N391" s="13"/>
      <c r="O391" s="13"/>
    </row>
    <row r="392">
      <c r="B392" s="11"/>
      <c r="C392" s="11"/>
      <c r="D392" s="11"/>
      <c r="E392" s="15"/>
      <c r="F392" s="11"/>
      <c r="G392" s="11"/>
      <c r="H392" s="11"/>
      <c r="I392" s="11"/>
      <c r="J392" s="12"/>
      <c r="K392" s="13"/>
      <c r="L392" s="12"/>
      <c r="M392" s="13"/>
      <c r="N392" s="13"/>
      <c r="O392" s="13"/>
    </row>
    <row r="393">
      <c r="B393" s="11"/>
      <c r="C393" s="11"/>
      <c r="D393" s="11"/>
      <c r="E393" s="15"/>
      <c r="F393" s="11"/>
      <c r="G393" s="11"/>
      <c r="H393" s="11"/>
      <c r="I393" s="11"/>
      <c r="J393" s="12"/>
      <c r="K393" s="13"/>
      <c r="L393" s="12"/>
      <c r="M393" s="13"/>
      <c r="N393" s="13"/>
      <c r="O393" s="13"/>
    </row>
    <row r="394">
      <c r="B394" s="11"/>
      <c r="C394" s="11"/>
      <c r="D394" s="11"/>
      <c r="E394" s="15"/>
      <c r="F394" s="11"/>
      <c r="G394" s="11"/>
      <c r="H394" s="11"/>
      <c r="I394" s="11"/>
      <c r="J394" s="12"/>
      <c r="K394" s="13"/>
      <c r="L394" s="12"/>
      <c r="M394" s="13"/>
      <c r="N394" s="13"/>
      <c r="O394" s="13"/>
    </row>
    <row r="395">
      <c r="B395" s="11"/>
      <c r="C395" s="11"/>
      <c r="D395" s="11"/>
      <c r="E395" s="15"/>
      <c r="F395" s="11"/>
      <c r="G395" s="11"/>
      <c r="H395" s="11"/>
      <c r="I395" s="11"/>
      <c r="J395" s="12"/>
      <c r="K395" s="13"/>
      <c r="L395" s="12"/>
      <c r="M395" s="13"/>
      <c r="N395" s="13"/>
      <c r="O395" s="13"/>
    </row>
    <row r="396">
      <c r="B396" s="11"/>
      <c r="C396" s="11"/>
      <c r="D396" s="11"/>
      <c r="E396" s="15"/>
      <c r="F396" s="11"/>
      <c r="G396" s="11"/>
      <c r="H396" s="11"/>
      <c r="I396" s="11"/>
      <c r="J396" s="12"/>
      <c r="K396" s="13"/>
      <c r="L396" s="12"/>
      <c r="M396" s="13"/>
      <c r="N396" s="13"/>
      <c r="O396" s="13"/>
    </row>
    <row r="397">
      <c r="B397" s="11"/>
      <c r="C397" s="11"/>
      <c r="D397" s="11"/>
      <c r="E397" s="15"/>
      <c r="F397" s="11"/>
      <c r="G397" s="11"/>
      <c r="H397" s="11"/>
      <c r="I397" s="11"/>
      <c r="J397" s="12"/>
      <c r="K397" s="13"/>
      <c r="L397" s="12"/>
      <c r="M397" s="13"/>
      <c r="N397" s="13"/>
      <c r="O397" s="13"/>
    </row>
    <row r="398">
      <c r="B398" s="11"/>
      <c r="C398" s="11"/>
      <c r="D398" s="11"/>
      <c r="E398" s="15"/>
      <c r="F398" s="11"/>
      <c r="G398" s="11"/>
      <c r="H398" s="11"/>
      <c r="I398" s="11"/>
      <c r="J398" s="12"/>
      <c r="K398" s="13"/>
      <c r="L398" s="12"/>
      <c r="M398" s="13"/>
      <c r="N398" s="13"/>
      <c r="O398" s="13"/>
    </row>
    <row r="399">
      <c r="B399" s="11"/>
      <c r="C399" s="11"/>
      <c r="D399" s="11"/>
      <c r="E399" s="15"/>
      <c r="F399" s="11"/>
      <c r="G399" s="11"/>
      <c r="H399" s="11"/>
      <c r="I399" s="11"/>
      <c r="J399" s="12"/>
      <c r="K399" s="13"/>
      <c r="L399" s="12"/>
      <c r="M399" s="13"/>
      <c r="N399" s="13"/>
      <c r="O399" s="13"/>
    </row>
    <row r="400">
      <c r="B400" s="11"/>
      <c r="C400" s="11"/>
      <c r="D400" s="11"/>
      <c r="E400" s="15"/>
      <c r="F400" s="11"/>
      <c r="G400" s="11"/>
      <c r="H400" s="11"/>
      <c r="I400" s="11"/>
      <c r="J400" s="12"/>
      <c r="K400" s="13"/>
      <c r="L400" s="12"/>
      <c r="M400" s="13"/>
      <c r="N400" s="13"/>
      <c r="O400" s="13"/>
    </row>
    <row r="401">
      <c r="B401" s="11"/>
      <c r="C401" s="11"/>
      <c r="D401" s="11"/>
      <c r="E401" s="15"/>
      <c r="F401" s="11"/>
      <c r="G401" s="11"/>
      <c r="H401" s="11"/>
      <c r="I401" s="11"/>
      <c r="J401" s="12"/>
      <c r="K401" s="13"/>
      <c r="L401" s="12"/>
      <c r="M401" s="13"/>
      <c r="N401" s="13"/>
      <c r="O401" s="13"/>
    </row>
    <row r="402">
      <c r="B402" s="11"/>
      <c r="C402" s="11"/>
      <c r="D402" s="11"/>
      <c r="E402" s="15"/>
      <c r="F402" s="11"/>
      <c r="G402" s="11"/>
      <c r="H402" s="11"/>
      <c r="I402" s="11"/>
      <c r="J402" s="12"/>
      <c r="K402" s="13"/>
      <c r="L402" s="12"/>
      <c r="M402" s="13"/>
      <c r="N402" s="13"/>
      <c r="O402" s="13"/>
    </row>
    <row r="403">
      <c r="B403" s="11"/>
      <c r="C403" s="11"/>
      <c r="D403" s="11"/>
      <c r="E403" s="15"/>
      <c r="F403" s="11"/>
      <c r="G403" s="11"/>
      <c r="H403" s="11"/>
      <c r="I403" s="11"/>
      <c r="J403" s="12"/>
      <c r="K403" s="13"/>
      <c r="L403" s="12"/>
      <c r="M403" s="13"/>
      <c r="N403" s="13"/>
      <c r="O403" s="13"/>
    </row>
    <row r="404">
      <c r="B404" s="11"/>
      <c r="C404" s="11"/>
      <c r="D404" s="11"/>
      <c r="E404" s="15"/>
      <c r="F404" s="11"/>
      <c r="G404" s="11"/>
      <c r="H404" s="11"/>
      <c r="I404" s="11"/>
      <c r="J404" s="12"/>
      <c r="K404" s="13"/>
      <c r="L404" s="12"/>
      <c r="M404" s="13"/>
      <c r="N404" s="13"/>
      <c r="O404" s="13"/>
    </row>
    <row r="405">
      <c r="B405" s="11"/>
      <c r="C405" s="11"/>
      <c r="D405" s="11"/>
      <c r="E405" s="15"/>
      <c r="F405" s="11"/>
      <c r="G405" s="11"/>
      <c r="H405" s="11"/>
      <c r="I405" s="11"/>
      <c r="J405" s="12"/>
      <c r="K405" s="13"/>
      <c r="L405" s="12"/>
      <c r="M405" s="13"/>
      <c r="N405" s="13"/>
      <c r="O405" s="13"/>
    </row>
    <row r="406">
      <c r="B406" s="11"/>
      <c r="C406" s="11"/>
      <c r="D406" s="11"/>
      <c r="E406" s="15"/>
      <c r="F406" s="11"/>
      <c r="G406" s="11"/>
      <c r="H406" s="11"/>
      <c r="I406" s="11"/>
      <c r="J406" s="12"/>
      <c r="K406" s="13"/>
      <c r="L406" s="12"/>
      <c r="M406" s="13"/>
      <c r="N406" s="13"/>
      <c r="O406" s="13"/>
    </row>
    <row r="407">
      <c r="B407" s="11"/>
      <c r="C407" s="11"/>
      <c r="D407" s="11"/>
      <c r="E407" s="15"/>
      <c r="F407" s="11"/>
      <c r="G407" s="11"/>
      <c r="H407" s="11"/>
      <c r="I407" s="11"/>
      <c r="J407" s="12"/>
      <c r="K407" s="13"/>
      <c r="L407" s="12"/>
      <c r="M407" s="13"/>
      <c r="N407" s="13"/>
      <c r="O407" s="13"/>
    </row>
    <row r="408">
      <c r="B408" s="11"/>
      <c r="C408" s="11"/>
      <c r="D408" s="11"/>
      <c r="E408" s="15"/>
      <c r="F408" s="11"/>
      <c r="G408" s="11"/>
      <c r="H408" s="11"/>
      <c r="I408" s="11"/>
      <c r="J408" s="12"/>
      <c r="K408" s="13"/>
      <c r="L408" s="12"/>
      <c r="M408" s="13"/>
      <c r="N408" s="13"/>
      <c r="O408" s="13"/>
    </row>
    <row r="409">
      <c r="B409" s="11"/>
      <c r="C409" s="11"/>
      <c r="D409" s="11"/>
      <c r="E409" s="15"/>
      <c r="F409" s="11"/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B410" s="11"/>
      <c r="C410" s="11"/>
      <c r="D410" s="11"/>
      <c r="E410" s="15"/>
      <c r="F410" s="11"/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B411" s="11"/>
      <c r="C411" s="11"/>
      <c r="D411" s="11"/>
      <c r="E411" s="15"/>
      <c r="F411" s="11"/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B412" s="11"/>
      <c r="C412" s="11"/>
      <c r="D412" s="11"/>
      <c r="E412" s="15"/>
      <c r="F412" s="11"/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B413" s="11"/>
      <c r="C413" s="11"/>
      <c r="D413" s="11"/>
      <c r="E413" s="15"/>
      <c r="F413" s="11"/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B414" s="11"/>
      <c r="C414" s="11"/>
      <c r="D414" s="11"/>
      <c r="E414" s="15"/>
      <c r="F414" s="11"/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B415" s="11"/>
      <c r="C415" s="11"/>
      <c r="D415" s="11"/>
      <c r="E415" s="15"/>
      <c r="F415" s="11"/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B416" s="11"/>
      <c r="C416" s="11"/>
      <c r="D416" s="11"/>
      <c r="E416" s="15"/>
      <c r="F416" s="11"/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B417" s="11"/>
      <c r="C417" s="11"/>
      <c r="D417" s="11"/>
      <c r="E417" s="15"/>
      <c r="F417" s="11"/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B418" s="11"/>
      <c r="C418" s="11"/>
      <c r="D418" s="11"/>
      <c r="E418" s="15"/>
      <c r="F418" s="11"/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B419" s="11"/>
      <c r="C419" s="11"/>
      <c r="D419" s="11"/>
      <c r="E419" s="15"/>
      <c r="F419" s="11"/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B420" s="11"/>
      <c r="C420" s="11"/>
      <c r="D420" s="11"/>
      <c r="E420" s="15"/>
      <c r="F420" s="11"/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B421" s="11"/>
      <c r="C421" s="11"/>
      <c r="D421" s="11"/>
      <c r="E421" s="15"/>
      <c r="F421" s="11"/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B422" s="11"/>
      <c r="C422" s="11"/>
      <c r="D422" s="11"/>
      <c r="E422" s="15"/>
      <c r="F422" s="11"/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B423" s="11"/>
      <c r="C423" s="11"/>
      <c r="D423" s="11"/>
      <c r="E423" s="15"/>
      <c r="F423" s="11"/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B424" s="11"/>
      <c r="C424" s="11"/>
      <c r="D424" s="11"/>
      <c r="E424" s="15"/>
      <c r="F424" s="11"/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B425" s="11"/>
      <c r="C425" s="11"/>
      <c r="D425" s="11"/>
      <c r="E425" s="15"/>
      <c r="F425" s="11"/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B426" s="11"/>
      <c r="C426" s="11"/>
      <c r="D426" s="11"/>
      <c r="E426" s="15"/>
      <c r="F426" s="11"/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B427" s="11"/>
      <c r="C427" s="11"/>
      <c r="D427" s="11"/>
      <c r="E427" s="15"/>
      <c r="F427" s="11"/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B428" s="11"/>
      <c r="C428" s="11"/>
      <c r="D428" s="11"/>
      <c r="E428" s="15"/>
      <c r="F428" s="11"/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B429" s="11"/>
      <c r="C429" s="11"/>
      <c r="D429" s="11"/>
      <c r="E429" s="15"/>
      <c r="F429" s="11"/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B430" s="11"/>
      <c r="C430" s="11"/>
      <c r="D430" s="11"/>
      <c r="E430" s="15"/>
      <c r="F430" s="11"/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B431" s="11"/>
      <c r="C431" s="11"/>
      <c r="D431" s="11"/>
      <c r="E431" s="15"/>
      <c r="F431" s="11"/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B432" s="11"/>
      <c r="C432" s="11"/>
      <c r="D432" s="11"/>
      <c r="E432" s="15"/>
      <c r="F432" s="11"/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B433" s="11"/>
      <c r="C433" s="11"/>
      <c r="D433" s="11"/>
      <c r="E433" s="15"/>
      <c r="F433" s="11"/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B434" s="11"/>
      <c r="C434" s="11"/>
      <c r="D434" s="11"/>
      <c r="E434" s="15"/>
      <c r="F434" s="11"/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B435" s="11"/>
      <c r="C435" s="11"/>
      <c r="D435" s="11"/>
      <c r="E435" s="15"/>
      <c r="F435" s="11"/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B436" s="11"/>
      <c r="C436" s="11"/>
      <c r="D436" s="11"/>
      <c r="E436" s="15"/>
      <c r="F436" s="11"/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B437" s="11"/>
      <c r="C437" s="11"/>
      <c r="D437" s="11"/>
      <c r="E437" s="15"/>
      <c r="F437" s="11"/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B438" s="11"/>
      <c r="C438" s="11"/>
      <c r="D438" s="11"/>
      <c r="E438" s="15"/>
      <c r="F438" s="11"/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B439" s="11"/>
      <c r="C439" s="11"/>
      <c r="D439" s="11"/>
      <c r="E439" s="15"/>
      <c r="F439" s="11"/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B440" s="11"/>
      <c r="C440" s="11"/>
      <c r="D440" s="11"/>
      <c r="E440" s="15"/>
      <c r="F440" s="11"/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B441" s="11"/>
      <c r="C441" s="11"/>
      <c r="D441" s="11"/>
      <c r="E441" s="15"/>
      <c r="F441" s="11"/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B442" s="11"/>
      <c r="C442" s="11"/>
      <c r="D442" s="11"/>
      <c r="E442" s="15"/>
      <c r="F442" s="11"/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B443" s="11"/>
      <c r="C443" s="11"/>
      <c r="D443" s="11"/>
      <c r="E443" s="15"/>
      <c r="F443" s="11"/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B444" s="11"/>
      <c r="C444" s="11"/>
      <c r="D444" s="11"/>
      <c r="E444" s="15"/>
      <c r="F444" s="11"/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B445" s="11"/>
      <c r="C445" s="11"/>
      <c r="D445" s="11"/>
      <c r="E445" s="15"/>
      <c r="F445" s="11"/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B446" s="11"/>
      <c r="C446" s="11"/>
      <c r="D446" s="11"/>
      <c r="E446" s="15"/>
      <c r="F446" s="11"/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B447" s="11"/>
      <c r="C447" s="11"/>
      <c r="D447" s="11"/>
      <c r="E447" s="15"/>
      <c r="F447" s="11"/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B448" s="11"/>
      <c r="C448" s="11"/>
      <c r="D448" s="11"/>
      <c r="E448" s="15"/>
      <c r="F448" s="11"/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B449" s="11"/>
      <c r="C449" s="11"/>
      <c r="D449" s="11"/>
      <c r="E449" s="15"/>
      <c r="F449" s="11"/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B450" s="11"/>
      <c r="C450" s="11"/>
      <c r="D450" s="11"/>
      <c r="E450" s="15"/>
      <c r="F450" s="11"/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B451" s="11"/>
      <c r="C451" s="11"/>
      <c r="D451" s="11"/>
      <c r="E451" s="15"/>
      <c r="F451" s="11"/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B452" s="11"/>
      <c r="C452" s="11"/>
      <c r="D452" s="11"/>
      <c r="E452" s="15"/>
      <c r="F452" s="11"/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B453" s="11"/>
      <c r="C453" s="11"/>
      <c r="D453" s="11"/>
      <c r="E453" s="15"/>
      <c r="F453" s="11"/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B454" s="11"/>
      <c r="C454" s="11"/>
      <c r="D454" s="11"/>
      <c r="E454" s="15"/>
      <c r="F454" s="11"/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B455" s="11"/>
      <c r="C455" s="11"/>
      <c r="D455" s="11"/>
      <c r="E455" s="15"/>
      <c r="F455" s="11"/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B456" s="11"/>
      <c r="C456" s="11"/>
      <c r="D456" s="11"/>
      <c r="E456" s="15"/>
      <c r="F456" s="11"/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B457" s="11"/>
      <c r="C457" s="11"/>
      <c r="D457" s="11"/>
      <c r="E457" s="15"/>
      <c r="F457" s="11"/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B458" s="11"/>
      <c r="C458" s="11"/>
      <c r="D458" s="11"/>
      <c r="E458" s="15"/>
      <c r="F458" s="11"/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B459" s="11"/>
      <c r="C459" s="11"/>
      <c r="D459" s="11"/>
      <c r="E459" s="15"/>
      <c r="F459" s="11"/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B460" s="11"/>
      <c r="C460" s="11"/>
      <c r="D460" s="11"/>
      <c r="E460" s="15"/>
      <c r="F460" s="11"/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B461" s="11"/>
      <c r="C461" s="11"/>
      <c r="D461" s="11"/>
      <c r="E461" s="15"/>
      <c r="F461" s="11"/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B462" s="11"/>
      <c r="C462" s="11"/>
      <c r="D462" s="11"/>
      <c r="E462" s="15"/>
      <c r="F462" s="11"/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B463" s="11"/>
      <c r="C463" s="11"/>
      <c r="D463" s="11"/>
      <c r="E463" s="15"/>
      <c r="F463" s="11"/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B464" s="11"/>
      <c r="C464" s="11"/>
      <c r="D464" s="11"/>
      <c r="E464" s="15"/>
      <c r="F464" s="11"/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B465" s="11"/>
      <c r="C465" s="11"/>
      <c r="D465" s="11"/>
      <c r="E465" s="15"/>
      <c r="F465" s="11"/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B466" s="11"/>
      <c r="C466" s="11"/>
      <c r="D466" s="11"/>
      <c r="E466" s="15"/>
      <c r="F466" s="11"/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B467" s="11"/>
      <c r="C467" s="11"/>
      <c r="D467" s="11"/>
      <c r="E467" s="15"/>
      <c r="F467" s="11"/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B468" s="11"/>
      <c r="C468" s="11"/>
      <c r="D468" s="11"/>
      <c r="E468" s="15"/>
      <c r="F468" s="11"/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B469" s="11"/>
      <c r="C469" s="11"/>
      <c r="D469" s="11"/>
      <c r="E469" s="15"/>
      <c r="F469" s="11"/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B470" s="11"/>
      <c r="C470" s="11"/>
      <c r="D470" s="11"/>
      <c r="E470" s="15"/>
      <c r="F470" s="11"/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B471" s="11"/>
      <c r="C471" s="11"/>
      <c r="D471" s="11"/>
      <c r="E471" s="15"/>
      <c r="F471" s="11"/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B472" s="11"/>
      <c r="C472" s="11"/>
      <c r="D472" s="11"/>
      <c r="E472" s="15"/>
      <c r="F472" s="11"/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B473" s="11"/>
      <c r="C473" s="11"/>
      <c r="D473" s="11"/>
      <c r="E473" s="15"/>
      <c r="F473" s="11"/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B474" s="11"/>
      <c r="C474" s="11"/>
      <c r="D474" s="11"/>
      <c r="E474" s="15"/>
      <c r="F474" s="11"/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B475" s="11"/>
      <c r="C475" s="11"/>
      <c r="D475" s="11"/>
      <c r="E475" s="15"/>
      <c r="F475" s="11"/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B476" s="11"/>
      <c r="C476" s="11"/>
      <c r="D476" s="11"/>
      <c r="E476" s="15"/>
      <c r="F476" s="11"/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B477" s="11"/>
      <c r="C477" s="11"/>
      <c r="D477" s="11"/>
      <c r="E477" s="15"/>
      <c r="F477" s="11"/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B478" s="11"/>
      <c r="C478" s="11"/>
      <c r="D478" s="11"/>
      <c r="E478" s="15"/>
      <c r="F478" s="11"/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B479" s="11"/>
      <c r="C479" s="11"/>
      <c r="D479" s="11"/>
      <c r="E479" s="15"/>
      <c r="F479" s="11"/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B480" s="11"/>
      <c r="C480" s="11"/>
      <c r="D480" s="11"/>
      <c r="E480" s="15"/>
      <c r="F480" s="11"/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B481" s="11"/>
      <c r="C481" s="11"/>
      <c r="D481" s="11"/>
      <c r="E481" s="15"/>
      <c r="F481" s="11"/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B482" s="11"/>
      <c r="C482" s="11"/>
      <c r="D482" s="11"/>
      <c r="E482" s="15"/>
      <c r="F482" s="11"/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B483" s="11"/>
      <c r="C483" s="11"/>
      <c r="D483" s="11"/>
      <c r="E483" s="15"/>
      <c r="F483" s="11"/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B484" s="11"/>
      <c r="C484" s="11"/>
      <c r="D484" s="11"/>
      <c r="E484" s="15"/>
      <c r="F484" s="11"/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B485" s="11"/>
      <c r="C485" s="11"/>
      <c r="D485" s="11"/>
      <c r="E485" s="15"/>
      <c r="F485" s="11"/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B486" s="11"/>
      <c r="C486" s="11"/>
      <c r="D486" s="11"/>
      <c r="E486" s="15"/>
      <c r="F486" s="11"/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B487" s="11"/>
      <c r="C487" s="11"/>
      <c r="D487" s="11"/>
      <c r="E487" s="15"/>
      <c r="F487" s="11"/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B488" s="11"/>
      <c r="C488" s="11"/>
      <c r="D488" s="11"/>
      <c r="E488" s="15"/>
      <c r="F488" s="11"/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B489" s="11"/>
      <c r="C489" s="11"/>
      <c r="D489" s="11"/>
      <c r="E489" s="15"/>
      <c r="F489" s="11"/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B490" s="11"/>
      <c r="C490" s="11"/>
      <c r="D490" s="11"/>
      <c r="E490" s="15"/>
      <c r="F490" s="11"/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B491" s="11"/>
      <c r="C491" s="11"/>
      <c r="D491" s="11"/>
      <c r="E491" s="15"/>
      <c r="F491" s="11"/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B492" s="11"/>
      <c r="C492" s="11"/>
      <c r="D492" s="11"/>
      <c r="E492" s="15"/>
      <c r="F492" s="11"/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B493" s="11"/>
      <c r="C493" s="11"/>
      <c r="D493" s="11"/>
      <c r="E493" s="15"/>
      <c r="F493" s="11"/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B494" s="11"/>
      <c r="C494" s="11"/>
      <c r="D494" s="11"/>
      <c r="E494" s="15"/>
      <c r="F494" s="11"/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B495" s="11"/>
      <c r="C495" s="11"/>
      <c r="D495" s="11"/>
      <c r="E495" s="15"/>
      <c r="F495" s="11"/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B496" s="11"/>
      <c r="C496" s="11"/>
      <c r="D496" s="11"/>
      <c r="E496" s="15"/>
      <c r="F496" s="11"/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B497" s="11"/>
      <c r="C497" s="11"/>
      <c r="D497" s="11"/>
      <c r="E497" s="15"/>
      <c r="F497" s="11"/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B498" s="11"/>
      <c r="C498" s="11"/>
      <c r="D498" s="11"/>
      <c r="E498" s="15"/>
      <c r="F498" s="11"/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B499" s="11"/>
      <c r="C499" s="11"/>
      <c r="D499" s="11"/>
      <c r="E499" s="15"/>
      <c r="F499" s="11"/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B500" s="11"/>
      <c r="C500" s="11"/>
      <c r="D500" s="11"/>
      <c r="E500" s="15"/>
      <c r="F500" s="11"/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B501" s="11"/>
      <c r="C501" s="11"/>
      <c r="D501" s="11"/>
      <c r="E501" s="15"/>
      <c r="F501" s="11"/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B502" s="11"/>
      <c r="C502" s="11"/>
      <c r="D502" s="11"/>
      <c r="E502" s="15"/>
      <c r="F502" s="11"/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B503" s="11"/>
      <c r="C503" s="11"/>
      <c r="D503" s="11"/>
      <c r="E503" s="15"/>
      <c r="F503" s="11"/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B504" s="11"/>
      <c r="C504" s="11"/>
      <c r="D504" s="11"/>
      <c r="E504" s="15"/>
      <c r="F504" s="11"/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B505" s="11"/>
      <c r="C505" s="11"/>
      <c r="D505" s="11"/>
      <c r="E505" s="15"/>
      <c r="F505" s="11"/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B506" s="11"/>
      <c r="C506" s="11"/>
      <c r="D506" s="11"/>
      <c r="E506" s="15"/>
      <c r="F506" s="11"/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B507" s="11"/>
      <c r="C507" s="11"/>
      <c r="D507" s="11"/>
      <c r="E507" s="15"/>
      <c r="F507" s="11"/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B508" s="11"/>
      <c r="C508" s="11"/>
      <c r="D508" s="11"/>
      <c r="E508" s="15"/>
      <c r="F508" s="11"/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B509" s="11"/>
      <c r="C509" s="11"/>
      <c r="D509" s="11"/>
      <c r="E509" s="15"/>
      <c r="F509" s="11"/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B510" s="11"/>
      <c r="C510" s="11"/>
      <c r="D510" s="11"/>
      <c r="E510" s="15"/>
      <c r="F510" s="11"/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B511" s="11"/>
      <c r="C511" s="11"/>
      <c r="D511" s="11"/>
      <c r="E511" s="15"/>
      <c r="F511" s="11"/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B512" s="11"/>
      <c r="C512" s="11"/>
      <c r="D512" s="11"/>
      <c r="E512" s="15"/>
      <c r="F512" s="11"/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B513" s="11"/>
      <c r="C513" s="11"/>
      <c r="D513" s="11"/>
      <c r="E513" s="15"/>
      <c r="F513" s="11"/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B514" s="11"/>
      <c r="C514" s="11"/>
      <c r="D514" s="11"/>
      <c r="E514" s="15"/>
      <c r="F514" s="11"/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B515" s="11"/>
      <c r="C515" s="11"/>
      <c r="D515" s="11"/>
      <c r="E515" s="15"/>
      <c r="F515" s="11"/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B516" s="11"/>
      <c r="C516" s="11"/>
      <c r="D516" s="11"/>
      <c r="E516" s="15"/>
      <c r="F516" s="11"/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B517" s="11"/>
      <c r="C517" s="11"/>
      <c r="D517" s="11"/>
      <c r="E517" s="15"/>
      <c r="F517" s="11"/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B518" s="11"/>
      <c r="C518" s="11"/>
      <c r="D518" s="11"/>
      <c r="E518" s="15"/>
      <c r="F518" s="11"/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B519" s="11"/>
      <c r="C519" s="11"/>
      <c r="D519" s="11"/>
      <c r="E519" s="15"/>
      <c r="F519" s="11"/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B520" s="11"/>
      <c r="C520" s="11"/>
      <c r="D520" s="11"/>
      <c r="E520" s="15"/>
      <c r="F520" s="11"/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B521" s="11"/>
      <c r="C521" s="11"/>
      <c r="D521" s="11"/>
      <c r="E521" s="15"/>
      <c r="F521" s="11"/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B522" s="11"/>
      <c r="C522" s="11"/>
      <c r="D522" s="11"/>
      <c r="E522" s="15"/>
      <c r="F522" s="11"/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B523" s="11"/>
      <c r="C523" s="11"/>
      <c r="D523" s="11"/>
      <c r="E523" s="15"/>
      <c r="F523" s="11"/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B524" s="11"/>
      <c r="C524" s="11"/>
      <c r="D524" s="11"/>
      <c r="E524" s="15"/>
      <c r="F524" s="11"/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B525" s="11"/>
      <c r="C525" s="11"/>
      <c r="D525" s="11"/>
      <c r="E525" s="15"/>
      <c r="F525" s="11"/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B526" s="11"/>
      <c r="C526" s="11"/>
      <c r="D526" s="11"/>
      <c r="E526" s="15"/>
      <c r="F526" s="11"/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B527" s="11"/>
      <c r="C527" s="11"/>
      <c r="D527" s="11"/>
      <c r="E527" s="15"/>
      <c r="F527" s="11"/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B528" s="11"/>
      <c r="C528" s="11"/>
      <c r="D528" s="11"/>
      <c r="E528" s="15"/>
      <c r="F528" s="11"/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B529" s="11"/>
      <c r="C529" s="11"/>
      <c r="D529" s="11"/>
      <c r="E529" s="15"/>
      <c r="F529" s="11"/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B530" s="11"/>
      <c r="C530" s="11"/>
      <c r="D530" s="11"/>
      <c r="E530" s="15"/>
      <c r="F530" s="11"/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B531" s="11"/>
      <c r="C531" s="11"/>
      <c r="D531" s="11"/>
      <c r="E531" s="15"/>
      <c r="F531" s="11"/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B532" s="11"/>
      <c r="C532" s="11"/>
      <c r="D532" s="11"/>
      <c r="E532" s="15"/>
      <c r="F532" s="11"/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B533" s="11"/>
      <c r="C533" s="11"/>
      <c r="D533" s="11"/>
      <c r="E533" s="15"/>
      <c r="F533" s="11"/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B534" s="11"/>
      <c r="C534" s="11"/>
      <c r="D534" s="11"/>
      <c r="E534" s="15"/>
      <c r="F534" s="11"/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B535" s="11"/>
      <c r="C535" s="11"/>
      <c r="D535" s="11"/>
      <c r="E535" s="15"/>
      <c r="F535" s="11"/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B536" s="11"/>
      <c r="C536" s="11"/>
      <c r="D536" s="11"/>
      <c r="E536" s="15"/>
      <c r="F536" s="11"/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B537" s="11"/>
      <c r="C537" s="11"/>
      <c r="D537" s="11"/>
      <c r="E537" s="15"/>
      <c r="F537" s="11"/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B538" s="11"/>
      <c r="C538" s="11"/>
      <c r="D538" s="11"/>
      <c r="E538" s="15"/>
      <c r="F538" s="11"/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B539" s="11"/>
      <c r="C539" s="11"/>
      <c r="D539" s="11"/>
      <c r="E539" s="15"/>
      <c r="F539" s="11"/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B540" s="11"/>
      <c r="C540" s="11"/>
      <c r="D540" s="11"/>
      <c r="E540" s="15"/>
      <c r="F540" s="11"/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B541" s="11"/>
      <c r="C541" s="11"/>
      <c r="D541" s="11"/>
      <c r="E541" s="15"/>
      <c r="F541" s="11"/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B542" s="11"/>
      <c r="C542" s="11"/>
      <c r="D542" s="11"/>
      <c r="E542" s="15"/>
      <c r="F542" s="11"/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B543" s="11"/>
      <c r="C543" s="11"/>
      <c r="D543" s="11"/>
      <c r="E543" s="15"/>
      <c r="F543" s="11"/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B544" s="11"/>
      <c r="C544" s="11"/>
      <c r="D544" s="11"/>
      <c r="E544" s="15"/>
      <c r="F544" s="11"/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B545" s="11"/>
      <c r="C545" s="11"/>
      <c r="D545" s="11"/>
      <c r="E545" s="15"/>
      <c r="F545" s="11"/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B546" s="11"/>
      <c r="C546" s="11"/>
      <c r="D546" s="11"/>
      <c r="E546" s="15"/>
      <c r="F546" s="11"/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B547" s="11"/>
      <c r="C547" s="11"/>
      <c r="D547" s="11"/>
      <c r="E547" s="15"/>
      <c r="F547" s="11"/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B548" s="11"/>
      <c r="C548" s="11"/>
      <c r="D548" s="11"/>
      <c r="E548" s="15"/>
      <c r="F548" s="11"/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B549" s="11"/>
      <c r="C549" s="11"/>
      <c r="D549" s="11"/>
      <c r="E549" s="15"/>
      <c r="F549" s="11"/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B550" s="11"/>
      <c r="C550" s="11"/>
      <c r="D550" s="11"/>
      <c r="E550" s="15"/>
      <c r="F550" s="11"/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B551" s="11"/>
      <c r="C551" s="11"/>
      <c r="D551" s="11"/>
      <c r="E551" s="15"/>
      <c r="F551" s="11"/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B552" s="11"/>
      <c r="C552" s="11"/>
      <c r="D552" s="11"/>
      <c r="E552" s="15"/>
      <c r="F552" s="11"/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B553" s="11"/>
      <c r="C553" s="11"/>
      <c r="D553" s="11"/>
      <c r="E553" s="15"/>
      <c r="F553" s="11"/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B554" s="11"/>
      <c r="C554" s="11"/>
      <c r="D554" s="11"/>
      <c r="E554" s="15"/>
      <c r="F554" s="11"/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B555" s="11"/>
      <c r="C555" s="11"/>
      <c r="D555" s="11"/>
      <c r="E555" s="15"/>
      <c r="F555" s="11"/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B556" s="11"/>
      <c r="C556" s="11"/>
      <c r="D556" s="11"/>
      <c r="E556" s="15"/>
      <c r="F556" s="11"/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B557" s="11"/>
      <c r="C557" s="11"/>
      <c r="D557" s="11"/>
      <c r="E557" s="15"/>
      <c r="F557" s="11"/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B558" s="11"/>
      <c r="C558" s="11"/>
      <c r="D558" s="11"/>
      <c r="E558" s="15"/>
      <c r="F558" s="11"/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B559" s="11"/>
      <c r="C559" s="11"/>
      <c r="D559" s="11"/>
      <c r="E559" s="15"/>
      <c r="F559" s="11"/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B560" s="11"/>
      <c r="C560" s="11"/>
      <c r="D560" s="11"/>
      <c r="E560" s="15"/>
      <c r="F560" s="11"/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B561" s="11"/>
      <c r="C561" s="11"/>
      <c r="D561" s="11"/>
      <c r="E561" s="15"/>
      <c r="F561" s="11"/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B562" s="11"/>
      <c r="C562" s="11"/>
      <c r="D562" s="11"/>
      <c r="E562" s="15"/>
      <c r="F562" s="11"/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B563" s="11"/>
      <c r="C563" s="11"/>
      <c r="D563" s="11"/>
      <c r="E563" s="15"/>
      <c r="F563" s="11"/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B564" s="11"/>
      <c r="C564" s="11"/>
      <c r="D564" s="11"/>
      <c r="E564" s="15"/>
      <c r="F564" s="11"/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B565" s="11"/>
      <c r="C565" s="11"/>
      <c r="D565" s="11"/>
      <c r="E565" s="15"/>
      <c r="F565" s="11"/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B566" s="11"/>
      <c r="C566" s="11"/>
      <c r="D566" s="11"/>
      <c r="E566" s="15"/>
      <c r="F566" s="11"/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B567" s="11"/>
      <c r="C567" s="11"/>
      <c r="D567" s="11"/>
      <c r="E567" s="15"/>
      <c r="F567" s="11"/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B568" s="11"/>
      <c r="C568" s="11"/>
      <c r="D568" s="11"/>
      <c r="E568" s="15"/>
      <c r="F568" s="11"/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B569" s="11"/>
      <c r="C569" s="11"/>
      <c r="D569" s="11"/>
      <c r="E569" s="15"/>
      <c r="F569" s="11"/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B570" s="11"/>
      <c r="C570" s="11"/>
      <c r="D570" s="11"/>
      <c r="E570" s="15"/>
      <c r="F570" s="11"/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B571" s="11"/>
      <c r="C571" s="11"/>
      <c r="D571" s="11"/>
      <c r="E571" s="15"/>
      <c r="F571" s="11"/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B572" s="11"/>
      <c r="C572" s="11"/>
      <c r="D572" s="11"/>
      <c r="E572" s="15"/>
      <c r="F572" s="11"/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B573" s="11"/>
      <c r="C573" s="11"/>
      <c r="D573" s="11"/>
      <c r="E573" s="15"/>
      <c r="F573" s="11"/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B574" s="11"/>
      <c r="C574" s="11"/>
      <c r="D574" s="11"/>
      <c r="E574" s="15"/>
      <c r="F574" s="11"/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B575" s="11"/>
      <c r="C575" s="11"/>
      <c r="D575" s="11"/>
      <c r="E575" s="15"/>
      <c r="F575" s="11"/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B576" s="11"/>
      <c r="C576" s="11"/>
      <c r="D576" s="11"/>
      <c r="E576" s="15"/>
      <c r="F576" s="11"/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B577" s="11"/>
      <c r="C577" s="11"/>
      <c r="D577" s="11"/>
      <c r="E577" s="15"/>
      <c r="F577" s="11"/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B578" s="11"/>
      <c r="C578" s="11"/>
      <c r="D578" s="11"/>
      <c r="E578" s="15"/>
      <c r="F578" s="11"/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B579" s="11"/>
      <c r="C579" s="11"/>
      <c r="D579" s="11"/>
      <c r="E579" s="15"/>
      <c r="F579" s="11"/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B580" s="11"/>
      <c r="C580" s="11"/>
      <c r="D580" s="11"/>
      <c r="E580" s="15"/>
      <c r="F580" s="11"/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B581" s="11"/>
      <c r="C581" s="11"/>
      <c r="D581" s="11"/>
      <c r="E581" s="15"/>
      <c r="F581" s="11"/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B582" s="11"/>
      <c r="C582" s="11"/>
      <c r="D582" s="11"/>
      <c r="E582" s="15"/>
      <c r="F582" s="11"/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B583" s="11"/>
      <c r="C583" s="11"/>
      <c r="D583" s="11"/>
      <c r="E583" s="15"/>
      <c r="F583" s="11"/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B584" s="11"/>
      <c r="C584" s="11"/>
      <c r="D584" s="11"/>
      <c r="E584" s="15"/>
      <c r="F584" s="11"/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B585" s="11"/>
      <c r="C585" s="11"/>
      <c r="D585" s="11"/>
      <c r="E585" s="15"/>
      <c r="F585" s="11"/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B586" s="11"/>
      <c r="C586" s="11"/>
      <c r="D586" s="11"/>
      <c r="E586" s="15"/>
      <c r="F586" s="11"/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B587" s="11"/>
      <c r="C587" s="11"/>
      <c r="D587" s="11"/>
      <c r="E587" s="15"/>
      <c r="F587" s="11"/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B588" s="11"/>
      <c r="C588" s="11"/>
      <c r="D588" s="11"/>
      <c r="E588" s="15"/>
      <c r="F588" s="11"/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B589" s="11"/>
      <c r="C589" s="11"/>
      <c r="D589" s="11"/>
      <c r="E589" s="15"/>
      <c r="F589" s="11"/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B590" s="11"/>
      <c r="C590" s="11"/>
      <c r="D590" s="11"/>
      <c r="E590" s="15"/>
      <c r="F590" s="11"/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B591" s="11"/>
      <c r="C591" s="11"/>
      <c r="D591" s="11"/>
      <c r="E591" s="15"/>
      <c r="F591" s="11"/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B592" s="11"/>
      <c r="C592" s="11"/>
      <c r="D592" s="11"/>
      <c r="E592" s="15"/>
      <c r="F592" s="11"/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B593" s="11"/>
      <c r="C593" s="11"/>
      <c r="D593" s="11"/>
      <c r="E593" s="15"/>
      <c r="F593" s="11"/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B594" s="11"/>
      <c r="C594" s="11"/>
      <c r="D594" s="11"/>
      <c r="E594" s="15"/>
      <c r="F594" s="11"/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B595" s="11"/>
      <c r="C595" s="11"/>
      <c r="D595" s="11"/>
      <c r="E595" s="15"/>
      <c r="F595" s="11"/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B596" s="11"/>
      <c r="C596" s="11"/>
      <c r="D596" s="11"/>
      <c r="E596" s="15"/>
      <c r="F596" s="11"/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B597" s="11"/>
      <c r="C597" s="11"/>
      <c r="D597" s="11"/>
      <c r="E597" s="15"/>
      <c r="F597" s="11"/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B598" s="11"/>
      <c r="C598" s="11"/>
      <c r="D598" s="11"/>
      <c r="E598" s="15"/>
      <c r="F598" s="11"/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B599" s="11"/>
      <c r="C599" s="11"/>
      <c r="D599" s="11"/>
      <c r="E599" s="15"/>
      <c r="F599" s="11"/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B600" s="11"/>
      <c r="C600" s="11"/>
      <c r="D600" s="11"/>
      <c r="E600" s="15"/>
      <c r="F600" s="11"/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B601" s="11"/>
      <c r="C601" s="11"/>
      <c r="D601" s="11"/>
      <c r="E601" s="15"/>
      <c r="F601" s="11"/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B602" s="11"/>
      <c r="C602" s="11"/>
      <c r="D602" s="11"/>
      <c r="E602" s="15"/>
      <c r="F602" s="11"/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B603" s="11"/>
      <c r="C603" s="11"/>
      <c r="D603" s="11"/>
      <c r="E603" s="15"/>
      <c r="F603" s="11"/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B604" s="11"/>
      <c r="C604" s="11"/>
      <c r="D604" s="11"/>
      <c r="E604" s="15"/>
      <c r="F604" s="11"/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B605" s="11"/>
      <c r="C605" s="11"/>
      <c r="D605" s="11"/>
      <c r="E605" s="15"/>
      <c r="F605" s="11"/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B606" s="11"/>
      <c r="C606" s="11"/>
      <c r="D606" s="11"/>
      <c r="E606" s="15"/>
      <c r="F606" s="11"/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B607" s="11"/>
      <c r="C607" s="11"/>
      <c r="D607" s="11"/>
      <c r="E607" s="15"/>
      <c r="F607" s="11"/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B608" s="11"/>
      <c r="C608" s="11"/>
      <c r="D608" s="11"/>
      <c r="E608" s="15"/>
      <c r="F608" s="11"/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B609" s="11"/>
      <c r="C609" s="11"/>
      <c r="D609" s="11"/>
      <c r="E609" s="15"/>
      <c r="F609" s="11"/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B610" s="11"/>
      <c r="C610" s="11"/>
      <c r="D610" s="11"/>
      <c r="E610" s="15"/>
      <c r="F610" s="11"/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B611" s="11"/>
      <c r="C611" s="11"/>
      <c r="D611" s="11"/>
      <c r="E611" s="15"/>
      <c r="F611" s="11"/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B612" s="11"/>
      <c r="C612" s="11"/>
      <c r="D612" s="11"/>
      <c r="E612" s="15"/>
      <c r="F612" s="11"/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B613" s="11"/>
      <c r="C613" s="11"/>
      <c r="D613" s="11"/>
      <c r="E613" s="15"/>
      <c r="F613" s="11"/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B614" s="11"/>
      <c r="C614" s="11"/>
      <c r="D614" s="11"/>
      <c r="E614" s="15"/>
      <c r="F614" s="11"/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B615" s="11"/>
      <c r="C615" s="11"/>
      <c r="D615" s="11"/>
      <c r="E615" s="15"/>
      <c r="F615" s="11"/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B616" s="11"/>
      <c r="C616" s="11"/>
      <c r="D616" s="11"/>
      <c r="E616" s="15"/>
      <c r="F616" s="11"/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B617" s="11"/>
      <c r="C617" s="11"/>
      <c r="D617" s="11"/>
      <c r="E617" s="15"/>
      <c r="F617" s="11"/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B618" s="11"/>
      <c r="C618" s="11"/>
      <c r="D618" s="11"/>
      <c r="E618" s="15"/>
      <c r="F618" s="11"/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B619" s="11"/>
      <c r="C619" s="11"/>
      <c r="D619" s="11"/>
      <c r="E619" s="15"/>
      <c r="F619" s="11"/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B620" s="11"/>
      <c r="C620" s="11"/>
      <c r="D620" s="11"/>
      <c r="E620" s="15"/>
      <c r="F620" s="11"/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B621" s="11"/>
      <c r="C621" s="11"/>
      <c r="D621" s="11"/>
      <c r="E621" s="15"/>
      <c r="F621" s="11"/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B622" s="11"/>
      <c r="C622" s="11"/>
      <c r="D622" s="11"/>
      <c r="E622" s="15"/>
      <c r="F622" s="11"/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B623" s="11"/>
      <c r="C623" s="11"/>
      <c r="D623" s="11"/>
      <c r="E623" s="15"/>
      <c r="F623" s="11"/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B624" s="11"/>
      <c r="C624" s="11"/>
      <c r="D624" s="11"/>
      <c r="E624" s="15"/>
      <c r="F624" s="11"/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B625" s="11"/>
      <c r="C625" s="11"/>
      <c r="D625" s="11"/>
      <c r="E625" s="15"/>
      <c r="F625" s="11"/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B626" s="11"/>
      <c r="C626" s="11"/>
      <c r="D626" s="11"/>
      <c r="E626" s="15"/>
      <c r="F626" s="11"/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B627" s="11"/>
      <c r="C627" s="11"/>
      <c r="D627" s="11"/>
      <c r="E627" s="15"/>
      <c r="F627" s="11"/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B628" s="11"/>
      <c r="C628" s="11"/>
      <c r="D628" s="11"/>
      <c r="E628" s="15"/>
      <c r="F628" s="11"/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B629" s="11"/>
      <c r="C629" s="11"/>
      <c r="D629" s="11"/>
      <c r="E629" s="15"/>
      <c r="F629" s="11"/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B630" s="11"/>
      <c r="C630" s="11"/>
      <c r="D630" s="11"/>
      <c r="E630" s="15"/>
      <c r="F630" s="11"/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B631" s="11"/>
      <c r="C631" s="11"/>
      <c r="D631" s="11"/>
      <c r="E631" s="15"/>
      <c r="F631" s="11"/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B632" s="11"/>
      <c r="C632" s="11"/>
      <c r="D632" s="11"/>
      <c r="E632" s="15"/>
      <c r="F632" s="11"/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B633" s="11"/>
      <c r="C633" s="11"/>
      <c r="D633" s="11"/>
      <c r="E633" s="15"/>
      <c r="F633" s="11"/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B634" s="11"/>
      <c r="C634" s="11"/>
      <c r="D634" s="11"/>
      <c r="E634" s="15"/>
      <c r="F634" s="11"/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B635" s="11"/>
      <c r="C635" s="11"/>
      <c r="D635" s="11"/>
      <c r="E635" s="15"/>
      <c r="F635" s="11"/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B636" s="11"/>
      <c r="C636" s="11"/>
      <c r="D636" s="11"/>
      <c r="E636" s="15"/>
      <c r="F636" s="11"/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B637" s="11"/>
      <c r="C637" s="11"/>
      <c r="D637" s="11"/>
      <c r="E637" s="15"/>
      <c r="F637" s="11"/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B638" s="11"/>
      <c r="C638" s="11"/>
      <c r="D638" s="11"/>
      <c r="E638" s="15"/>
      <c r="F638" s="11"/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B639" s="11"/>
      <c r="C639" s="11"/>
      <c r="D639" s="11"/>
      <c r="E639" s="15"/>
      <c r="F639" s="11"/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B640" s="11"/>
      <c r="C640" s="11"/>
      <c r="D640" s="11"/>
      <c r="E640" s="15"/>
      <c r="F640" s="11"/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B641" s="11"/>
      <c r="C641" s="11"/>
      <c r="D641" s="11"/>
      <c r="E641" s="15"/>
      <c r="F641" s="11"/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B642" s="11"/>
      <c r="C642" s="11"/>
      <c r="D642" s="11"/>
      <c r="E642" s="15"/>
      <c r="F642" s="11"/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B643" s="11"/>
      <c r="C643" s="11"/>
      <c r="D643" s="11"/>
      <c r="E643" s="15"/>
      <c r="F643" s="11"/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B644" s="11"/>
      <c r="C644" s="11"/>
      <c r="D644" s="11"/>
      <c r="E644" s="15"/>
      <c r="F644" s="11"/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B645" s="11"/>
      <c r="C645" s="11"/>
      <c r="D645" s="11"/>
      <c r="E645" s="15"/>
      <c r="F645" s="11"/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B646" s="11"/>
      <c r="C646" s="11"/>
      <c r="D646" s="11"/>
      <c r="E646" s="15"/>
      <c r="F646" s="11"/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B647" s="11"/>
      <c r="C647" s="11"/>
      <c r="D647" s="11"/>
      <c r="E647" s="15"/>
      <c r="F647" s="11"/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B648" s="11"/>
      <c r="C648" s="11"/>
      <c r="D648" s="11"/>
      <c r="E648" s="15"/>
      <c r="F648" s="11"/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B649" s="11"/>
      <c r="C649" s="11"/>
      <c r="D649" s="11"/>
      <c r="E649" s="15"/>
      <c r="F649" s="11"/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B650" s="11"/>
      <c r="C650" s="11"/>
      <c r="D650" s="11"/>
      <c r="E650" s="15"/>
      <c r="F650" s="11"/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B651" s="11"/>
      <c r="C651" s="11"/>
      <c r="D651" s="11"/>
      <c r="E651" s="15"/>
      <c r="F651" s="11"/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B652" s="11"/>
      <c r="C652" s="11"/>
      <c r="D652" s="11"/>
      <c r="E652" s="15"/>
      <c r="F652" s="11"/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B653" s="11"/>
      <c r="C653" s="11"/>
      <c r="D653" s="11"/>
      <c r="E653" s="15"/>
      <c r="F653" s="11"/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B654" s="11"/>
      <c r="C654" s="11"/>
      <c r="D654" s="11"/>
      <c r="E654" s="15"/>
      <c r="F654" s="11"/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B655" s="11"/>
      <c r="C655" s="11"/>
      <c r="D655" s="11"/>
      <c r="E655" s="15"/>
      <c r="F655" s="11"/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B656" s="11"/>
      <c r="C656" s="11"/>
      <c r="D656" s="11"/>
      <c r="E656" s="15"/>
      <c r="F656" s="11"/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B657" s="11"/>
      <c r="C657" s="11"/>
      <c r="D657" s="11"/>
      <c r="E657" s="15"/>
      <c r="F657" s="11"/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B658" s="11"/>
      <c r="C658" s="11"/>
      <c r="D658" s="11"/>
      <c r="E658" s="15"/>
      <c r="F658" s="11"/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B659" s="11"/>
      <c r="C659" s="11"/>
      <c r="D659" s="11"/>
      <c r="E659" s="15"/>
      <c r="F659" s="11"/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B660" s="11"/>
      <c r="C660" s="11"/>
      <c r="D660" s="11"/>
      <c r="E660" s="15"/>
      <c r="F660" s="11"/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B661" s="11"/>
      <c r="C661" s="11"/>
      <c r="D661" s="11"/>
      <c r="E661" s="15"/>
      <c r="F661" s="11"/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B662" s="11"/>
      <c r="C662" s="11"/>
      <c r="D662" s="11"/>
      <c r="E662" s="15"/>
      <c r="F662" s="11"/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B663" s="11"/>
      <c r="C663" s="11"/>
      <c r="D663" s="11"/>
      <c r="E663" s="15"/>
      <c r="F663" s="11"/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B664" s="11"/>
      <c r="C664" s="11"/>
      <c r="D664" s="11"/>
      <c r="E664" s="15"/>
      <c r="F664" s="11"/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B665" s="11"/>
      <c r="C665" s="11"/>
      <c r="D665" s="11"/>
      <c r="E665" s="15"/>
      <c r="F665" s="11"/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B666" s="11"/>
      <c r="C666" s="11"/>
      <c r="D666" s="11"/>
      <c r="E666" s="15"/>
      <c r="F666" s="11"/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B667" s="11"/>
      <c r="C667" s="11"/>
      <c r="D667" s="11"/>
      <c r="E667" s="15"/>
      <c r="F667" s="11"/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B668" s="11"/>
      <c r="C668" s="11"/>
      <c r="D668" s="11"/>
      <c r="E668" s="15"/>
      <c r="F668" s="11"/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B669" s="11"/>
      <c r="C669" s="11"/>
      <c r="D669" s="11"/>
      <c r="E669" s="15"/>
      <c r="F669" s="11"/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B670" s="11"/>
      <c r="C670" s="11"/>
      <c r="D670" s="11"/>
      <c r="E670" s="15"/>
      <c r="F670" s="11"/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B671" s="11"/>
      <c r="C671" s="11"/>
      <c r="D671" s="11"/>
      <c r="E671" s="15"/>
      <c r="F671" s="11"/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B672" s="11"/>
      <c r="C672" s="11"/>
      <c r="D672" s="11"/>
      <c r="E672" s="15"/>
      <c r="F672" s="11"/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B673" s="11"/>
      <c r="C673" s="11"/>
      <c r="D673" s="11"/>
      <c r="E673" s="15"/>
      <c r="F673" s="11"/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B674" s="11"/>
      <c r="C674" s="11"/>
      <c r="D674" s="11"/>
      <c r="E674" s="15"/>
      <c r="F674" s="11"/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B675" s="11"/>
      <c r="C675" s="11"/>
      <c r="D675" s="11"/>
      <c r="E675" s="15"/>
      <c r="F675" s="11"/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B676" s="11"/>
      <c r="C676" s="11"/>
      <c r="D676" s="11"/>
      <c r="E676" s="15"/>
      <c r="F676" s="11"/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B677" s="11"/>
      <c r="C677" s="11"/>
      <c r="D677" s="11"/>
      <c r="E677" s="15"/>
      <c r="F677" s="11"/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701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1.0</v>
      </c>
      <c r="H3" s="9">
        <v>0.0</v>
      </c>
      <c r="I3" s="9">
        <v>0.0</v>
      </c>
      <c r="J3" s="17">
        <v>-604.0</v>
      </c>
      <c r="K3" s="18">
        <v>-604.0</v>
      </c>
      <c r="L3" s="17">
        <v>-604.0</v>
      </c>
      <c r="M3" s="18">
        <v>-604.0</v>
      </c>
      <c r="N3" s="18">
        <v>0.0</v>
      </c>
      <c r="O3" s="18">
        <v>0.192</v>
      </c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1.0</v>
      </c>
      <c r="H4" s="9">
        <v>0.0</v>
      </c>
      <c r="I4" s="9">
        <v>0.0</v>
      </c>
      <c r="J4" s="17">
        <v>-650.0</v>
      </c>
      <c r="K4" s="18">
        <v>-679.208</v>
      </c>
      <c r="L4" s="17">
        <v>-665.0</v>
      </c>
      <c r="M4" s="18">
        <v>-665.0</v>
      </c>
      <c r="N4" s="18">
        <v>0.0</v>
      </c>
      <c r="O4" s="18">
        <v>0.543</v>
      </c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1.0</v>
      </c>
      <c r="H5" s="9">
        <v>0.0</v>
      </c>
      <c r="I5" s="9">
        <v>0.0</v>
      </c>
      <c r="J5" s="17">
        <v>-708.0</v>
      </c>
      <c r="K5" s="18">
        <v>-767.15</v>
      </c>
      <c r="L5" s="17">
        <v>-730.0</v>
      </c>
      <c r="M5" s="18">
        <v>-730.0</v>
      </c>
      <c r="N5" s="18">
        <v>0.0</v>
      </c>
      <c r="O5" s="18">
        <v>2.489</v>
      </c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1.0</v>
      </c>
      <c r="H6" s="9">
        <v>0.0</v>
      </c>
      <c r="I6" s="9">
        <v>0.0</v>
      </c>
      <c r="J6" s="17">
        <v>-634.0</v>
      </c>
      <c r="K6" s="18">
        <v>-644.667</v>
      </c>
      <c r="L6" s="17">
        <v>-634.0</v>
      </c>
      <c r="M6" s="18">
        <v>-634.0</v>
      </c>
      <c r="N6" s="18">
        <v>0.0</v>
      </c>
      <c r="O6" s="18">
        <v>0.309</v>
      </c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1.0</v>
      </c>
      <c r="H7" s="9">
        <v>0.0</v>
      </c>
      <c r="I7" s="9">
        <v>0.0</v>
      </c>
      <c r="J7" s="17">
        <v>-640.0</v>
      </c>
      <c r="K7" s="18">
        <v>-681.581</v>
      </c>
      <c r="L7" s="17">
        <v>-653.0</v>
      </c>
      <c r="M7" s="18">
        <v>-653.0</v>
      </c>
      <c r="N7" s="18">
        <v>0.0</v>
      </c>
      <c r="O7" s="18">
        <v>1.727</v>
      </c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1.0</v>
      </c>
      <c r="H8" s="9">
        <v>0.0</v>
      </c>
      <c r="I8" s="9">
        <v>0.0</v>
      </c>
      <c r="J8" s="17">
        <v>-415.0</v>
      </c>
      <c r="K8" s="18">
        <v>-488.845</v>
      </c>
      <c r="L8" s="17">
        <v>-442.0</v>
      </c>
      <c r="M8" s="18">
        <v>-442.0</v>
      </c>
      <c r="N8" s="18">
        <v>0.0</v>
      </c>
      <c r="O8" s="18">
        <v>7.395</v>
      </c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1.0</v>
      </c>
      <c r="H9" s="9">
        <v>0.0</v>
      </c>
      <c r="I9" s="9">
        <v>0.0</v>
      </c>
      <c r="J9" s="17">
        <v>-536.0</v>
      </c>
      <c r="K9" s="18">
        <v>-610.528</v>
      </c>
      <c r="L9" s="17">
        <v>-574.0</v>
      </c>
      <c r="M9" s="18">
        <v>-574.0</v>
      </c>
      <c r="N9" s="18">
        <v>0.0</v>
      </c>
      <c r="O9" s="18">
        <v>2.559</v>
      </c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1.0</v>
      </c>
      <c r="H10" s="9">
        <v>0.0</v>
      </c>
      <c r="I10" s="9">
        <v>0.0</v>
      </c>
      <c r="J10" s="17">
        <v>-442.0</v>
      </c>
      <c r="K10" s="18">
        <v>-634.418</v>
      </c>
      <c r="L10" s="17">
        <v>-500.0</v>
      </c>
      <c r="M10" s="18">
        <v>-500.0</v>
      </c>
      <c r="N10" s="18">
        <v>0.0</v>
      </c>
      <c r="O10" s="18">
        <v>48.144</v>
      </c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1.0</v>
      </c>
      <c r="H11" s="9">
        <v>0.0</v>
      </c>
      <c r="I11" s="9">
        <v>0.0</v>
      </c>
      <c r="J11" s="17">
        <v>-363.0</v>
      </c>
      <c r="K11" s="18">
        <v>-506.423</v>
      </c>
      <c r="L11" s="17">
        <v>-402.0</v>
      </c>
      <c r="M11" s="18">
        <v>-402.0</v>
      </c>
      <c r="N11" s="18">
        <v>0.0</v>
      </c>
      <c r="O11" s="18">
        <v>13.632</v>
      </c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1.0</v>
      </c>
      <c r="H12" s="9">
        <v>0.0</v>
      </c>
      <c r="I12" s="9">
        <v>0.0</v>
      </c>
      <c r="J12" s="17">
        <v>-418.0</v>
      </c>
      <c r="K12" s="18">
        <v>-566.634</v>
      </c>
      <c r="L12" s="17">
        <v>-481.0</v>
      </c>
      <c r="M12" s="18">
        <v>-481.0</v>
      </c>
      <c r="N12" s="18">
        <v>0.0</v>
      </c>
      <c r="O12" s="18">
        <v>15.915</v>
      </c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1.0</v>
      </c>
      <c r="H13" s="9">
        <v>0.0</v>
      </c>
      <c r="I13" s="9">
        <v>0.0</v>
      </c>
      <c r="J13" s="17">
        <v>1680.0</v>
      </c>
      <c r="K13" s="18">
        <v>979.744</v>
      </c>
      <c r="L13" s="17">
        <v>1422.0</v>
      </c>
      <c r="M13" s="18">
        <v>1422.0</v>
      </c>
      <c r="N13" s="18">
        <v>0.0</v>
      </c>
      <c r="O13" s="18">
        <v>20.816</v>
      </c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1.0</v>
      </c>
      <c r="H14" s="9">
        <v>0.0</v>
      </c>
      <c r="I14" s="9">
        <v>0.0</v>
      </c>
      <c r="J14" s="17">
        <v>263.0</v>
      </c>
      <c r="K14" s="18">
        <v>140.8</v>
      </c>
      <c r="L14" s="17">
        <v>233.0</v>
      </c>
      <c r="M14" s="18">
        <v>233.0</v>
      </c>
      <c r="N14" s="18">
        <v>0.0</v>
      </c>
      <c r="O14" s="18">
        <v>0.71</v>
      </c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1.0</v>
      </c>
      <c r="H15" s="9">
        <v>0.0</v>
      </c>
      <c r="I15" s="9">
        <v>0.0</v>
      </c>
      <c r="J15" s="17">
        <v>1720.0</v>
      </c>
      <c r="K15" s="18">
        <v>825.915</v>
      </c>
      <c r="L15" s="17">
        <v>1634.0</v>
      </c>
      <c r="M15" s="18">
        <v>1634.0</v>
      </c>
      <c r="N15" s="18">
        <v>0.0</v>
      </c>
      <c r="O15" s="18">
        <v>347.948</v>
      </c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1.0</v>
      </c>
      <c r="H16" s="9">
        <v>0.0</v>
      </c>
      <c r="I16" s="9">
        <v>0.0</v>
      </c>
      <c r="J16" s="17">
        <v>2024.0</v>
      </c>
      <c r="K16" s="18">
        <v>1163.78</v>
      </c>
      <c r="L16" s="17">
        <v>1860.0</v>
      </c>
      <c r="M16" s="18">
        <v>1860.0</v>
      </c>
      <c r="N16" s="18">
        <v>0.0</v>
      </c>
      <c r="O16" s="18">
        <v>38.768</v>
      </c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1.0</v>
      </c>
      <c r="H17" s="9">
        <v>0.0</v>
      </c>
      <c r="I17" s="9">
        <v>0.0</v>
      </c>
      <c r="J17" s="17">
        <v>1650.0</v>
      </c>
      <c r="K17" s="18">
        <v>512.286</v>
      </c>
      <c r="L17" s="17">
        <v>1361.0</v>
      </c>
      <c r="M17" s="18">
        <v>1361.0</v>
      </c>
      <c r="N17" s="18">
        <v>0.0</v>
      </c>
      <c r="O17" s="18">
        <v>323.667</v>
      </c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1.0</v>
      </c>
      <c r="H18" s="9">
        <v>0.0</v>
      </c>
      <c r="I18" s="9">
        <v>0.0</v>
      </c>
      <c r="J18" s="17">
        <v>-1001.0</v>
      </c>
      <c r="K18" s="18">
        <v>-1216.77</v>
      </c>
      <c r="L18" s="17">
        <v>-1091.0</v>
      </c>
      <c r="M18" s="18">
        <v>-1091.0</v>
      </c>
      <c r="N18" s="18">
        <v>0.0</v>
      </c>
      <c r="O18" s="18">
        <v>10.657</v>
      </c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1.0</v>
      </c>
      <c r="H19" s="9">
        <v>0.0</v>
      </c>
      <c r="I19" s="9">
        <v>0.0</v>
      </c>
      <c r="J19" s="17">
        <v>-1055.0</v>
      </c>
      <c r="K19" s="18">
        <v>-1177.78</v>
      </c>
      <c r="L19" s="17">
        <v>-1074.0</v>
      </c>
      <c r="M19" s="18">
        <v>-1074.0</v>
      </c>
      <c r="N19" s="18">
        <v>0.0</v>
      </c>
      <c r="O19" s="18">
        <v>5.892</v>
      </c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1.0</v>
      </c>
      <c r="H20" s="9">
        <v>0.0</v>
      </c>
      <c r="I20" s="9">
        <v>0.0</v>
      </c>
      <c r="J20" s="17">
        <v>-934.0</v>
      </c>
      <c r="K20" s="18">
        <v>-1084.03</v>
      </c>
      <c r="L20" s="17">
        <v>-1002.0</v>
      </c>
      <c r="M20" s="18">
        <v>-1002.0</v>
      </c>
      <c r="N20" s="18">
        <v>0.0</v>
      </c>
      <c r="O20" s="18">
        <v>5.28</v>
      </c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1.0</v>
      </c>
      <c r="H21" s="9">
        <v>0.0</v>
      </c>
      <c r="I21" s="9">
        <v>0.0</v>
      </c>
      <c r="J21" s="17">
        <v>-966.0</v>
      </c>
      <c r="K21" s="18">
        <v>-1043.62</v>
      </c>
      <c r="L21" s="17">
        <v>-990.0</v>
      </c>
      <c r="M21" s="18">
        <v>-990.0</v>
      </c>
      <c r="N21" s="18">
        <v>0.0</v>
      </c>
      <c r="O21" s="18">
        <v>3.145</v>
      </c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1.0</v>
      </c>
      <c r="H22" s="9">
        <v>0.0</v>
      </c>
      <c r="I22" s="9">
        <v>0.0</v>
      </c>
      <c r="J22" s="17">
        <v>-492.0</v>
      </c>
      <c r="K22" s="18">
        <v>-1383.03</v>
      </c>
      <c r="L22" s="17">
        <v>-1146.0</v>
      </c>
      <c r="M22" s="18">
        <v>-1146.0</v>
      </c>
      <c r="N22" s="18">
        <v>0.0</v>
      </c>
      <c r="O22" s="18">
        <v>87.307</v>
      </c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17">
        <v>-689.0</v>
      </c>
      <c r="K23" s="18">
        <v>-1011.47</v>
      </c>
      <c r="L23" s="17">
        <v>-719.0</v>
      </c>
      <c r="M23" s="18">
        <v>-719.0</v>
      </c>
      <c r="N23" s="18">
        <v>0.0</v>
      </c>
      <c r="O23" s="18">
        <v>253.422</v>
      </c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1.0</v>
      </c>
      <c r="H24" s="9">
        <v>0.0</v>
      </c>
      <c r="I24" s="9">
        <v>0.0</v>
      </c>
      <c r="J24" s="17">
        <v>-705.0</v>
      </c>
      <c r="K24" s="18">
        <v>-1089.69</v>
      </c>
      <c r="L24" s="17">
        <v>-847.0</v>
      </c>
      <c r="M24" s="18">
        <v>-847.0</v>
      </c>
      <c r="N24" s="18">
        <v>0.0</v>
      </c>
      <c r="O24" s="18">
        <v>147.365</v>
      </c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1.0</v>
      </c>
      <c r="H25" s="9">
        <v>0.0</v>
      </c>
      <c r="I25" s="9">
        <v>0.0</v>
      </c>
      <c r="J25" s="17">
        <v>-597.0</v>
      </c>
      <c r="K25" s="18">
        <v>-1043.06</v>
      </c>
      <c r="L25" s="17">
        <v>-871.0</v>
      </c>
      <c r="M25" s="18">
        <v>-871.0</v>
      </c>
      <c r="N25" s="18">
        <v>0.0</v>
      </c>
      <c r="O25" s="18">
        <v>34.457</v>
      </c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1.0</v>
      </c>
      <c r="H26" s="9">
        <v>0.0</v>
      </c>
      <c r="I26" s="9">
        <v>0.0</v>
      </c>
      <c r="J26" s="17">
        <v>-673.0</v>
      </c>
      <c r="K26" s="18">
        <v>-974.276</v>
      </c>
      <c r="L26" s="17">
        <v>-810.0</v>
      </c>
      <c r="M26" s="18">
        <v>-810.0</v>
      </c>
      <c r="N26" s="18">
        <v>0.0</v>
      </c>
      <c r="O26" s="18">
        <v>45.686</v>
      </c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1.0</v>
      </c>
      <c r="H27" s="9">
        <v>0.0</v>
      </c>
      <c r="I27" s="9">
        <v>0.0</v>
      </c>
      <c r="J27" s="17">
        <v>-343.0</v>
      </c>
      <c r="K27" s="18">
        <v>-1111.55</v>
      </c>
      <c r="L27" s="17">
        <v>-689.0</v>
      </c>
      <c r="M27" s="18">
        <v>-689.0</v>
      </c>
      <c r="N27" s="18">
        <v>0.0</v>
      </c>
      <c r="O27" s="18">
        <v>1562.88</v>
      </c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1.0</v>
      </c>
      <c r="H28" s="9">
        <v>0.0</v>
      </c>
      <c r="I28" s="9">
        <v>0.0</v>
      </c>
      <c r="J28" s="17">
        <v>1725.0</v>
      </c>
      <c r="K28" s="18">
        <v>739.23</v>
      </c>
      <c r="L28" s="17">
        <v>1520.0</v>
      </c>
      <c r="M28" s="18">
        <v>1520.0</v>
      </c>
      <c r="N28" s="18">
        <v>0.0</v>
      </c>
      <c r="O28" s="18">
        <v>197.018</v>
      </c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1.0</v>
      </c>
      <c r="H29" s="9">
        <v>0.0</v>
      </c>
      <c r="I29" s="9">
        <v>0.0</v>
      </c>
      <c r="J29" s="17">
        <v>631.0</v>
      </c>
      <c r="K29" s="18">
        <v>44.9862</v>
      </c>
      <c r="L29" s="17">
        <v>368.0</v>
      </c>
      <c r="M29" s="18">
        <v>368.0</v>
      </c>
      <c r="N29" s="18">
        <v>0.0</v>
      </c>
      <c r="O29" s="18">
        <v>12.378</v>
      </c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1.0</v>
      </c>
      <c r="H30" s="9">
        <v>0.0</v>
      </c>
      <c r="I30" s="9">
        <v>0.0</v>
      </c>
      <c r="J30" s="17">
        <v>-488.0</v>
      </c>
      <c r="K30" s="18">
        <v>-536.913</v>
      </c>
      <c r="L30" s="17">
        <v>-499.0</v>
      </c>
      <c r="M30" s="18">
        <v>-499.0</v>
      </c>
      <c r="N30" s="18">
        <v>0.0</v>
      </c>
      <c r="O30" s="18">
        <v>0.216</v>
      </c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1.0</v>
      </c>
      <c r="H31" s="9">
        <v>0.0</v>
      </c>
      <c r="I31" s="9">
        <v>0.0</v>
      </c>
      <c r="J31" s="17">
        <v>-303.0</v>
      </c>
      <c r="K31" s="18">
        <v>-471.699</v>
      </c>
      <c r="L31" s="17">
        <v>-374.0</v>
      </c>
      <c r="M31" s="18">
        <v>-374.0</v>
      </c>
      <c r="N31" s="18">
        <v>0.0</v>
      </c>
      <c r="O31" s="18">
        <v>0.726</v>
      </c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1.0</v>
      </c>
      <c r="H32" s="9">
        <v>0.0</v>
      </c>
      <c r="I32" s="9">
        <v>0.0</v>
      </c>
      <c r="J32" s="17">
        <v>4439.0</v>
      </c>
      <c r="K32" s="18">
        <v>1978.64</v>
      </c>
      <c r="L32" s="17">
        <v>3782.0</v>
      </c>
      <c r="M32" s="18">
        <v>3782.0</v>
      </c>
      <c r="N32" s="18">
        <v>0.0</v>
      </c>
      <c r="O32" s="18">
        <v>1922.62</v>
      </c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1.0</v>
      </c>
      <c r="H33" s="9">
        <v>0.0</v>
      </c>
      <c r="I33" s="9">
        <v>0.0</v>
      </c>
      <c r="J33" s="17">
        <v>-922.0</v>
      </c>
      <c r="K33" s="18">
        <v>-1458.66</v>
      </c>
      <c r="L33" s="17">
        <v>-1186.0</v>
      </c>
      <c r="M33" s="18">
        <v>-1186.0</v>
      </c>
      <c r="N33" s="18">
        <v>0.0</v>
      </c>
      <c r="O33" s="18">
        <v>50.797</v>
      </c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1.0</v>
      </c>
      <c r="H34" s="9">
        <v>0.0</v>
      </c>
      <c r="I34" s="9">
        <v>0.0</v>
      </c>
      <c r="J34" s="17">
        <v>-630.0</v>
      </c>
      <c r="K34" s="18">
        <v>-1404.04</v>
      </c>
      <c r="L34" s="17">
        <v>-1122.0</v>
      </c>
      <c r="M34" s="18">
        <v>-1122.0</v>
      </c>
      <c r="N34" s="18">
        <v>0.0</v>
      </c>
      <c r="O34" s="18">
        <v>35.841</v>
      </c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1.0</v>
      </c>
      <c r="H35" s="9">
        <v>0.0</v>
      </c>
      <c r="I35" s="9">
        <v>0.0</v>
      </c>
      <c r="J35" s="17">
        <v>-735.0</v>
      </c>
      <c r="K35" s="18">
        <v>-1345.5</v>
      </c>
      <c r="L35" s="17">
        <v>-1137.0</v>
      </c>
      <c r="M35" s="18">
        <v>-1137.0</v>
      </c>
      <c r="N35" s="18">
        <v>0.0</v>
      </c>
      <c r="O35" s="18">
        <v>19.403</v>
      </c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1.0</v>
      </c>
      <c r="H36" s="9">
        <v>0.0</v>
      </c>
      <c r="I36" s="9">
        <v>0.0</v>
      </c>
      <c r="J36" s="17">
        <v>-819.0</v>
      </c>
      <c r="K36" s="18">
        <v>-1333.21</v>
      </c>
      <c r="L36" s="17">
        <v>-1101.0</v>
      </c>
      <c r="M36" s="18">
        <v>-1101.0</v>
      </c>
      <c r="N36" s="18">
        <v>0.0</v>
      </c>
      <c r="O36" s="18">
        <v>30.604</v>
      </c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1.0</v>
      </c>
      <c r="H37" s="9">
        <v>0.0</v>
      </c>
      <c r="I37" s="9">
        <v>0.0</v>
      </c>
      <c r="J37" s="17">
        <v>-874.0</v>
      </c>
      <c r="K37" s="18">
        <v>-1261.25</v>
      </c>
      <c r="L37" s="17">
        <v>-1083.0</v>
      </c>
      <c r="M37" s="18">
        <v>-1083.0</v>
      </c>
      <c r="N37" s="18">
        <v>0.0</v>
      </c>
      <c r="O37" s="18">
        <v>8.292</v>
      </c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1.0</v>
      </c>
      <c r="H38" s="9">
        <v>0.0</v>
      </c>
      <c r="I38" s="9">
        <v>0.0</v>
      </c>
      <c r="J38" s="17">
        <v>-699.0</v>
      </c>
      <c r="K38" s="18">
        <v>-1355.13</v>
      </c>
      <c r="L38" s="17">
        <v>-952.0</v>
      </c>
      <c r="M38" s="18">
        <v>-952.0</v>
      </c>
      <c r="N38" s="18">
        <v>0.0</v>
      </c>
      <c r="O38" s="18">
        <v>633.024</v>
      </c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1.0</v>
      </c>
      <c r="H39" s="9">
        <v>0.0</v>
      </c>
      <c r="I39" s="9">
        <v>0.0</v>
      </c>
      <c r="J39" s="17">
        <v>-558.0</v>
      </c>
      <c r="K39" s="18">
        <v>-1279.16</v>
      </c>
      <c r="L39" s="17">
        <v>-976.0</v>
      </c>
      <c r="M39" s="18">
        <v>-976.0</v>
      </c>
      <c r="N39" s="18">
        <v>0.0</v>
      </c>
      <c r="O39" s="18">
        <v>103.635</v>
      </c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1.0</v>
      </c>
      <c r="H40" s="9">
        <v>0.0</v>
      </c>
      <c r="I40" s="9">
        <v>0.0</v>
      </c>
      <c r="J40" s="17">
        <v>-332.0</v>
      </c>
      <c r="K40" s="18">
        <v>-1232.47</v>
      </c>
      <c r="L40" s="17">
        <v>-811.0</v>
      </c>
      <c r="M40" s="18">
        <v>-811.0</v>
      </c>
      <c r="N40" s="18">
        <v>0.0</v>
      </c>
      <c r="O40" s="18">
        <v>443.974</v>
      </c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1.0</v>
      </c>
      <c r="H41" s="9">
        <v>0.0</v>
      </c>
      <c r="I41" s="9">
        <v>0.0</v>
      </c>
      <c r="J41" s="17">
        <v>-580.0</v>
      </c>
      <c r="K41" s="18">
        <v>-1197.11</v>
      </c>
      <c r="L41" s="17">
        <v>-822.0</v>
      </c>
      <c r="M41" s="18">
        <v>-822.0</v>
      </c>
      <c r="N41" s="18">
        <v>0.0</v>
      </c>
      <c r="O41" s="18">
        <v>124.979</v>
      </c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1.0</v>
      </c>
      <c r="H42" s="9">
        <v>0.0</v>
      </c>
      <c r="I42" s="9">
        <v>0.0</v>
      </c>
      <c r="J42" s="17">
        <v>59.0</v>
      </c>
      <c r="K42" s="18">
        <v>-1032.74</v>
      </c>
      <c r="L42" s="17">
        <v>-634.0</v>
      </c>
      <c r="M42" s="18">
        <v>-634.0</v>
      </c>
      <c r="N42" s="18">
        <v>0.0</v>
      </c>
      <c r="O42" s="18">
        <v>225.496</v>
      </c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1.0</v>
      </c>
      <c r="H43" s="9">
        <v>0.0</v>
      </c>
      <c r="I43" s="9">
        <v>0.0</v>
      </c>
      <c r="J43" s="17">
        <v>765.0</v>
      </c>
      <c r="K43" s="18">
        <v>-16.7883</v>
      </c>
      <c r="L43" s="17">
        <v>485.0</v>
      </c>
      <c r="M43" s="18">
        <v>485.0</v>
      </c>
      <c r="N43" s="18">
        <v>0.0</v>
      </c>
      <c r="O43" s="18">
        <v>483.143</v>
      </c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1.0</v>
      </c>
      <c r="H44" s="9">
        <v>0.0</v>
      </c>
      <c r="I44" s="9">
        <v>0.0</v>
      </c>
      <c r="J44" s="17">
        <v>-19.0</v>
      </c>
      <c r="K44" s="18">
        <v>-424.122</v>
      </c>
      <c r="L44" s="17">
        <v>-234.0</v>
      </c>
      <c r="M44" s="18">
        <v>-234.0</v>
      </c>
      <c r="N44" s="18">
        <v>0.0</v>
      </c>
      <c r="O44" s="18">
        <v>3.911</v>
      </c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1.0</v>
      </c>
      <c r="H45" s="9">
        <v>0.0</v>
      </c>
      <c r="I45" s="9">
        <v>0.0</v>
      </c>
      <c r="J45" s="17">
        <v>2828.0</v>
      </c>
      <c r="K45" s="18">
        <v>891.349</v>
      </c>
      <c r="L45" s="17">
        <v>2130.0</v>
      </c>
      <c r="M45" s="18">
        <v>2130.0</v>
      </c>
      <c r="N45" s="18">
        <v>0.0</v>
      </c>
      <c r="O45" s="18">
        <v>1474.17</v>
      </c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1.0</v>
      </c>
      <c r="H46" s="9">
        <v>0.0</v>
      </c>
      <c r="I46" s="9">
        <v>0.0</v>
      </c>
      <c r="J46" s="17">
        <v>3920.0</v>
      </c>
      <c r="K46" s="18">
        <v>1390.29</v>
      </c>
      <c r="L46" s="17">
        <v>3663.0</v>
      </c>
      <c r="M46" s="18">
        <v>3663.0</v>
      </c>
      <c r="N46" s="18">
        <v>0.0</v>
      </c>
      <c r="O46" s="18">
        <v>1036.27</v>
      </c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1.0</v>
      </c>
      <c r="H47" s="9">
        <v>0.0</v>
      </c>
      <c r="I47" s="9">
        <v>0.0</v>
      </c>
      <c r="J47" s="17">
        <v>4977.0</v>
      </c>
      <c r="K47" s="18">
        <v>3043.07</v>
      </c>
      <c r="L47" s="17">
        <v>4325.0</v>
      </c>
      <c r="M47" s="18">
        <v>4325.0</v>
      </c>
      <c r="N47" s="18">
        <v>0.0</v>
      </c>
      <c r="O47" s="18">
        <v>7.758</v>
      </c>
    </row>
    <row r="48">
      <c r="A48" s="8" t="s">
        <v>53</v>
      </c>
      <c r="B48" s="9">
        <v>30.0</v>
      </c>
      <c r="C48" s="9" t="s">
        <v>8</v>
      </c>
      <c r="D48" s="9">
        <v>25.0</v>
      </c>
      <c r="E48" s="10">
        <v>0.6</v>
      </c>
      <c r="F48" s="9">
        <v>1.0</v>
      </c>
      <c r="G48" s="9">
        <v>1.0</v>
      </c>
      <c r="H48" s="9">
        <v>0.0</v>
      </c>
      <c r="I48" s="9">
        <v>0.0</v>
      </c>
      <c r="J48" s="17">
        <v>-921.0</v>
      </c>
      <c r="K48" s="18">
        <v>-982.673</v>
      </c>
      <c r="L48" s="17">
        <v>-968.0</v>
      </c>
      <c r="M48" s="18">
        <v>-968.0</v>
      </c>
      <c r="N48" s="18">
        <v>0.0</v>
      </c>
      <c r="O48" s="18">
        <v>1.704</v>
      </c>
    </row>
    <row r="49">
      <c r="A49" s="8" t="s">
        <v>54</v>
      </c>
      <c r="B49" s="9">
        <v>30.0</v>
      </c>
      <c r="C49" s="9" t="s">
        <v>8</v>
      </c>
      <c r="D49" s="9">
        <v>25.0</v>
      </c>
      <c r="E49" s="10">
        <v>0.6</v>
      </c>
      <c r="F49" s="9">
        <v>2.0</v>
      </c>
      <c r="G49" s="9">
        <v>1.0</v>
      </c>
      <c r="H49" s="9">
        <v>0.0</v>
      </c>
      <c r="I49" s="9">
        <v>0.0</v>
      </c>
      <c r="J49" s="17">
        <v>-591.0</v>
      </c>
      <c r="K49" s="18">
        <v>-783.863</v>
      </c>
      <c r="L49" s="17">
        <v>-749.0</v>
      </c>
      <c r="M49" s="18">
        <v>-749.0</v>
      </c>
      <c r="N49" s="18">
        <v>0.0</v>
      </c>
      <c r="O49" s="18">
        <v>5.231</v>
      </c>
    </row>
    <row r="50">
      <c r="A50" s="8" t="s">
        <v>55</v>
      </c>
      <c r="B50" s="9">
        <v>30.0</v>
      </c>
      <c r="C50" s="9" t="s">
        <v>8</v>
      </c>
      <c r="D50" s="9">
        <v>25.0</v>
      </c>
      <c r="E50" s="10">
        <v>0.6</v>
      </c>
      <c r="F50" s="9">
        <v>3.0</v>
      </c>
      <c r="G50" s="9">
        <v>1.0</v>
      </c>
      <c r="H50" s="9">
        <v>0.0</v>
      </c>
      <c r="I50" s="9">
        <v>0.0</v>
      </c>
      <c r="J50" s="17">
        <v>-776.0</v>
      </c>
      <c r="K50" s="18">
        <v>-991.266</v>
      </c>
      <c r="L50" s="17">
        <v>-935.0</v>
      </c>
      <c r="M50" s="18">
        <v>-935.0</v>
      </c>
      <c r="N50" s="18">
        <v>0.0</v>
      </c>
      <c r="O50" s="18">
        <v>23.312</v>
      </c>
    </row>
    <row r="51">
      <c r="A51" s="8" t="s">
        <v>56</v>
      </c>
      <c r="B51" s="9">
        <v>30.0</v>
      </c>
      <c r="C51" s="9" t="s">
        <v>8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-1089.0</v>
      </c>
      <c r="K51" s="18">
        <v>-1163.68</v>
      </c>
      <c r="L51" s="17">
        <v>-1126.0</v>
      </c>
      <c r="M51" s="18">
        <v>-1126.0</v>
      </c>
      <c r="N51" s="18">
        <v>0.0</v>
      </c>
      <c r="O51" s="18">
        <v>11.809</v>
      </c>
    </row>
    <row r="52">
      <c r="A52" s="8" t="s">
        <v>57</v>
      </c>
      <c r="B52" s="9">
        <v>30.0</v>
      </c>
      <c r="C52" s="9" t="s">
        <v>8</v>
      </c>
      <c r="D52" s="9">
        <v>25.0</v>
      </c>
      <c r="E52" s="10">
        <v>0.6</v>
      </c>
      <c r="F52" s="9">
        <v>5.0</v>
      </c>
      <c r="G52" s="9">
        <v>1.0</v>
      </c>
      <c r="H52" s="9">
        <v>0.0</v>
      </c>
      <c r="I52" s="9">
        <v>0.0</v>
      </c>
      <c r="J52" s="17">
        <v>-886.0</v>
      </c>
      <c r="K52" s="18">
        <v>-1052.78</v>
      </c>
      <c r="L52" s="17">
        <v>-1010.0</v>
      </c>
      <c r="M52" s="18">
        <v>-1010.0</v>
      </c>
      <c r="N52" s="18">
        <v>0.0</v>
      </c>
      <c r="O52" s="18">
        <v>9.3</v>
      </c>
    </row>
    <row r="53">
      <c r="A53" s="8" t="s">
        <v>58</v>
      </c>
      <c r="B53" s="9">
        <v>30.0</v>
      </c>
      <c r="C53" s="9" t="s">
        <v>8</v>
      </c>
      <c r="D53" s="9">
        <v>25.0</v>
      </c>
      <c r="E53" s="10">
        <v>1.0</v>
      </c>
      <c r="F53" s="9">
        <v>1.0</v>
      </c>
      <c r="G53" s="9">
        <v>1.0</v>
      </c>
      <c r="H53" s="9">
        <v>0.0</v>
      </c>
      <c r="I53" s="9">
        <v>0.0</v>
      </c>
      <c r="J53" s="17">
        <v>-895.0</v>
      </c>
      <c r="K53" s="18">
        <v>-942.944</v>
      </c>
      <c r="L53" s="17">
        <v>-908.0</v>
      </c>
      <c r="M53" s="18">
        <v>-908.0</v>
      </c>
      <c r="N53" s="18">
        <v>0.0</v>
      </c>
      <c r="O53" s="18">
        <v>4.918</v>
      </c>
    </row>
    <row r="54">
      <c r="A54" s="8" t="s">
        <v>59</v>
      </c>
      <c r="B54" s="9">
        <v>30.0</v>
      </c>
      <c r="C54" s="9" t="s">
        <v>8</v>
      </c>
      <c r="D54" s="9">
        <v>25.0</v>
      </c>
      <c r="E54" s="10">
        <v>1.0</v>
      </c>
      <c r="F54" s="9">
        <v>2.0</v>
      </c>
      <c r="G54" s="9">
        <v>1.0</v>
      </c>
      <c r="H54" s="9">
        <v>0.0</v>
      </c>
      <c r="I54" s="9">
        <v>0.0</v>
      </c>
      <c r="J54" s="17">
        <v>-582.0</v>
      </c>
      <c r="K54" s="18">
        <v>-705.541</v>
      </c>
      <c r="L54" s="17">
        <v>-610.0</v>
      </c>
      <c r="M54" s="18">
        <v>-610.0</v>
      </c>
      <c r="N54" s="18">
        <v>0.0</v>
      </c>
      <c r="O54" s="18">
        <v>82.744</v>
      </c>
    </row>
    <row r="55">
      <c r="A55" s="8" t="s">
        <v>60</v>
      </c>
      <c r="B55" s="9">
        <v>30.0</v>
      </c>
      <c r="C55" s="9" t="s">
        <v>8</v>
      </c>
      <c r="D55" s="9">
        <v>25.0</v>
      </c>
      <c r="E55" s="10">
        <v>1.0</v>
      </c>
      <c r="F55" s="9">
        <v>3.0</v>
      </c>
      <c r="G55" s="9">
        <v>1.0</v>
      </c>
      <c r="H55" s="9">
        <v>0.0</v>
      </c>
      <c r="I55" s="9">
        <v>0.0</v>
      </c>
      <c r="J55" s="17">
        <v>-753.0</v>
      </c>
      <c r="K55" s="18">
        <v>-945.942</v>
      </c>
      <c r="L55" s="17">
        <v>-835.0</v>
      </c>
      <c r="M55" s="18">
        <v>-835.0</v>
      </c>
      <c r="N55" s="18">
        <v>0.0</v>
      </c>
      <c r="O55" s="18">
        <v>65.778</v>
      </c>
    </row>
    <row r="56">
      <c r="A56" s="8" t="s">
        <v>61</v>
      </c>
      <c r="B56" s="9">
        <v>30.0</v>
      </c>
      <c r="C56" s="9" t="s">
        <v>8</v>
      </c>
      <c r="D56" s="9">
        <v>25.0</v>
      </c>
      <c r="E56" s="10">
        <v>1.0</v>
      </c>
      <c r="F56" s="9">
        <v>4.0</v>
      </c>
      <c r="G56" s="9">
        <v>1.0</v>
      </c>
      <c r="H56" s="9">
        <v>0.0</v>
      </c>
      <c r="I56" s="9">
        <v>0.0</v>
      </c>
      <c r="J56" s="17">
        <v>-791.0</v>
      </c>
      <c r="K56" s="18">
        <v>-1014.35</v>
      </c>
      <c r="L56" s="17">
        <v>-852.0</v>
      </c>
      <c r="M56" s="18">
        <v>-852.0</v>
      </c>
      <c r="N56" s="18">
        <v>0.0</v>
      </c>
      <c r="O56" s="18">
        <v>390.582</v>
      </c>
    </row>
    <row r="57">
      <c r="A57" s="8" t="s">
        <v>62</v>
      </c>
      <c r="B57" s="9">
        <v>30.0</v>
      </c>
      <c r="C57" s="9" t="s">
        <v>8</v>
      </c>
      <c r="D57" s="9">
        <v>25.0</v>
      </c>
      <c r="E57" s="10">
        <v>1.0</v>
      </c>
      <c r="F57" s="9">
        <v>5.0</v>
      </c>
      <c r="G57" s="9">
        <v>1.0</v>
      </c>
      <c r="H57" s="9">
        <v>0.0</v>
      </c>
      <c r="I57" s="9">
        <v>0.0</v>
      </c>
      <c r="J57" s="17">
        <v>-758.0</v>
      </c>
      <c r="K57" s="18">
        <v>-981.434</v>
      </c>
      <c r="L57" s="17">
        <v>-865.0</v>
      </c>
      <c r="M57" s="18">
        <v>-865.0</v>
      </c>
      <c r="N57" s="18">
        <v>0.0</v>
      </c>
      <c r="O57" s="18">
        <v>142.17</v>
      </c>
    </row>
    <row r="58">
      <c r="A58" s="8" t="s">
        <v>63</v>
      </c>
      <c r="B58" s="9">
        <v>30.0</v>
      </c>
      <c r="C58" s="9" t="s">
        <v>8</v>
      </c>
      <c r="D58" s="9">
        <v>25.0</v>
      </c>
      <c r="E58" s="10">
        <v>2.0</v>
      </c>
      <c r="F58" s="9">
        <v>1.0</v>
      </c>
      <c r="G58" s="9">
        <v>1.0</v>
      </c>
      <c r="H58" s="9">
        <v>0.0</v>
      </c>
      <c r="I58" s="9">
        <v>0.0</v>
      </c>
      <c r="J58" s="17">
        <v>-299.0</v>
      </c>
      <c r="K58" s="18">
        <v>-500.449</v>
      </c>
      <c r="L58" s="17">
        <v>-336.0</v>
      </c>
      <c r="M58" s="18">
        <v>-336.0</v>
      </c>
      <c r="N58" s="18">
        <v>0.0</v>
      </c>
      <c r="O58" s="18">
        <v>94.689</v>
      </c>
    </row>
    <row r="59">
      <c r="A59" s="8" t="s">
        <v>64</v>
      </c>
      <c r="B59" s="9">
        <v>30.0</v>
      </c>
      <c r="C59" s="9" t="s">
        <v>8</v>
      </c>
      <c r="D59" s="9">
        <v>25.0</v>
      </c>
      <c r="E59" s="10">
        <v>2.0</v>
      </c>
      <c r="F59" s="9">
        <v>2.0</v>
      </c>
      <c r="G59" s="9">
        <v>0.0</v>
      </c>
      <c r="H59" s="9">
        <v>1.0</v>
      </c>
      <c r="I59" s="9">
        <v>0.0</v>
      </c>
      <c r="J59" s="17">
        <v>1208.0</v>
      </c>
      <c r="K59" s="18">
        <v>79.2043</v>
      </c>
      <c r="L59" s="17">
        <v>916.0</v>
      </c>
      <c r="M59" s="18">
        <v>643.798</v>
      </c>
      <c r="N59" s="18">
        <v>29.7164</v>
      </c>
      <c r="O59" s="18">
        <v>3600.0</v>
      </c>
    </row>
    <row r="60">
      <c r="A60" s="8" t="s">
        <v>65</v>
      </c>
      <c r="B60" s="9">
        <v>30.0</v>
      </c>
      <c r="C60" s="9" t="s">
        <v>8</v>
      </c>
      <c r="D60" s="9">
        <v>25.0</v>
      </c>
      <c r="E60" s="10">
        <v>2.0</v>
      </c>
      <c r="F60" s="9">
        <v>3.0</v>
      </c>
      <c r="G60" s="9">
        <v>1.0</v>
      </c>
      <c r="H60" s="9">
        <v>0.0</v>
      </c>
      <c r="I60" s="9">
        <v>0.0</v>
      </c>
      <c r="J60" s="17">
        <v>-523.0</v>
      </c>
      <c r="K60" s="18">
        <v>-596.168</v>
      </c>
      <c r="L60" s="17">
        <v>-540.0</v>
      </c>
      <c r="M60" s="18">
        <v>-540.0</v>
      </c>
      <c r="N60" s="18">
        <v>0.0</v>
      </c>
      <c r="O60" s="18">
        <v>2.304</v>
      </c>
    </row>
    <row r="61">
      <c r="A61" s="8" t="s">
        <v>66</v>
      </c>
      <c r="B61" s="9">
        <v>30.0</v>
      </c>
      <c r="C61" s="9" t="s">
        <v>8</v>
      </c>
      <c r="D61" s="9">
        <v>25.0</v>
      </c>
      <c r="E61" s="10">
        <v>2.0</v>
      </c>
      <c r="F61" s="9">
        <v>4.0</v>
      </c>
      <c r="G61" s="9">
        <v>0.0</v>
      </c>
      <c r="H61" s="9">
        <v>1.0</v>
      </c>
      <c r="I61" s="9">
        <v>0.0</v>
      </c>
      <c r="J61" s="17">
        <v>1823.0</v>
      </c>
      <c r="K61" s="18">
        <v>-15.996</v>
      </c>
      <c r="L61" s="17">
        <v>1337.0</v>
      </c>
      <c r="M61" s="18">
        <v>857.982</v>
      </c>
      <c r="N61" s="18">
        <v>35.8278</v>
      </c>
      <c r="O61" s="18">
        <v>3600.0</v>
      </c>
    </row>
    <row r="62">
      <c r="A62" s="8" t="s">
        <v>67</v>
      </c>
      <c r="B62" s="9">
        <v>30.0</v>
      </c>
      <c r="C62" s="9" t="s">
        <v>8</v>
      </c>
      <c r="D62" s="9">
        <v>25.0</v>
      </c>
      <c r="E62" s="10">
        <v>2.0</v>
      </c>
      <c r="F62" s="9">
        <v>5.0</v>
      </c>
      <c r="G62" s="9">
        <v>0.0</v>
      </c>
      <c r="H62" s="9">
        <v>1.0</v>
      </c>
      <c r="I62" s="9">
        <v>0.0</v>
      </c>
      <c r="J62" s="17">
        <v>227.0</v>
      </c>
      <c r="K62" s="18">
        <v>-348.896</v>
      </c>
      <c r="L62" s="17">
        <v>135.0</v>
      </c>
      <c r="M62" s="18">
        <v>14.846</v>
      </c>
      <c r="N62" s="18">
        <v>89.0029</v>
      </c>
      <c r="O62" s="18">
        <v>3600.0</v>
      </c>
    </row>
    <row r="63">
      <c r="A63" s="8" t="s">
        <v>68</v>
      </c>
      <c r="B63" s="9">
        <v>30.0</v>
      </c>
      <c r="C63" s="9" t="s">
        <v>8</v>
      </c>
      <c r="D63" s="9">
        <v>50.0</v>
      </c>
      <c r="E63" s="10">
        <v>0.6</v>
      </c>
      <c r="F63" s="9">
        <v>1.0</v>
      </c>
      <c r="G63" s="9">
        <v>1.0</v>
      </c>
      <c r="H63" s="9">
        <v>0.0</v>
      </c>
      <c r="I63" s="9">
        <v>0.0</v>
      </c>
      <c r="J63" s="17">
        <v>-766.0</v>
      </c>
      <c r="K63" s="18">
        <v>-1255.83</v>
      </c>
      <c r="L63" s="17">
        <v>-1084.0</v>
      </c>
      <c r="M63" s="18">
        <v>-1084.0</v>
      </c>
      <c r="N63" s="18">
        <v>0.0</v>
      </c>
      <c r="O63" s="18">
        <v>57.916</v>
      </c>
    </row>
    <row r="64">
      <c r="A64" s="8" t="s">
        <v>69</v>
      </c>
      <c r="B64" s="9">
        <v>30.0</v>
      </c>
      <c r="C64" s="9" t="s">
        <v>8</v>
      </c>
      <c r="D64" s="9">
        <v>50.0</v>
      </c>
      <c r="E64" s="10">
        <v>0.6</v>
      </c>
      <c r="F64" s="9">
        <v>2.0</v>
      </c>
      <c r="G64" s="9">
        <v>1.0</v>
      </c>
      <c r="H64" s="9">
        <v>0.0</v>
      </c>
      <c r="I64" s="9">
        <v>0.0</v>
      </c>
      <c r="J64" s="17">
        <v>-1263.0</v>
      </c>
      <c r="K64" s="18">
        <v>-1728.4</v>
      </c>
      <c r="L64" s="17">
        <v>-1550.0</v>
      </c>
      <c r="M64" s="18">
        <v>-1550.0</v>
      </c>
      <c r="N64" s="18">
        <v>0.0</v>
      </c>
      <c r="O64" s="18">
        <v>58.783</v>
      </c>
    </row>
    <row r="65">
      <c r="A65" s="8" t="s">
        <v>70</v>
      </c>
      <c r="B65" s="9">
        <v>30.0</v>
      </c>
      <c r="C65" s="9" t="s">
        <v>8</v>
      </c>
      <c r="D65" s="9">
        <v>50.0</v>
      </c>
      <c r="E65" s="10">
        <v>0.6</v>
      </c>
      <c r="F65" s="9">
        <v>3.0</v>
      </c>
      <c r="G65" s="9">
        <v>1.0</v>
      </c>
      <c r="H65" s="9">
        <v>0.0</v>
      </c>
      <c r="I65" s="9">
        <v>0.0</v>
      </c>
      <c r="J65" s="17">
        <v>-670.0</v>
      </c>
      <c r="K65" s="18">
        <v>-1304.64</v>
      </c>
      <c r="L65" s="17">
        <v>-1138.0</v>
      </c>
      <c r="M65" s="18">
        <v>-1138.0</v>
      </c>
      <c r="N65" s="18">
        <v>0.0</v>
      </c>
      <c r="O65" s="18">
        <v>38.987</v>
      </c>
    </row>
    <row r="66">
      <c r="A66" s="8" t="s">
        <v>71</v>
      </c>
      <c r="B66" s="9">
        <v>30.0</v>
      </c>
      <c r="C66" s="9" t="s">
        <v>8</v>
      </c>
      <c r="D66" s="9">
        <v>50.0</v>
      </c>
      <c r="E66" s="10">
        <v>0.6</v>
      </c>
      <c r="F66" s="9">
        <v>4.0</v>
      </c>
      <c r="G66" s="9">
        <v>1.0</v>
      </c>
      <c r="H66" s="9">
        <v>0.0</v>
      </c>
      <c r="I66" s="9">
        <v>0.0</v>
      </c>
      <c r="J66" s="17">
        <v>-942.0</v>
      </c>
      <c r="K66" s="18">
        <v>-1508.23</v>
      </c>
      <c r="L66" s="17">
        <v>-1336.0</v>
      </c>
      <c r="M66" s="18">
        <v>-1336.0</v>
      </c>
      <c r="N66" s="18">
        <v>0.0</v>
      </c>
      <c r="O66" s="18">
        <v>41.545</v>
      </c>
    </row>
    <row r="67">
      <c r="A67" s="8" t="s">
        <v>72</v>
      </c>
      <c r="B67" s="9">
        <v>30.0</v>
      </c>
      <c r="C67" s="9" t="s">
        <v>8</v>
      </c>
      <c r="D67" s="9">
        <v>50.0</v>
      </c>
      <c r="E67" s="10">
        <v>0.6</v>
      </c>
      <c r="F67" s="9">
        <v>5.0</v>
      </c>
      <c r="G67" s="9">
        <v>1.0</v>
      </c>
      <c r="H67" s="9">
        <v>0.0</v>
      </c>
      <c r="I67" s="9">
        <v>0.0</v>
      </c>
      <c r="J67" s="17">
        <v>-854.0</v>
      </c>
      <c r="K67" s="18">
        <v>-1647.95</v>
      </c>
      <c r="L67" s="17">
        <v>-1459.0</v>
      </c>
      <c r="M67" s="18">
        <v>-1459.0</v>
      </c>
      <c r="N67" s="18">
        <v>0.0</v>
      </c>
      <c r="O67" s="18">
        <v>84.232</v>
      </c>
    </row>
    <row r="68">
      <c r="A68" s="8" t="s">
        <v>73</v>
      </c>
      <c r="B68" s="9">
        <v>30.0</v>
      </c>
      <c r="C68" s="9" t="s">
        <v>8</v>
      </c>
      <c r="D68" s="9">
        <v>50.0</v>
      </c>
      <c r="E68" s="10">
        <v>1.0</v>
      </c>
      <c r="F68" s="9">
        <v>1.0</v>
      </c>
      <c r="G68" s="9">
        <v>1.0</v>
      </c>
      <c r="H68" s="9">
        <v>0.0</v>
      </c>
      <c r="I68" s="9">
        <v>0.0</v>
      </c>
      <c r="J68" s="17">
        <v>-477.0</v>
      </c>
      <c r="K68" s="18">
        <v>-1151.88</v>
      </c>
      <c r="L68" s="17">
        <v>-848.0</v>
      </c>
      <c r="M68" s="18">
        <v>-848.0</v>
      </c>
      <c r="N68" s="18">
        <v>0.0</v>
      </c>
      <c r="O68" s="18">
        <v>985.905</v>
      </c>
    </row>
    <row r="69">
      <c r="A69" s="8" t="s">
        <v>74</v>
      </c>
      <c r="B69" s="9">
        <v>30.0</v>
      </c>
      <c r="C69" s="9" t="s">
        <v>8</v>
      </c>
      <c r="D69" s="9">
        <v>50.0</v>
      </c>
      <c r="E69" s="10">
        <v>1.0</v>
      </c>
      <c r="F69" s="9">
        <v>2.0</v>
      </c>
      <c r="G69" s="9">
        <v>1.0</v>
      </c>
      <c r="H69" s="9">
        <v>0.0</v>
      </c>
      <c r="I69" s="9">
        <v>0.0</v>
      </c>
      <c r="J69" s="17">
        <v>-941.0</v>
      </c>
      <c r="K69" s="18">
        <v>-1662.06</v>
      </c>
      <c r="L69" s="17">
        <v>-1303.0</v>
      </c>
      <c r="M69" s="18">
        <v>-1303.0</v>
      </c>
      <c r="N69" s="18">
        <v>0.0</v>
      </c>
      <c r="O69" s="18">
        <v>1579.64</v>
      </c>
    </row>
    <row r="70">
      <c r="A70" s="8" t="s">
        <v>75</v>
      </c>
      <c r="B70" s="9">
        <v>30.0</v>
      </c>
      <c r="C70" s="9" t="s">
        <v>8</v>
      </c>
      <c r="D70" s="9">
        <v>50.0</v>
      </c>
      <c r="E70" s="10">
        <v>1.0</v>
      </c>
      <c r="F70" s="9">
        <v>3.0</v>
      </c>
      <c r="G70" s="9">
        <v>1.0</v>
      </c>
      <c r="H70" s="9">
        <v>0.0</v>
      </c>
      <c r="I70" s="9">
        <v>0.0</v>
      </c>
      <c r="J70" s="17">
        <v>-825.0</v>
      </c>
      <c r="K70" s="18">
        <v>-1182.15</v>
      </c>
      <c r="L70" s="17">
        <v>-910.0</v>
      </c>
      <c r="M70" s="18">
        <v>-910.0</v>
      </c>
      <c r="N70" s="18">
        <v>0.0</v>
      </c>
      <c r="O70" s="18">
        <v>525.883</v>
      </c>
    </row>
    <row r="71">
      <c r="A71" s="8" t="s">
        <v>76</v>
      </c>
      <c r="B71" s="9">
        <v>30.0</v>
      </c>
      <c r="C71" s="9" t="s">
        <v>8</v>
      </c>
      <c r="D71" s="9">
        <v>50.0</v>
      </c>
      <c r="E71" s="10">
        <v>1.0</v>
      </c>
      <c r="F71" s="9">
        <v>4.0</v>
      </c>
      <c r="G71" s="9">
        <v>1.0</v>
      </c>
      <c r="H71" s="9">
        <v>0.0</v>
      </c>
      <c r="I71" s="9">
        <v>0.0</v>
      </c>
      <c r="J71" s="17">
        <v>-692.0</v>
      </c>
      <c r="K71" s="18">
        <v>-1438.01</v>
      </c>
      <c r="L71" s="17">
        <v>-1126.0</v>
      </c>
      <c r="M71" s="18">
        <v>-1126.0</v>
      </c>
      <c r="N71" s="18">
        <v>0.0</v>
      </c>
      <c r="O71" s="18">
        <v>1481.45</v>
      </c>
    </row>
    <row r="72">
      <c r="A72" s="8" t="s">
        <v>77</v>
      </c>
      <c r="B72" s="9">
        <v>30.0</v>
      </c>
      <c r="C72" s="9" t="s">
        <v>8</v>
      </c>
      <c r="D72" s="9">
        <v>50.0</v>
      </c>
      <c r="E72" s="10">
        <v>1.0</v>
      </c>
      <c r="F72" s="9">
        <v>5.0</v>
      </c>
      <c r="G72" s="9">
        <v>1.0</v>
      </c>
      <c r="H72" s="9">
        <v>0.0</v>
      </c>
      <c r="I72" s="9">
        <v>0.0</v>
      </c>
      <c r="J72" s="17">
        <v>-882.0</v>
      </c>
      <c r="K72" s="18">
        <v>-1523.48</v>
      </c>
      <c r="L72" s="17">
        <v>-1163.0</v>
      </c>
      <c r="M72" s="18">
        <v>-1163.0</v>
      </c>
      <c r="N72" s="18">
        <v>0.0</v>
      </c>
      <c r="O72" s="18">
        <v>1960.77</v>
      </c>
    </row>
    <row r="73">
      <c r="A73" s="8" t="s">
        <v>78</v>
      </c>
      <c r="B73" s="9">
        <v>30.0</v>
      </c>
      <c r="C73" s="9" t="s">
        <v>8</v>
      </c>
      <c r="D73" s="9">
        <v>50.0</v>
      </c>
      <c r="E73" s="10">
        <v>2.0</v>
      </c>
      <c r="F73" s="9">
        <v>1.0</v>
      </c>
      <c r="G73" s="9">
        <v>0.0</v>
      </c>
      <c r="H73" s="9">
        <v>1.0</v>
      </c>
      <c r="I73" s="9">
        <v>0.0</v>
      </c>
      <c r="J73" s="17">
        <v>1973.0</v>
      </c>
      <c r="K73" s="18">
        <v>322.115</v>
      </c>
      <c r="L73" s="17">
        <v>1739.0</v>
      </c>
      <c r="M73" s="18">
        <v>1320.85</v>
      </c>
      <c r="N73" s="18">
        <v>24.0456</v>
      </c>
      <c r="O73" s="18">
        <v>3600.0</v>
      </c>
    </row>
    <row r="74">
      <c r="A74" s="8" t="s">
        <v>79</v>
      </c>
      <c r="B74" s="9">
        <v>30.0</v>
      </c>
      <c r="C74" s="9" t="s">
        <v>8</v>
      </c>
      <c r="D74" s="9">
        <v>50.0</v>
      </c>
      <c r="E74" s="10">
        <v>2.0</v>
      </c>
      <c r="F74" s="9">
        <v>2.0</v>
      </c>
      <c r="G74" s="9">
        <v>0.0</v>
      </c>
      <c r="H74" s="9">
        <v>1.0</v>
      </c>
      <c r="I74" s="9">
        <v>0.0</v>
      </c>
      <c r="J74" s="17">
        <v>93.0</v>
      </c>
      <c r="K74" s="18">
        <v>-593.036</v>
      </c>
      <c r="L74" s="17">
        <v>-13.0</v>
      </c>
      <c r="M74" s="18">
        <v>-81.9926</v>
      </c>
      <c r="N74" s="18">
        <v>530.712</v>
      </c>
      <c r="O74" s="18">
        <v>3600.0</v>
      </c>
    </row>
    <row r="75">
      <c r="A75" s="8" t="s">
        <v>80</v>
      </c>
      <c r="B75" s="9">
        <v>30.0</v>
      </c>
      <c r="C75" s="9" t="s">
        <v>8</v>
      </c>
      <c r="D75" s="9">
        <v>50.0</v>
      </c>
      <c r="E75" s="10">
        <v>2.0</v>
      </c>
      <c r="F75" s="9">
        <v>3.0</v>
      </c>
      <c r="G75" s="9">
        <v>0.0</v>
      </c>
      <c r="H75" s="9">
        <v>1.0</v>
      </c>
      <c r="I75" s="9">
        <v>0.0</v>
      </c>
      <c r="J75" s="17">
        <v>2405.0</v>
      </c>
      <c r="K75" s="18">
        <v>311.294</v>
      </c>
      <c r="L75" s="17">
        <v>1881.0</v>
      </c>
      <c r="M75" s="18">
        <v>1313.01</v>
      </c>
      <c r="N75" s="18">
        <v>30.1962</v>
      </c>
      <c r="O75" s="18">
        <v>3600.0</v>
      </c>
    </row>
    <row r="76">
      <c r="A76" s="8" t="s">
        <v>81</v>
      </c>
      <c r="B76" s="9">
        <v>30.0</v>
      </c>
      <c r="C76" s="9" t="s">
        <v>8</v>
      </c>
      <c r="D76" s="9">
        <v>50.0</v>
      </c>
      <c r="E76" s="10">
        <v>2.0</v>
      </c>
      <c r="F76" s="9">
        <v>4.0</v>
      </c>
      <c r="G76" s="9">
        <v>0.0</v>
      </c>
      <c r="H76" s="9">
        <v>1.0</v>
      </c>
      <c r="I76" s="9">
        <v>0.0</v>
      </c>
      <c r="J76" s="17">
        <v>765.0</v>
      </c>
      <c r="K76" s="18">
        <v>-329.127</v>
      </c>
      <c r="L76" s="17">
        <v>365.0</v>
      </c>
      <c r="M76" s="18">
        <v>198.51</v>
      </c>
      <c r="N76" s="18">
        <v>45.6136</v>
      </c>
      <c r="O76" s="18">
        <v>3600.0</v>
      </c>
    </row>
    <row r="77">
      <c r="A77" s="8" t="s">
        <v>82</v>
      </c>
      <c r="B77" s="9">
        <v>30.0</v>
      </c>
      <c r="C77" s="9" t="s">
        <v>8</v>
      </c>
      <c r="D77" s="9">
        <v>50.0</v>
      </c>
      <c r="E77" s="10">
        <v>2.0</v>
      </c>
      <c r="F77" s="9">
        <v>5.0</v>
      </c>
      <c r="G77" s="9">
        <v>0.0</v>
      </c>
      <c r="H77" s="9">
        <v>1.0</v>
      </c>
      <c r="I77" s="9">
        <v>0.0</v>
      </c>
      <c r="J77" s="17">
        <v>1078.0</v>
      </c>
      <c r="K77" s="18">
        <v>-323.347</v>
      </c>
      <c r="L77" s="17">
        <v>885.0</v>
      </c>
      <c r="M77" s="18">
        <v>338.584</v>
      </c>
      <c r="N77" s="18">
        <v>61.7419</v>
      </c>
      <c r="O77" s="18">
        <v>3600.0</v>
      </c>
    </row>
    <row r="78">
      <c r="A78" s="8" t="s">
        <v>83</v>
      </c>
      <c r="B78" s="9">
        <v>30.0</v>
      </c>
      <c r="C78" s="9" t="s">
        <v>8</v>
      </c>
      <c r="D78" s="9">
        <v>75.0</v>
      </c>
      <c r="E78" s="10">
        <v>0.6</v>
      </c>
      <c r="F78" s="9">
        <v>1.0</v>
      </c>
      <c r="G78" s="9">
        <v>1.0</v>
      </c>
      <c r="H78" s="9">
        <v>0.0</v>
      </c>
      <c r="I78" s="9">
        <v>0.0</v>
      </c>
      <c r="J78" s="17">
        <v>-854.0</v>
      </c>
      <c r="K78" s="18">
        <v>-2159.0</v>
      </c>
      <c r="L78" s="17">
        <v>-1754.0</v>
      </c>
      <c r="M78" s="18">
        <v>-1754.0</v>
      </c>
      <c r="N78" s="18">
        <v>0.0</v>
      </c>
      <c r="O78" s="18">
        <v>472.779</v>
      </c>
    </row>
    <row r="79">
      <c r="A79" s="8" t="s">
        <v>84</v>
      </c>
      <c r="B79" s="9">
        <v>30.0</v>
      </c>
      <c r="C79" s="9" t="s">
        <v>8</v>
      </c>
      <c r="D79" s="9">
        <v>75.0</v>
      </c>
      <c r="E79" s="10">
        <v>0.6</v>
      </c>
      <c r="F79" s="9">
        <v>2.0</v>
      </c>
      <c r="G79" s="9">
        <v>1.0</v>
      </c>
      <c r="H79" s="9">
        <v>0.0</v>
      </c>
      <c r="I79" s="9">
        <v>0.0</v>
      </c>
      <c r="J79" s="17">
        <v>-1054.0</v>
      </c>
      <c r="K79" s="18">
        <v>-2232.5</v>
      </c>
      <c r="L79" s="17">
        <v>-1720.0</v>
      </c>
      <c r="M79" s="18">
        <v>-1720.0</v>
      </c>
      <c r="N79" s="18">
        <v>0.0</v>
      </c>
      <c r="O79" s="18">
        <v>851.256</v>
      </c>
    </row>
    <row r="80">
      <c r="A80" s="8" t="s">
        <v>85</v>
      </c>
      <c r="B80" s="9">
        <v>30.0</v>
      </c>
      <c r="C80" s="9" t="s">
        <v>8</v>
      </c>
      <c r="D80" s="9">
        <v>75.0</v>
      </c>
      <c r="E80" s="10">
        <v>0.6</v>
      </c>
      <c r="F80" s="9">
        <v>3.0</v>
      </c>
      <c r="G80" s="9">
        <v>1.0</v>
      </c>
      <c r="H80" s="9">
        <v>0.0</v>
      </c>
      <c r="I80" s="9">
        <v>0.0</v>
      </c>
      <c r="J80" s="17">
        <v>-1001.0</v>
      </c>
      <c r="K80" s="18">
        <v>-2130.5</v>
      </c>
      <c r="L80" s="17">
        <v>-1671.0</v>
      </c>
      <c r="M80" s="18">
        <v>-1671.0</v>
      </c>
      <c r="N80" s="18">
        <v>0.0</v>
      </c>
      <c r="O80" s="18">
        <v>1404.86</v>
      </c>
    </row>
    <row r="81">
      <c r="A81" s="8" t="s">
        <v>86</v>
      </c>
      <c r="B81" s="9">
        <v>30.0</v>
      </c>
      <c r="C81" s="9" t="s">
        <v>8</v>
      </c>
      <c r="D81" s="9">
        <v>75.0</v>
      </c>
      <c r="E81" s="10">
        <v>0.6</v>
      </c>
      <c r="F81" s="9">
        <v>4.0</v>
      </c>
      <c r="G81" s="9">
        <v>1.0</v>
      </c>
      <c r="H81" s="9">
        <v>0.0</v>
      </c>
      <c r="I81" s="9">
        <v>0.0</v>
      </c>
      <c r="J81" s="17">
        <v>-1138.0</v>
      </c>
      <c r="K81" s="18">
        <v>-2049.88</v>
      </c>
      <c r="L81" s="17">
        <v>-1636.0</v>
      </c>
      <c r="M81" s="18">
        <v>-1636.0</v>
      </c>
      <c r="N81" s="18">
        <v>0.0</v>
      </c>
      <c r="O81" s="18">
        <v>417.704</v>
      </c>
    </row>
    <row r="82">
      <c r="A82" s="8" t="s">
        <v>87</v>
      </c>
      <c r="B82" s="9">
        <v>30.0</v>
      </c>
      <c r="C82" s="9" t="s">
        <v>8</v>
      </c>
      <c r="D82" s="9">
        <v>75.0</v>
      </c>
      <c r="E82" s="10">
        <v>0.6</v>
      </c>
      <c r="F82" s="9">
        <v>5.0</v>
      </c>
      <c r="G82" s="9">
        <v>1.0</v>
      </c>
      <c r="H82" s="9">
        <v>0.0</v>
      </c>
      <c r="I82" s="9">
        <v>0.0</v>
      </c>
      <c r="J82" s="17">
        <v>-1251.0</v>
      </c>
      <c r="K82" s="18">
        <v>-2332.5</v>
      </c>
      <c r="L82" s="17">
        <v>-1874.0</v>
      </c>
      <c r="M82" s="18">
        <v>-1874.0</v>
      </c>
      <c r="N82" s="18">
        <v>0.0</v>
      </c>
      <c r="O82" s="18">
        <v>2177.39</v>
      </c>
    </row>
    <row r="83">
      <c r="A83" s="8" t="s">
        <v>88</v>
      </c>
      <c r="B83" s="9">
        <v>30.0</v>
      </c>
      <c r="C83" s="9" t="s">
        <v>8</v>
      </c>
      <c r="D83" s="9">
        <v>75.0</v>
      </c>
      <c r="E83" s="10">
        <v>1.0</v>
      </c>
      <c r="F83" s="9">
        <v>1.0</v>
      </c>
      <c r="G83" s="9">
        <v>0.0</v>
      </c>
      <c r="H83" s="9">
        <v>1.0</v>
      </c>
      <c r="I83" s="9">
        <v>0.0</v>
      </c>
      <c r="J83" s="17">
        <v>-1131.0</v>
      </c>
      <c r="K83" s="18">
        <v>-2081.18</v>
      </c>
      <c r="L83" s="17">
        <v>-1543.0</v>
      </c>
      <c r="M83" s="18">
        <v>-1616.15</v>
      </c>
      <c r="N83" s="18">
        <v>4.74095</v>
      </c>
      <c r="O83" s="18">
        <v>3600.0</v>
      </c>
    </row>
    <row r="84">
      <c r="A84" s="8" t="s">
        <v>89</v>
      </c>
      <c r="B84" s="9">
        <v>30.0</v>
      </c>
      <c r="C84" s="9" t="s">
        <v>8</v>
      </c>
      <c r="D84" s="9">
        <v>75.0</v>
      </c>
      <c r="E84" s="10">
        <v>1.0</v>
      </c>
      <c r="F84" s="9">
        <v>2.0</v>
      </c>
      <c r="G84" s="9">
        <v>0.0</v>
      </c>
      <c r="H84" s="9">
        <v>1.0</v>
      </c>
      <c r="I84" s="9">
        <v>0.0</v>
      </c>
      <c r="J84" s="17">
        <v>-719.0</v>
      </c>
      <c r="K84" s="18">
        <v>-2173.91</v>
      </c>
      <c r="L84" s="17">
        <v>-1439.0</v>
      </c>
      <c r="M84" s="18">
        <v>-1694.44</v>
      </c>
      <c r="N84" s="18">
        <v>17.7511</v>
      </c>
      <c r="O84" s="18">
        <v>3600.0</v>
      </c>
    </row>
    <row r="85">
      <c r="A85" s="8" t="s">
        <v>90</v>
      </c>
      <c r="B85" s="9">
        <v>30.0</v>
      </c>
      <c r="C85" s="9" t="s">
        <v>8</v>
      </c>
      <c r="D85" s="9">
        <v>75.0</v>
      </c>
      <c r="E85" s="10">
        <v>1.0</v>
      </c>
      <c r="F85" s="9">
        <v>3.0</v>
      </c>
      <c r="G85" s="9">
        <v>0.0</v>
      </c>
      <c r="H85" s="9">
        <v>1.0</v>
      </c>
      <c r="I85" s="9">
        <v>0.0</v>
      </c>
      <c r="J85" s="17">
        <v>-760.0</v>
      </c>
      <c r="K85" s="18">
        <v>-2013.49</v>
      </c>
      <c r="L85" s="17">
        <v>-1337.0</v>
      </c>
      <c r="M85" s="18">
        <v>-1570.44</v>
      </c>
      <c r="N85" s="18">
        <v>17.46</v>
      </c>
      <c r="O85" s="18">
        <v>3600.0</v>
      </c>
    </row>
    <row r="86">
      <c r="A86" s="8" t="s">
        <v>91</v>
      </c>
      <c r="B86" s="9">
        <v>30.0</v>
      </c>
      <c r="C86" s="9" t="s">
        <v>8</v>
      </c>
      <c r="D86" s="9">
        <v>75.0</v>
      </c>
      <c r="E86" s="10">
        <v>1.0</v>
      </c>
      <c r="F86" s="9">
        <v>4.0</v>
      </c>
      <c r="G86" s="9">
        <v>0.0</v>
      </c>
      <c r="H86" s="9">
        <v>1.0</v>
      </c>
      <c r="I86" s="9">
        <v>0.0</v>
      </c>
      <c r="J86" s="17">
        <v>-947.0</v>
      </c>
      <c r="K86" s="18">
        <v>-1918.89</v>
      </c>
      <c r="L86" s="17">
        <v>-1251.0</v>
      </c>
      <c r="M86" s="18">
        <v>-1435.73</v>
      </c>
      <c r="N86" s="18">
        <v>14.7667</v>
      </c>
      <c r="O86" s="18">
        <v>3600.0</v>
      </c>
    </row>
    <row r="87">
      <c r="A87" s="8" t="s">
        <v>92</v>
      </c>
      <c r="B87" s="9">
        <v>30.0</v>
      </c>
      <c r="C87" s="9" t="s">
        <v>8</v>
      </c>
      <c r="D87" s="9">
        <v>75.0</v>
      </c>
      <c r="E87" s="10">
        <v>1.0</v>
      </c>
      <c r="F87" s="9">
        <v>5.0</v>
      </c>
      <c r="G87" s="9">
        <v>0.0</v>
      </c>
      <c r="H87" s="9">
        <v>1.0</v>
      </c>
      <c r="I87" s="9">
        <v>0.0</v>
      </c>
      <c r="J87" s="17">
        <v>-656.0</v>
      </c>
      <c r="K87" s="18">
        <v>-2152.84</v>
      </c>
      <c r="L87" s="17">
        <v>-1339.0</v>
      </c>
      <c r="M87" s="18">
        <v>-1743.59</v>
      </c>
      <c r="N87" s="18">
        <v>30.2155</v>
      </c>
      <c r="O87" s="18">
        <v>3600.0</v>
      </c>
    </row>
    <row r="88">
      <c r="A88" s="8" t="s">
        <v>93</v>
      </c>
      <c r="B88" s="9">
        <v>30.0</v>
      </c>
      <c r="C88" s="9" t="s">
        <v>8</v>
      </c>
      <c r="D88" s="9">
        <v>75.0</v>
      </c>
      <c r="E88" s="10">
        <v>2.0</v>
      </c>
      <c r="F88" s="9">
        <v>1.0</v>
      </c>
      <c r="G88" s="9">
        <v>1.0</v>
      </c>
      <c r="H88" s="9">
        <v>0.0</v>
      </c>
      <c r="I88" s="9">
        <v>0.0</v>
      </c>
      <c r="J88" s="17">
        <v>-266.0</v>
      </c>
      <c r="K88" s="18">
        <v>-853.564</v>
      </c>
      <c r="L88" s="17">
        <v>-423.0</v>
      </c>
      <c r="M88" s="18">
        <v>-423.0</v>
      </c>
      <c r="N88" s="18">
        <v>0.0</v>
      </c>
      <c r="O88" s="18">
        <v>3559.26</v>
      </c>
    </row>
    <row r="89">
      <c r="A89" s="8" t="s">
        <v>94</v>
      </c>
      <c r="B89" s="9">
        <v>30.0</v>
      </c>
      <c r="C89" s="9" t="s">
        <v>8</v>
      </c>
      <c r="D89" s="9">
        <v>75.0</v>
      </c>
      <c r="E89" s="10">
        <v>2.0</v>
      </c>
      <c r="F89" s="9">
        <v>2.0</v>
      </c>
      <c r="G89" s="9">
        <v>0.0</v>
      </c>
      <c r="H89" s="9">
        <v>1.0</v>
      </c>
      <c r="I89" s="9">
        <v>0.0</v>
      </c>
      <c r="J89" s="17">
        <v>187.0</v>
      </c>
      <c r="K89" s="18">
        <v>-789.437</v>
      </c>
      <c r="L89" s="17">
        <v>-111.0</v>
      </c>
      <c r="M89" s="18">
        <v>-415.518</v>
      </c>
      <c r="N89" s="18">
        <v>274.341</v>
      </c>
      <c r="O89" s="18">
        <v>3600.0</v>
      </c>
    </row>
    <row r="90">
      <c r="A90" s="8" t="s">
        <v>95</v>
      </c>
      <c r="B90" s="9">
        <v>30.0</v>
      </c>
      <c r="C90" s="9" t="s">
        <v>8</v>
      </c>
      <c r="D90" s="9">
        <v>75.0</v>
      </c>
      <c r="E90" s="10">
        <v>2.0</v>
      </c>
      <c r="F90" s="9">
        <v>3.0</v>
      </c>
      <c r="G90" s="9">
        <v>0.0</v>
      </c>
      <c r="H90" s="9">
        <v>1.0</v>
      </c>
      <c r="I90" s="9">
        <v>0.0</v>
      </c>
      <c r="J90" s="17">
        <v>395.0</v>
      </c>
      <c r="K90" s="18">
        <v>-659.809</v>
      </c>
      <c r="L90" s="17">
        <v>220.0</v>
      </c>
      <c r="M90" s="18">
        <v>-125.096</v>
      </c>
      <c r="N90" s="18">
        <v>156.862</v>
      </c>
      <c r="O90" s="18">
        <v>3600.0</v>
      </c>
    </row>
    <row r="91">
      <c r="A91" s="8" t="s">
        <v>96</v>
      </c>
      <c r="B91" s="9">
        <v>30.0</v>
      </c>
      <c r="C91" s="9" t="s">
        <v>8</v>
      </c>
      <c r="D91" s="9">
        <v>75.0</v>
      </c>
      <c r="E91" s="10">
        <v>2.0</v>
      </c>
      <c r="F91" s="9">
        <v>4.0</v>
      </c>
      <c r="G91" s="9">
        <v>0.0</v>
      </c>
      <c r="H91" s="9">
        <v>1.0</v>
      </c>
      <c r="I91" s="9">
        <v>0.0</v>
      </c>
      <c r="J91" s="17">
        <v>2201.0</v>
      </c>
      <c r="K91" s="18">
        <v>-145.255</v>
      </c>
      <c r="L91" s="17">
        <v>1819.0</v>
      </c>
      <c r="M91" s="18">
        <v>847.259</v>
      </c>
      <c r="N91" s="18">
        <v>53.4217</v>
      </c>
      <c r="O91" s="18">
        <v>3600.0</v>
      </c>
    </row>
    <row r="92">
      <c r="A92" s="8" t="s">
        <v>97</v>
      </c>
      <c r="B92" s="9">
        <v>30.0</v>
      </c>
      <c r="C92" s="9" t="s">
        <v>8</v>
      </c>
      <c r="D92" s="9">
        <v>75.0</v>
      </c>
      <c r="E92" s="10">
        <v>2.0</v>
      </c>
      <c r="F92" s="9">
        <v>5.0</v>
      </c>
      <c r="G92" s="9">
        <v>0.0</v>
      </c>
      <c r="H92" s="9">
        <v>1.0</v>
      </c>
      <c r="I92" s="9">
        <v>0.0</v>
      </c>
      <c r="J92" s="17">
        <v>3428.0</v>
      </c>
      <c r="K92" s="18">
        <v>197.205</v>
      </c>
      <c r="L92" s="17">
        <v>2510.0</v>
      </c>
      <c r="M92" s="18">
        <v>1628.27</v>
      </c>
      <c r="N92" s="18">
        <v>35.1288</v>
      </c>
      <c r="O92" s="18">
        <v>3600.0</v>
      </c>
    </row>
    <row r="93">
      <c r="A93" s="8" t="s">
        <v>98</v>
      </c>
      <c r="B93" s="9">
        <v>35.0</v>
      </c>
      <c r="C93" s="9" t="s">
        <v>8</v>
      </c>
      <c r="D93" s="9">
        <v>25.0</v>
      </c>
      <c r="E93" s="10">
        <v>0.6</v>
      </c>
      <c r="F93" s="9">
        <v>1.0</v>
      </c>
      <c r="G93" s="9">
        <v>1.0</v>
      </c>
      <c r="H93" s="9">
        <v>0.0</v>
      </c>
      <c r="I93" s="9">
        <v>0.0</v>
      </c>
      <c r="J93" s="17">
        <v>-1027.0</v>
      </c>
      <c r="K93" s="18">
        <v>-1200.99</v>
      </c>
      <c r="L93" s="17">
        <v>-1153.0</v>
      </c>
      <c r="M93" s="18">
        <v>-1153.0</v>
      </c>
      <c r="N93" s="18">
        <v>0.0</v>
      </c>
      <c r="O93" s="18">
        <v>64.23</v>
      </c>
    </row>
    <row r="94">
      <c r="A94" s="8" t="s">
        <v>99</v>
      </c>
      <c r="B94" s="9">
        <v>35.0</v>
      </c>
      <c r="C94" s="9" t="s">
        <v>8</v>
      </c>
      <c r="D94" s="9">
        <v>25.0</v>
      </c>
      <c r="E94" s="10">
        <v>0.6</v>
      </c>
      <c r="F94" s="9">
        <v>2.0</v>
      </c>
      <c r="G94" s="9">
        <v>1.0</v>
      </c>
      <c r="H94" s="9">
        <v>0.0</v>
      </c>
      <c r="I94" s="9">
        <v>0.0</v>
      </c>
      <c r="J94" s="17">
        <v>-1144.0</v>
      </c>
      <c r="K94" s="18">
        <v>-1184.38</v>
      </c>
      <c r="L94" s="17">
        <v>-1144.0</v>
      </c>
      <c r="M94" s="18">
        <v>-1144.0</v>
      </c>
      <c r="N94" s="18">
        <v>0.0</v>
      </c>
      <c r="O94" s="18">
        <v>20.649</v>
      </c>
    </row>
    <row r="95">
      <c r="A95" s="8" t="s">
        <v>100</v>
      </c>
      <c r="B95" s="9">
        <v>35.0</v>
      </c>
      <c r="C95" s="9" t="s">
        <v>8</v>
      </c>
      <c r="D95" s="9">
        <v>25.0</v>
      </c>
      <c r="E95" s="10">
        <v>0.6</v>
      </c>
      <c r="F95" s="9">
        <v>3.0</v>
      </c>
      <c r="G95" s="9">
        <v>1.0</v>
      </c>
      <c r="H95" s="9">
        <v>0.0</v>
      </c>
      <c r="I95" s="9">
        <v>0.0</v>
      </c>
      <c r="J95" s="17">
        <v>-1380.0</v>
      </c>
      <c r="K95" s="18">
        <v>-1425.91</v>
      </c>
      <c r="L95" s="17">
        <v>-1380.0</v>
      </c>
      <c r="M95" s="18">
        <v>-1380.0</v>
      </c>
      <c r="N95" s="18">
        <v>0.0</v>
      </c>
      <c r="O95" s="18">
        <v>9.931</v>
      </c>
    </row>
    <row r="96">
      <c r="A96" s="8" t="s">
        <v>101</v>
      </c>
      <c r="B96" s="9">
        <v>35.0</v>
      </c>
      <c r="C96" s="9" t="s">
        <v>8</v>
      </c>
      <c r="D96" s="9">
        <v>25.0</v>
      </c>
      <c r="E96" s="10">
        <v>0.6</v>
      </c>
      <c r="F96" s="9">
        <v>4.0</v>
      </c>
      <c r="G96" s="9">
        <v>1.0</v>
      </c>
      <c r="H96" s="9">
        <v>0.0</v>
      </c>
      <c r="I96" s="9">
        <v>0.0</v>
      </c>
      <c r="J96" s="17">
        <v>-1160.0</v>
      </c>
      <c r="K96" s="18">
        <v>-1271.8</v>
      </c>
      <c r="L96" s="17">
        <v>-1233.0</v>
      </c>
      <c r="M96" s="18">
        <v>-1233.0</v>
      </c>
      <c r="N96" s="18">
        <v>0.0</v>
      </c>
      <c r="O96" s="18">
        <v>21.808</v>
      </c>
    </row>
    <row r="97">
      <c r="A97" s="8" t="s">
        <v>102</v>
      </c>
      <c r="B97" s="9">
        <v>35.0</v>
      </c>
      <c r="C97" s="9" t="s">
        <v>8</v>
      </c>
      <c r="D97" s="9">
        <v>25.0</v>
      </c>
      <c r="E97" s="10">
        <v>0.6</v>
      </c>
      <c r="F97" s="9">
        <v>5.0</v>
      </c>
      <c r="G97" s="9">
        <v>1.0</v>
      </c>
      <c r="H97" s="9">
        <v>0.0</v>
      </c>
      <c r="I97" s="9">
        <v>0.0</v>
      </c>
      <c r="J97" s="17">
        <v>-1038.0</v>
      </c>
      <c r="K97" s="18">
        <v>-1102.83</v>
      </c>
      <c r="L97" s="17">
        <v>-1057.0</v>
      </c>
      <c r="M97" s="18">
        <v>-1057.0</v>
      </c>
      <c r="N97" s="18">
        <v>0.0</v>
      </c>
      <c r="O97" s="18">
        <v>38.598</v>
      </c>
    </row>
    <row r="98">
      <c r="A98" s="8" t="s">
        <v>103</v>
      </c>
      <c r="B98" s="9">
        <v>35.0</v>
      </c>
      <c r="C98" s="9" t="s">
        <v>8</v>
      </c>
      <c r="D98" s="9">
        <v>25.0</v>
      </c>
      <c r="E98" s="10">
        <v>1.0</v>
      </c>
      <c r="F98" s="9">
        <v>1.0</v>
      </c>
      <c r="G98" s="9">
        <v>1.0</v>
      </c>
      <c r="H98" s="9">
        <v>0.0</v>
      </c>
      <c r="I98" s="9">
        <v>0.0</v>
      </c>
      <c r="J98" s="17">
        <v>-832.0</v>
      </c>
      <c r="K98" s="18">
        <v>-1165.17</v>
      </c>
      <c r="L98" s="17">
        <v>-1074.0</v>
      </c>
      <c r="M98" s="18">
        <v>-1074.0</v>
      </c>
      <c r="N98" s="18">
        <v>0.0</v>
      </c>
      <c r="O98" s="18">
        <v>260.894</v>
      </c>
    </row>
    <row r="99">
      <c r="A99" s="8" t="s">
        <v>104</v>
      </c>
      <c r="B99" s="9">
        <v>35.0</v>
      </c>
      <c r="C99" s="9" t="s">
        <v>8</v>
      </c>
      <c r="D99" s="9">
        <v>25.0</v>
      </c>
      <c r="E99" s="10">
        <v>1.0</v>
      </c>
      <c r="F99" s="9">
        <v>2.0</v>
      </c>
      <c r="G99" s="9">
        <v>1.0</v>
      </c>
      <c r="H99" s="9">
        <v>0.0</v>
      </c>
      <c r="I99" s="9">
        <v>0.0</v>
      </c>
      <c r="J99" s="17">
        <v>-1065.0</v>
      </c>
      <c r="K99" s="18">
        <v>-1148.15</v>
      </c>
      <c r="L99" s="17">
        <v>-1080.0</v>
      </c>
      <c r="M99" s="18">
        <v>-1080.0</v>
      </c>
      <c r="N99" s="18">
        <v>0.0</v>
      </c>
      <c r="O99" s="18">
        <v>61.359</v>
      </c>
    </row>
    <row r="100">
      <c r="A100" s="8" t="s">
        <v>105</v>
      </c>
      <c r="B100" s="9">
        <v>35.0</v>
      </c>
      <c r="C100" s="9" t="s">
        <v>8</v>
      </c>
      <c r="D100" s="9">
        <v>25.0</v>
      </c>
      <c r="E100" s="10">
        <v>1.0</v>
      </c>
      <c r="F100" s="9">
        <v>3.0</v>
      </c>
      <c r="G100" s="9">
        <v>1.0</v>
      </c>
      <c r="H100" s="9">
        <v>0.0</v>
      </c>
      <c r="I100" s="9">
        <v>0.0</v>
      </c>
      <c r="J100" s="17">
        <v>-1103.0</v>
      </c>
      <c r="K100" s="18">
        <v>-1367.21</v>
      </c>
      <c r="L100" s="17">
        <v>-1224.0</v>
      </c>
      <c r="M100" s="18">
        <v>-1224.0</v>
      </c>
      <c r="N100" s="18">
        <v>0.0</v>
      </c>
      <c r="O100" s="18">
        <v>359.086</v>
      </c>
    </row>
    <row r="101">
      <c r="A101" s="8" t="s">
        <v>106</v>
      </c>
      <c r="B101" s="9">
        <v>35.0</v>
      </c>
      <c r="C101" s="9" t="s">
        <v>8</v>
      </c>
      <c r="D101" s="9">
        <v>25.0</v>
      </c>
      <c r="E101" s="10">
        <v>1.0</v>
      </c>
      <c r="F101" s="9">
        <v>4.0</v>
      </c>
      <c r="G101" s="9">
        <v>1.0</v>
      </c>
      <c r="H101" s="9">
        <v>0.0</v>
      </c>
      <c r="I101" s="9">
        <v>0.0</v>
      </c>
      <c r="J101" s="17">
        <v>-1055.0</v>
      </c>
      <c r="K101" s="18">
        <v>-1248.71</v>
      </c>
      <c r="L101" s="17">
        <v>-1132.0</v>
      </c>
      <c r="M101" s="18">
        <v>-1132.0</v>
      </c>
      <c r="N101" s="18">
        <v>0.0</v>
      </c>
      <c r="O101" s="18">
        <v>270.643</v>
      </c>
    </row>
    <row r="102">
      <c r="A102" s="8" t="s">
        <v>107</v>
      </c>
      <c r="B102" s="9">
        <v>35.0</v>
      </c>
      <c r="C102" s="9" t="s">
        <v>8</v>
      </c>
      <c r="D102" s="9">
        <v>25.0</v>
      </c>
      <c r="E102" s="10">
        <v>1.0</v>
      </c>
      <c r="F102" s="9">
        <v>5.0</v>
      </c>
      <c r="G102" s="9">
        <v>1.0</v>
      </c>
      <c r="H102" s="9">
        <v>0.0</v>
      </c>
      <c r="I102" s="9">
        <v>0.0</v>
      </c>
      <c r="J102" s="17">
        <v>-866.0</v>
      </c>
      <c r="K102" s="18">
        <v>-1053.45</v>
      </c>
      <c r="L102" s="17">
        <v>-970.0</v>
      </c>
      <c r="M102" s="18">
        <v>-970.0</v>
      </c>
      <c r="N102" s="18">
        <v>0.0</v>
      </c>
      <c r="O102" s="18">
        <v>195.163</v>
      </c>
    </row>
    <row r="103">
      <c r="A103" s="8" t="s">
        <v>108</v>
      </c>
      <c r="B103" s="9">
        <v>35.0</v>
      </c>
      <c r="C103" s="9" t="s">
        <v>8</v>
      </c>
      <c r="D103" s="9">
        <v>25.0</v>
      </c>
      <c r="E103" s="10">
        <v>2.0</v>
      </c>
      <c r="F103" s="9">
        <v>1.0</v>
      </c>
      <c r="G103" s="9">
        <v>1.0</v>
      </c>
      <c r="H103" s="9">
        <v>0.0</v>
      </c>
      <c r="I103" s="9">
        <v>0.0</v>
      </c>
      <c r="J103" s="17">
        <v>-642.0</v>
      </c>
      <c r="K103" s="18">
        <v>-879.78</v>
      </c>
      <c r="L103" s="17">
        <v>-732.0</v>
      </c>
      <c r="M103" s="18">
        <v>-732.0</v>
      </c>
      <c r="N103" s="18">
        <v>0.0</v>
      </c>
      <c r="O103" s="18">
        <v>435.069</v>
      </c>
    </row>
    <row r="104">
      <c r="A104" s="8" t="s">
        <v>109</v>
      </c>
      <c r="B104" s="9">
        <v>35.0</v>
      </c>
      <c r="C104" s="9" t="s">
        <v>8</v>
      </c>
      <c r="D104" s="9">
        <v>25.0</v>
      </c>
      <c r="E104" s="10">
        <v>2.0</v>
      </c>
      <c r="F104" s="9">
        <v>2.0</v>
      </c>
      <c r="G104" s="9">
        <v>1.0</v>
      </c>
      <c r="H104" s="9">
        <v>0.0</v>
      </c>
      <c r="I104" s="9">
        <v>0.0</v>
      </c>
      <c r="J104" s="17">
        <v>-508.0</v>
      </c>
      <c r="K104" s="18">
        <v>-859.153</v>
      </c>
      <c r="L104" s="17">
        <v>-612.0</v>
      </c>
      <c r="M104" s="18">
        <v>-612.0</v>
      </c>
      <c r="N104" s="18">
        <v>0.0</v>
      </c>
      <c r="O104" s="18">
        <v>3498.15</v>
      </c>
    </row>
    <row r="105">
      <c r="A105" s="8" t="s">
        <v>110</v>
      </c>
      <c r="B105" s="9">
        <v>35.0</v>
      </c>
      <c r="C105" s="9" t="s">
        <v>8</v>
      </c>
      <c r="D105" s="9">
        <v>25.0</v>
      </c>
      <c r="E105" s="10">
        <v>2.0</v>
      </c>
      <c r="F105" s="9">
        <v>3.0</v>
      </c>
      <c r="G105" s="9">
        <v>0.0</v>
      </c>
      <c r="H105" s="9">
        <v>1.0</v>
      </c>
      <c r="I105" s="9">
        <v>0.0</v>
      </c>
      <c r="J105" s="17">
        <v>-97.0</v>
      </c>
      <c r="K105" s="18">
        <v>-857.055</v>
      </c>
      <c r="L105" s="17">
        <v>-452.0</v>
      </c>
      <c r="M105" s="18">
        <v>-595.344</v>
      </c>
      <c r="N105" s="18">
        <v>31.7133</v>
      </c>
      <c r="O105" s="18">
        <v>3600.0</v>
      </c>
    </row>
    <row r="106">
      <c r="A106" s="8" t="s">
        <v>111</v>
      </c>
      <c r="B106" s="9">
        <v>35.0</v>
      </c>
      <c r="C106" s="9" t="s">
        <v>8</v>
      </c>
      <c r="D106" s="9">
        <v>25.0</v>
      </c>
      <c r="E106" s="10">
        <v>2.0</v>
      </c>
      <c r="F106" s="9">
        <v>4.0</v>
      </c>
      <c r="G106" s="9">
        <v>1.0</v>
      </c>
      <c r="H106" s="9">
        <v>0.0</v>
      </c>
      <c r="I106" s="9">
        <v>0.0</v>
      </c>
      <c r="J106" s="17">
        <v>-657.0</v>
      </c>
      <c r="K106" s="18">
        <v>-868.473</v>
      </c>
      <c r="L106" s="17">
        <v>-681.0</v>
      </c>
      <c r="M106" s="18">
        <v>-681.0</v>
      </c>
      <c r="N106" s="18">
        <v>0.0</v>
      </c>
      <c r="O106" s="18">
        <v>1799.92</v>
      </c>
    </row>
    <row r="107">
      <c r="A107" s="8" t="s">
        <v>112</v>
      </c>
      <c r="B107" s="9">
        <v>35.0</v>
      </c>
      <c r="C107" s="9" t="s">
        <v>8</v>
      </c>
      <c r="D107" s="9">
        <v>25.0</v>
      </c>
      <c r="E107" s="10">
        <v>2.0</v>
      </c>
      <c r="F107" s="9">
        <v>5.0</v>
      </c>
      <c r="G107" s="9">
        <v>0.0</v>
      </c>
      <c r="H107" s="9">
        <v>1.0</v>
      </c>
      <c r="I107" s="9">
        <v>0.0</v>
      </c>
      <c r="J107" s="17">
        <v>117.0</v>
      </c>
      <c r="K107" s="18">
        <v>-541.749</v>
      </c>
      <c r="L107" s="17">
        <v>-182.0</v>
      </c>
      <c r="M107" s="18">
        <v>-300.48</v>
      </c>
      <c r="N107" s="18">
        <v>65.099</v>
      </c>
      <c r="O107" s="18">
        <v>3600.0</v>
      </c>
    </row>
    <row r="108">
      <c r="A108" s="8" t="s">
        <v>113</v>
      </c>
      <c r="B108" s="9">
        <v>35.0</v>
      </c>
      <c r="C108" s="9" t="s">
        <v>8</v>
      </c>
      <c r="D108" s="9">
        <v>50.0</v>
      </c>
      <c r="E108" s="10">
        <v>0.6</v>
      </c>
      <c r="F108" s="9">
        <v>1.0</v>
      </c>
      <c r="G108" s="9">
        <v>1.0</v>
      </c>
      <c r="H108" s="9">
        <v>0.0</v>
      </c>
      <c r="I108" s="9">
        <v>0.0</v>
      </c>
      <c r="J108" s="17">
        <v>-1898.0</v>
      </c>
      <c r="K108" s="18">
        <v>-2288.75</v>
      </c>
      <c r="L108" s="17">
        <v>-2002.0</v>
      </c>
      <c r="M108" s="18">
        <v>-2002.0</v>
      </c>
      <c r="N108" s="18">
        <v>0.0</v>
      </c>
      <c r="O108" s="18">
        <v>787.013</v>
      </c>
    </row>
    <row r="109">
      <c r="A109" s="8" t="s">
        <v>114</v>
      </c>
      <c r="B109" s="9">
        <v>35.0</v>
      </c>
      <c r="C109" s="9" t="s">
        <v>8</v>
      </c>
      <c r="D109" s="9">
        <v>50.0</v>
      </c>
      <c r="E109" s="10">
        <v>0.6</v>
      </c>
      <c r="F109" s="9">
        <v>2.0</v>
      </c>
      <c r="G109" s="9">
        <v>1.0</v>
      </c>
      <c r="H109" s="9">
        <v>0.0</v>
      </c>
      <c r="I109" s="9">
        <v>0.0</v>
      </c>
      <c r="J109" s="17">
        <v>-1572.0</v>
      </c>
      <c r="K109" s="18">
        <v>-2117.88</v>
      </c>
      <c r="L109" s="17">
        <v>-1885.0</v>
      </c>
      <c r="M109" s="18">
        <v>-1885.0</v>
      </c>
      <c r="N109" s="18">
        <v>0.0</v>
      </c>
      <c r="O109" s="18">
        <v>230.731</v>
      </c>
    </row>
    <row r="110">
      <c r="A110" s="8" t="s">
        <v>115</v>
      </c>
      <c r="B110" s="9">
        <v>35.0</v>
      </c>
      <c r="C110" s="9" t="s">
        <v>8</v>
      </c>
      <c r="D110" s="9">
        <v>50.0</v>
      </c>
      <c r="E110" s="10">
        <v>0.6</v>
      </c>
      <c r="F110" s="9">
        <v>3.0</v>
      </c>
      <c r="G110" s="9">
        <v>1.0</v>
      </c>
      <c r="H110" s="9">
        <v>0.0</v>
      </c>
      <c r="I110" s="9">
        <v>0.0</v>
      </c>
      <c r="J110" s="17">
        <v>-1117.0</v>
      </c>
      <c r="K110" s="18">
        <v>-1902.14</v>
      </c>
      <c r="L110" s="17">
        <v>-1562.0</v>
      </c>
      <c r="M110" s="18">
        <v>-1562.0</v>
      </c>
      <c r="N110" s="18">
        <v>0.0</v>
      </c>
      <c r="O110" s="18">
        <v>1364.17</v>
      </c>
    </row>
    <row r="111">
      <c r="A111" s="8" t="s">
        <v>116</v>
      </c>
      <c r="B111" s="9">
        <v>35.0</v>
      </c>
      <c r="C111" s="9" t="s">
        <v>8</v>
      </c>
      <c r="D111" s="9">
        <v>50.0</v>
      </c>
      <c r="E111" s="10">
        <v>0.6</v>
      </c>
      <c r="F111" s="9">
        <v>4.0</v>
      </c>
      <c r="G111" s="9">
        <v>1.0</v>
      </c>
      <c r="H111" s="9">
        <v>0.0</v>
      </c>
      <c r="I111" s="9">
        <v>0.0</v>
      </c>
      <c r="J111" s="17">
        <v>-1694.0</v>
      </c>
      <c r="K111" s="18">
        <v>-2253.35</v>
      </c>
      <c r="L111" s="17">
        <v>-1982.0</v>
      </c>
      <c r="M111" s="18">
        <v>-1982.0</v>
      </c>
      <c r="N111" s="18">
        <v>0.0</v>
      </c>
      <c r="O111" s="18">
        <v>758.631</v>
      </c>
    </row>
    <row r="112">
      <c r="A112" s="8" t="s">
        <v>117</v>
      </c>
      <c r="B112" s="9">
        <v>35.0</v>
      </c>
      <c r="C112" s="9" t="s">
        <v>8</v>
      </c>
      <c r="D112" s="9">
        <v>50.0</v>
      </c>
      <c r="E112" s="10">
        <v>0.6</v>
      </c>
      <c r="F112" s="9">
        <v>5.0</v>
      </c>
      <c r="G112" s="9">
        <v>1.0</v>
      </c>
      <c r="H112" s="9">
        <v>0.0</v>
      </c>
      <c r="I112" s="9">
        <v>0.0</v>
      </c>
      <c r="J112" s="17">
        <v>-1275.0</v>
      </c>
      <c r="K112" s="18">
        <v>-1907.67</v>
      </c>
      <c r="L112" s="17">
        <v>-1654.0</v>
      </c>
      <c r="M112" s="18">
        <v>-1654.0</v>
      </c>
      <c r="N112" s="18">
        <v>0.0</v>
      </c>
      <c r="O112" s="18">
        <v>397.419</v>
      </c>
    </row>
    <row r="113">
      <c r="A113" s="8" t="s">
        <v>118</v>
      </c>
      <c r="B113" s="9">
        <v>35.0</v>
      </c>
      <c r="C113" s="9" t="s">
        <v>8</v>
      </c>
      <c r="D113" s="9">
        <v>50.0</v>
      </c>
      <c r="E113" s="10">
        <v>1.0</v>
      </c>
      <c r="F113" s="9">
        <v>1.0</v>
      </c>
      <c r="G113" s="9">
        <v>0.0</v>
      </c>
      <c r="H113" s="9">
        <v>1.0</v>
      </c>
      <c r="I113" s="9">
        <v>0.0</v>
      </c>
      <c r="J113" s="17">
        <v>-1064.0</v>
      </c>
      <c r="K113" s="18">
        <v>-2171.26</v>
      </c>
      <c r="L113" s="17">
        <v>-1532.0</v>
      </c>
      <c r="M113" s="18">
        <v>-1878.09</v>
      </c>
      <c r="N113" s="18">
        <v>22.5908</v>
      </c>
      <c r="O113" s="18">
        <v>3600.0</v>
      </c>
    </row>
    <row r="114">
      <c r="A114" s="8" t="s">
        <v>119</v>
      </c>
      <c r="B114" s="9">
        <v>35.0</v>
      </c>
      <c r="C114" s="9" t="s">
        <v>8</v>
      </c>
      <c r="D114" s="9">
        <v>50.0</v>
      </c>
      <c r="E114" s="10">
        <v>1.0</v>
      </c>
      <c r="F114" s="9">
        <v>2.0</v>
      </c>
      <c r="G114" s="9">
        <v>1.0</v>
      </c>
      <c r="H114" s="9">
        <v>0.0</v>
      </c>
      <c r="I114" s="9">
        <v>0.0</v>
      </c>
      <c r="J114" s="17">
        <v>-1328.0</v>
      </c>
      <c r="K114" s="18">
        <v>-2073.49</v>
      </c>
      <c r="L114" s="17">
        <v>-1750.0</v>
      </c>
      <c r="M114" s="18">
        <v>-1750.0</v>
      </c>
      <c r="N114" s="18">
        <v>0.0</v>
      </c>
      <c r="O114" s="18">
        <v>1495.5</v>
      </c>
    </row>
    <row r="115">
      <c r="A115" s="8" t="s">
        <v>120</v>
      </c>
      <c r="B115" s="9">
        <v>35.0</v>
      </c>
      <c r="C115" s="9" t="s">
        <v>8</v>
      </c>
      <c r="D115" s="9">
        <v>50.0</v>
      </c>
      <c r="E115" s="10">
        <v>1.0</v>
      </c>
      <c r="F115" s="9">
        <v>3.0</v>
      </c>
      <c r="G115" s="9">
        <v>0.0</v>
      </c>
      <c r="H115" s="9">
        <v>1.0</v>
      </c>
      <c r="I115" s="9">
        <v>0.0</v>
      </c>
      <c r="J115" s="17">
        <v>-837.0</v>
      </c>
      <c r="K115" s="18">
        <v>-1817.16</v>
      </c>
      <c r="L115" s="17">
        <v>-1367.0</v>
      </c>
      <c r="M115" s="18">
        <v>-1520.44</v>
      </c>
      <c r="N115" s="18">
        <v>11.2244</v>
      </c>
      <c r="O115" s="18">
        <v>3600.0</v>
      </c>
    </row>
    <row r="116">
      <c r="A116" s="8" t="s">
        <v>121</v>
      </c>
      <c r="B116" s="9">
        <v>35.0</v>
      </c>
      <c r="C116" s="9" t="s">
        <v>8</v>
      </c>
      <c r="D116" s="9">
        <v>50.0</v>
      </c>
      <c r="E116" s="10">
        <v>1.0</v>
      </c>
      <c r="F116" s="9">
        <v>4.0</v>
      </c>
      <c r="G116" s="9">
        <v>0.0</v>
      </c>
      <c r="H116" s="9">
        <v>1.0</v>
      </c>
      <c r="I116" s="9">
        <v>0.0</v>
      </c>
      <c r="J116" s="17">
        <v>-1398.0</v>
      </c>
      <c r="K116" s="18">
        <v>-2207.6</v>
      </c>
      <c r="L116" s="17">
        <v>-1721.0</v>
      </c>
      <c r="M116" s="18">
        <v>-1933.44</v>
      </c>
      <c r="N116" s="18">
        <v>12.344</v>
      </c>
      <c r="O116" s="18">
        <v>3600.0</v>
      </c>
    </row>
    <row r="117">
      <c r="A117" s="8" t="s">
        <v>122</v>
      </c>
      <c r="B117" s="9">
        <v>35.0</v>
      </c>
      <c r="C117" s="9" t="s">
        <v>8</v>
      </c>
      <c r="D117" s="9">
        <v>50.0</v>
      </c>
      <c r="E117" s="10">
        <v>1.0</v>
      </c>
      <c r="F117" s="9">
        <v>5.0</v>
      </c>
      <c r="G117" s="9">
        <v>0.0</v>
      </c>
      <c r="H117" s="9">
        <v>1.0</v>
      </c>
      <c r="I117" s="9">
        <v>0.0</v>
      </c>
      <c r="J117" s="17">
        <v>-857.0</v>
      </c>
      <c r="K117" s="18">
        <v>-1817.71</v>
      </c>
      <c r="L117" s="17">
        <v>-1278.0</v>
      </c>
      <c r="M117" s="18">
        <v>-1556.1</v>
      </c>
      <c r="N117" s="18">
        <v>21.7605</v>
      </c>
      <c r="O117" s="18">
        <v>3600.0</v>
      </c>
    </row>
    <row r="118">
      <c r="A118" s="8" t="s">
        <v>123</v>
      </c>
      <c r="B118" s="9">
        <v>35.0</v>
      </c>
      <c r="C118" s="9" t="s">
        <v>8</v>
      </c>
      <c r="D118" s="9">
        <v>50.0</v>
      </c>
      <c r="E118" s="10">
        <v>2.0</v>
      </c>
      <c r="F118" s="9">
        <v>1.0</v>
      </c>
      <c r="G118" s="9">
        <v>0.0</v>
      </c>
      <c r="H118" s="9">
        <v>1.0</v>
      </c>
      <c r="I118" s="9">
        <v>0.0</v>
      </c>
      <c r="J118" s="17">
        <v>1284.0</v>
      </c>
      <c r="K118" s="18">
        <v>-863.762</v>
      </c>
      <c r="L118" s="17">
        <v>899.0</v>
      </c>
      <c r="M118" s="18">
        <v>-245.702</v>
      </c>
      <c r="N118" s="18">
        <v>127.331</v>
      </c>
      <c r="O118" s="18">
        <v>3600.0</v>
      </c>
    </row>
    <row r="119">
      <c r="A119" s="8" t="s">
        <v>124</v>
      </c>
      <c r="B119" s="9">
        <v>35.0</v>
      </c>
      <c r="C119" s="9" t="s">
        <v>8</v>
      </c>
      <c r="D119" s="9">
        <v>50.0</v>
      </c>
      <c r="E119" s="10">
        <v>2.0</v>
      </c>
      <c r="F119" s="9">
        <v>2.0</v>
      </c>
      <c r="G119" s="9">
        <v>0.0</v>
      </c>
      <c r="H119" s="9">
        <v>1.0</v>
      </c>
      <c r="I119" s="9">
        <v>0.0</v>
      </c>
      <c r="J119" s="17">
        <v>-715.0</v>
      </c>
      <c r="K119" s="18">
        <v>-1454.31</v>
      </c>
      <c r="L119" s="17">
        <v>-1043.0</v>
      </c>
      <c r="M119" s="18">
        <v>-1167.52</v>
      </c>
      <c r="N119" s="18">
        <v>11.9389</v>
      </c>
      <c r="O119" s="18">
        <v>3600.0</v>
      </c>
    </row>
    <row r="120">
      <c r="A120" s="8" t="s">
        <v>125</v>
      </c>
      <c r="B120" s="9">
        <v>35.0</v>
      </c>
      <c r="C120" s="9" t="s">
        <v>8</v>
      </c>
      <c r="D120" s="9">
        <v>50.0</v>
      </c>
      <c r="E120" s="10">
        <v>2.0</v>
      </c>
      <c r="F120" s="9">
        <v>3.0</v>
      </c>
      <c r="G120" s="9">
        <v>0.0</v>
      </c>
      <c r="H120" s="9">
        <v>1.0</v>
      </c>
      <c r="I120" s="9">
        <v>0.0</v>
      </c>
      <c r="J120" s="17">
        <v>596.0</v>
      </c>
      <c r="K120" s="18">
        <v>-865.577</v>
      </c>
      <c r="L120" s="17">
        <v>337.0</v>
      </c>
      <c r="M120" s="18">
        <v>-394.851</v>
      </c>
      <c r="N120" s="18">
        <v>217.166</v>
      </c>
      <c r="O120" s="18">
        <v>3600.0</v>
      </c>
    </row>
    <row r="121">
      <c r="A121" s="8" t="s">
        <v>126</v>
      </c>
      <c r="B121" s="9">
        <v>35.0</v>
      </c>
      <c r="C121" s="9" t="s">
        <v>8</v>
      </c>
      <c r="D121" s="9">
        <v>50.0</v>
      </c>
      <c r="E121" s="10">
        <v>2.0</v>
      </c>
      <c r="F121" s="9">
        <v>4.0</v>
      </c>
      <c r="G121" s="9">
        <v>0.0</v>
      </c>
      <c r="H121" s="9">
        <v>1.0</v>
      </c>
      <c r="I121" s="9">
        <v>0.0</v>
      </c>
      <c r="J121" s="17">
        <v>-258.0</v>
      </c>
      <c r="K121" s="18">
        <v>-1366.46</v>
      </c>
      <c r="L121" s="17">
        <v>-528.0</v>
      </c>
      <c r="M121" s="18">
        <v>-1001.39</v>
      </c>
      <c r="N121" s="18">
        <v>89.658</v>
      </c>
      <c r="O121" s="18">
        <v>3600.0</v>
      </c>
    </row>
    <row r="122">
      <c r="A122" s="8" t="s">
        <v>127</v>
      </c>
      <c r="B122" s="9">
        <v>35.0</v>
      </c>
      <c r="C122" s="9" t="s">
        <v>8</v>
      </c>
      <c r="D122" s="9">
        <v>50.0</v>
      </c>
      <c r="E122" s="10">
        <v>2.0</v>
      </c>
      <c r="F122" s="9">
        <v>5.0</v>
      </c>
      <c r="G122" s="9">
        <v>0.0</v>
      </c>
      <c r="H122" s="9">
        <v>1.0</v>
      </c>
      <c r="I122" s="9">
        <v>0.0</v>
      </c>
      <c r="J122" s="17">
        <v>3745.0</v>
      </c>
      <c r="K122" s="18">
        <v>-814.414</v>
      </c>
      <c r="L122" s="17">
        <v>916.0</v>
      </c>
      <c r="M122" s="18">
        <v>-267.329</v>
      </c>
      <c r="N122" s="18">
        <v>129.184</v>
      </c>
      <c r="O122" s="18">
        <v>3600.0</v>
      </c>
    </row>
    <row r="123">
      <c r="A123" s="8" t="s">
        <v>128</v>
      </c>
      <c r="B123" s="9">
        <v>35.0</v>
      </c>
      <c r="C123" s="9" t="s">
        <v>8</v>
      </c>
      <c r="D123" s="9">
        <v>75.0</v>
      </c>
      <c r="E123" s="10">
        <v>0.6</v>
      </c>
      <c r="F123" s="9">
        <v>1.0</v>
      </c>
      <c r="G123" s="9">
        <v>1.0</v>
      </c>
      <c r="H123" s="9">
        <v>0.0</v>
      </c>
      <c r="I123" s="9">
        <v>0.0</v>
      </c>
      <c r="J123" s="17">
        <v>-856.0</v>
      </c>
      <c r="K123" s="18">
        <v>-2615.0</v>
      </c>
      <c r="L123" s="17">
        <v>-2089.0</v>
      </c>
      <c r="M123" s="18">
        <v>-2089.0</v>
      </c>
      <c r="N123" s="18">
        <v>0.0</v>
      </c>
      <c r="O123" s="18">
        <v>3063.43</v>
      </c>
    </row>
    <row r="124">
      <c r="A124" s="8" t="s">
        <v>129</v>
      </c>
      <c r="B124" s="9">
        <v>35.0</v>
      </c>
      <c r="C124" s="9" t="s">
        <v>8</v>
      </c>
      <c r="D124" s="9">
        <v>75.0</v>
      </c>
      <c r="E124" s="10">
        <v>0.6</v>
      </c>
      <c r="F124" s="9">
        <v>2.0</v>
      </c>
      <c r="G124" s="9">
        <v>0.0</v>
      </c>
      <c r="H124" s="9">
        <v>1.0</v>
      </c>
      <c r="I124" s="9">
        <v>0.0</v>
      </c>
      <c r="J124" s="17">
        <v>-1798.0</v>
      </c>
      <c r="K124" s="18">
        <v>-2979.25</v>
      </c>
      <c r="L124" s="17">
        <v>-2340.0</v>
      </c>
      <c r="M124" s="18">
        <v>-2560.27</v>
      </c>
      <c r="N124" s="18">
        <v>9.41311</v>
      </c>
      <c r="O124" s="18">
        <v>3600.0</v>
      </c>
    </row>
    <row r="125">
      <c r="A125" s="8" t="s">
        <v>130</v>
      </c>
      <c r="B125" s="9">
        <v>35.0</v>
      </c>
      <c r="C125" s="9" t="s">
        <v>8</v>
      </c>
      <c r="D125" s="9">
        <v>75.0</v>
      </c>
      <c r="E125" s="10">
        <v>0.6</v>
      </c>
      <c r="F125" s="9">
        <v>3.0</v>
      </c>
      <c r="G125" s="9">
        <v>0.0</v>
      </c>
      <c r="H125" s="9">
        <v>1.0</v>
      </c>
      <c r="I125" s="9">
        <v>0.0</v>
      </c>
      <c r="J125" s="17">
        <v>-1033.0</v>
      </c>
      <c r="K125" s="18">
        <v>-2641.0</v>
      </c>
      <c r="L125" s="17">
        <v>-1847.0</v>
      </c>
      <c r="M125" s="18">
        <v>-2194.5</v>
      </c>
      <c r="N125" s="18">
        <v>18.8143</v>
      </c>
      <c r="O125" s="18">
        <v>3600.0</v>
      </c>
    </row>
    <row r="126">
      <c r="A126" s="8" t="s">
        <v>131</v>
      </c>
      <c r="B126" s="9">
        <v>35.0</v>
      </c>
      <c r="C126" s="9" t="s">
        <v>8</v>
      </c>
      <c r="D126" s="9">
        <v>75.0</v>
      </c>
      <c r="E126" s="10">
        <v>0.6</v>
      </c>
      <c r="F126" s="9">
        <v>4.0</v>
      </c>
      <c r="G126" s="9">
        <v>0.0</v>
      </c>
      <c r="H126" s="9">
        <v>1.0</v>
      </c>
      <c r="I126" s="9">
        <v>0.0</v>
      </c>
      <c r="J126" s="17">
        <v>-1400.0</v>
      </c>
      <c r="K126" s="18">
        <v>-2742.5</v>
      </c>
      <c r="L126" s="17">
        <v>-2192.0</v>
      </c>
      <c r="M126" s="18">
        <v>-2272.38</v>
      </c>
      <c r="N126" s="18">
        <v>3.66674</v>
      </c>
      <c r="O126" s="18">
        <v>3600.0</v>
      </c>
    </row>
    <row r="127">
      <c r="A127" s="8" t="s">
        <v>132</v>
      </c>
      <c r="B127" s="9">
        <v>35.0</v>
      </c>
      <c r="C127" s="9" t="s">
        <v>8</v>
      </c>
      <c r="D127" s="9">
        <v>75.0</v>
      </c>
      <c r="E127" s="10">
        <v>0.6</v>
      </c>
      <c r="F127" s="9">
        <v>5.0</v>
      </c>
      <c r="G127" s="9">
        <v>0.0</v>
      </c>
      <c r="H127" s="9">
        <v>1.0</v>
      </c>
      <c r="I127" s="9">
        <v>0.0</v>
      </c>
      <c r="J127" s="17">
        <v>-1640.0</v>
      </c>
      <c r="K127" s="18">
        <v>-2902.25</v>
      </c>
      <c r="L127" s="17">
        <v>-2107.0</v>
      </c>
      <c r="M127" s="18">
        <v>-2406.44</v>
      </c>
      <c r="N127" s="18">
        <v>14.2119</v>
      </c>
      <c r="O127" s="18">
        <v>3600.0</v>
      </c>
    </row>
    <row r="128">
      <c r="A128" s="8" t="s">
        <v>133</v>
      </c>
      <c r="B128" s="9">
        <v>35.0</v>
      </c>
      <c r="C128" s="9" t="s">
        <v>8</v>
      </c>
      <c r="D128" s="9">
        <v>75.0</v>
      </c>
      <c r="E128" s="10">
        <v>1.0</v>
      </c>
      <c r="F128" s="9">
        <v>1.0</v>
      </c>
      <c r="G128" s="9">
        <v>0.0</v>
      </c>
      <c r="H128" s="9">
        <v>1.0</v>
      </c>
      <c r="I128" s="9">
        <v>0.0</v>
      </c>
      <c r="J128" s="17">
        <v>-1301.0</v>
      </c>
      <c r="K128" s="18">
        <v>-2517.26</v>
      </c>
      <c r="L128" s="17">
        <v>-1669.0</v>
      </c>
      <c r="M128" s="18">
        <v>-2093.84</v>
      </c>
      <c r="N128" s="18">
        <v>25.4546</v>
      </c>
      <c r="O128" s="18">
        <v>3600.0</v>
      </c>
    </row>
    <row r="129">
      <c r="A129" s="8" t="s">
        <v>134</v>
      </c>
      <c r="B129" s="9">
        <v>35.0</v>
      </c>
      <c r="C129" s="9" t="s">
        <v>8</v>
      </c>
      <c r="D129" s="9">
        <v>75.0</v>
      </c>
      <c r="E129" s="10">
        <v>1.0</v>
      </c>
      <c r="F129" s="9">
        <v>2.0</v>
      </c>
      <c r="G129" s="9">
        <v>0.0</v>
      </c>
      <c r="H129" s="9">
        <v>1.0</v>
      </c>
      <c r="I129" s="9">
        <v>0.0</v>
      </c>
      <c r="J129" s="17">
        <v>-1610.0</v>
      </c>
      <c r="K129" s="18">
        <v>-2862.37</v>
      </c>
      <c r="L129" s="17">
        <v>-1807.0</v>
      </c>
      <c r="M129" s="18">
        <v>-2478.67</v>
      </c>
      <c r="N129" s="18">
        <v>37.1702</v>
      </c>
      <c r="O129" s="18">
        <v>3600.0</v>
      </c>
    </row>
    <row r="130">
      <c r="A130" s="8" t="s">
        <v>135</v>
      </c>
      <c r="B130" s="9">
        <v>35.0</v>
      </c>
      <c r="C130" s="9" t="s">
        <v>8</v>
      </c>
      <c r="D130" s="9">
        <v>75.0</v>
      </c>
      <c r="E130" s="10">
        <v>1.0</v>
      </c>
      <c r="F130" s="9">
        <v>3.0</v>
      </c>
      <c r="G130" s="9">
        <v>0.0</v>
      </c>
      <c r="H130" s="9">
        <v>1.0</v>
      </c>
      <c r="I130" s="9">
        <v>0.0</v>
      </c>
      <c r="J130" s="17">
        <v>-597.0</v>
      </c>
      <c r="K130" s="18">
        <v>-2542.72</v>
      </c>
      <c r="L130" s="17">
        <v>-1464.0</v>
      </c>
      <c r="M130" s="18">
        <v>-2120.48</v>
      </c>
      <c r="N130" s="18">
        <v>44.8416</v>
      </c>
      <c r="O130" s="18">
        <v>3600.0</v>
      </c>
    </row>
    <row r="131">
      <c r="A131" s="8" t="s">
        <v>136</v>
      </c>
      <c r="B131" s="9">
        <v>35.0</v>
      </c>
      <c r="C131" s="9" t="s">
        <v>8</v>
      </c>
      <c r="D131" s="9">
        <v>75.0</v>
      </c>
      <c r="E131" s="10">
        <v>1.0</v>
      </c>
      <c r="F131" s="9">
        <v>4.0</v>
      </c>
      <c r="G131" s="9">
        <v>0.0</v>
      </c>
      <c r="H131" s="9">
        <v>1.0</v>
      </c>
      <c r="I131" s="9">
        <v>0.0</v>
      </c>
      <c r="J131" s="17">
        <v>-1171.0</v>
      </c>
      <c r="K131" s="18">
        <v>-2720.2</v>
      </c>
      <c r="L131" s="17">
        <v>-2007.0</v>
      </c>
      <c r="M131" s="18">
        <v>-2354.43</v>
      </c>
      <c r="N131" s="18">
        <v>17.311</v>
      </c>
      <c r="O131" s="18">
        <v>3600.0</v>
      </c>
    </row>
    <row r="132">
      <c r="A132" s="8" t="s">
        <v>137</v>
      </c>
      <c r="B132" s="9">
        <v>35.0</v>
      </c>
      <c r="C132" s="9" t="s">
        <v>8</v>
      </c>
      <c r="D132" s="9">
        <v>75.0</v>
      </c>
      <c r="E132" s="10">
        <v>1.0</v>
      </c>
      <c r="F132" s="9">
        <v>5.0</v>
      </c>
      <c r="G132" s="9">
        <v>0.0</v>
      </c>
      <c r="H132" s="9">
        <v>1.0</v>
      </c>
      <c r="I132" s="9">
        <v>0.0</v>
      </c>
      <c r="J132" s="17">
        <v>-1155.0</v>
      </c>
      <c r="K132" s="18">
        <v>-2821.51</v>
      </c>
      <c r="L132" s="17">
        <v>-1818.0</v>
      </c>
      <c r="M132" s="18">
        <v>-2380.08</v>
      </c>
      <c r="N132" s="18">
        <v>30.9176</v>
      </c>
      <c r="O132" s="18">
        <v>3600.0</v>
      </c>
    </row>
    <row r="133">
      <c r="A133" s="8" t="s">
        <v>138</v>
      </c>
      <c r="B133" s="9">
        <v>35.0</v>
      </c>
      <c r="C133" s="9" t="s">
        <v>8</v>
      </c>
      <c r="D133" s="9">
        <v>75.0</v>
      </c>
      <c r="E133" s="10">
        <v>2.0</v>
      </c>
      <c r="F133" s="9">
        <v>1.0</v>
      </c>
      <c r="G133" s="9">
        <v>0.0</v>
      </c>
      <c r="H133" s="9">
        <v>1.0</v>
      </c>
      <c r="I133" s="9">
        <v>0.0</v>
      </c>
      <c r="J133" s="17">
        <v>1044.0</v>
      </c>
      <c r="K133" s="18">
        <v>-984.722</v>
      </c>
      <c r="L133" s="17">
        <v>445.0</v>
      </c>
      <c r="M133" s="18">
        <v>-471.06</v>
      </c>
      <c r="N133" s="18">
        <v>205.856</v>
      </c>
      <c r="O133" s="18">
        <v>3600.0</v>
      </c>
    </row>
    <row r="134">
      <c r="A134" s="8" t="s">
        <v>139</v>
      </c>
      <c r="B134" s="9">
        <v>35.0</v>
      </c>
      <c r="C134" s="9" t="s">
        <v>8</v>
      </c>
      <c r="D134" s="9">
        <v>75.0</v>
      </c>
      <c r="E134" s="10">
        <v>2.0</v>
      </c>
      <c r="F134" s="9">
        <v>2.0</v>
      </c>
      <c r="G134" s="9">
        <v>0.0</v>
      </c>
      <c r="H134" s="9">
        <v>1.0</v>
      </c>
      <c r="I134" s="9">
        <v>0.0</v>
      </c>
      <c r="J134" s="17">
        <v>650.0</v>
      </c>
      <c r="K134" s="18">
        <v>-1398.98</v>
      </c>
      <c r="L134" s="17">
        <v>229.0</v>
      </c>
      <c r="M134" s="18">
        <v>-918.299</v>
      </c>
      <c r="N134" s="18">
        <v>501.004</v>
      </c>
      <c r="O134" s="18">
        <v>3600.0</v>
      </c>
    </row>
    <row r="135">
      <c r="A135" s="8" t="s">
        <v>140</v>
      </c>
      <c r="B135" s="9">
        <v>35.0</v>
      </c>
      <c r="C135" s="9" t="s">
        <v>8</v>
      </c>
      <c r="D135" s="9">
        <v>75.0</v>
      </c>
      <c r="E135" s="10">
        <v>2.0</v>
      </c>
      <c r="F135" s="9">
        <v>3.0</v>
      </c>
      <c r="G135" s="9">
        <v>0.0</v>
      </c>
      <c r="H135" s="9">
        <v>1.0</v>
      </c>
      <c r="I135" s="9">
        <v>0.0</v>
      </c>
      <c r="J135" s="17">
        <v>1648.0</v>
      </c>
      <c r="K135" s="18">
        <v>-898.536</v>
      </c>
      <c r="L135" s="17">
        <v>1075.0</v>
      </c>
      <c r="M135" s="18">
        <v>-188.967</v>
      </c>
      <c r="N135" s="18">
        <v>117.578</v>
      </c>
      <c r="O135" s="18">
        <v>3600.0</v>
      </c>
    </row>
    <row r="136">
      <c r="A136" s="8" t="s">
        <v>141</v>
      </c>
      <c r="B136" s="9">
        <v>35.0</v>
      </c>
      <c r="C136" s="9" t="s">
        <v>8</v>
      </c>
      <c r="D136" s="9">
        <v>75.0</v>
      </c>
      <c r="E136" s="10">
        <v>2.0</v>
      </c>
      <c r="F136" s="9">
        <v>4.0</v>
      </c>
      <c r="G136" s="9">
        <v>0.0</v>
      </c>
      <c r="H136" s="9">
        <v>1.0</v>
      </c>
      <c r="I136" s="9">
        <v>0.0</v>
      </c>
      <c r="J136" s="17">
        <v>-597.0</v>
      </c>
      <c r="K136" s="18">
        <v>-2088.3</v>
      </c>
      <c r="L136" s="17">
        <v>-1161.0</v>
      </c>
      <c r="M136" s="18">
        <v>-1651.2</v>
      </c>
      <c r="N136" s="18">
        <v>42.2221</v>
      </c>
      <c r="O136" s="18">
        <v>3600.0</v>
      </c>
    </row>
    <row r="137">
      <c r="A137" s="8" t="s">
        <v>142</v>
      </c>
      <c r="B137" s="9">
        <v>35.0</v>
      </c>
      <c r="C137" s="9" t="s">
        <v>8</v>
      </c>
      <c r="D137" s="9">
        <v>75.0</v>
      </c>
      <c r="E137" s="10">
        <v>2.0</v>
      </c>
      <c r="F137" s="9">
        <v>5.0</v>
      </c>
      <c r="G137" s="9">
        <v>0.0</v>
      </c>
      <c r="H137" s="9">
        <v>1.0</v>
      </c>
      <c r="I137" s="9">
        <v>0.0</v>
      </c>
      <c r="J137" s="17">
        <v>517.0</v>
      </c>
      <c r="K137" s="18">
        <v>-1416.03</v>
      </c>
      <c r="L137" s="17">
        <v>-140.0</v>
      </c>
      <c r="M137" s="18">
        <v>-971.351</v>
      </c>
      <c r="N137" s="18">
        <v>593.822</v>
      </c>
      <c r="O137" s="18">
        <v>3600.0</v>
      </c>
    </row>
    <row r="138">
      <c r="A138" s="8" t="s">
        <v>233</v>
      </c>
      <c r="B138" s="9">
        <v>25.0</v>
      </c>
      <c r="C138" s="14" t="s">
        <v>234</v>
      </c>
      <c r="D138" s="9">
        <v>25.0</v>
      </c>
      <c r="E138" s="10">
        <v>0.6</v>
      </c>
      <c r="F138" s="9">
        <v>1.0</v>
      </c>
      <c r="G138" s="9">
        <v>1.0</v>
      </c>
      <c r="H138" s="9">
        <v>0.0</v>
      </c>
      <c r="I138" s="9">
        <v>0.0</v>
      </c>
      <c r="J138" s="17">
        <v>276.0</v>
      </c>
      <c r="K138" s="18">
        <v>164.0</v>
      </c>
      <c r="L138" s="17">
        <v>261.0</v>
      </c>
      <c r="M138" s="18">
        <v>261.0</v>
      </c>
      <c r="N138" s="18">
        <v>0.0</v>
      </c>
      <c r="O138" s="18">
        <v>0.958</v>
      </c>
    </row>
    <row r="139">
      <c r="A139" s="8" t="s">
        <v>235</v>
      </c>
      <c r="B139" s="9">
        <v>25.0</v>
      </c>
      <c r="C139" s="14" t="s">
        <v>234</v>
      </c>
      <c r="D139" s="9">
        <v>25.0</v>
      </c>
      <c r="E139" s="10">
        <v>0.6</v>
      </c>
      <c r="F139" s="9">
        <v>2.0</v>
      </c>
      <c r="G139" s="9">
        <v>1.0</v>
      </c>
      <c r="H139" s="9">
        <v>0.0</v>
      </c>
      <c r="I139" s="9">
        <v>0.0</v>
      </c>
      <c r="J139" s="17">
        <v>265.0</v>
      </c>
      <c r="K139" s="18">
        <v>139.409</v>
      </c>
      <c r="L139" s="17">
        <v>236.0</v>
      </c>
      <c r="M139" s="18">
        <v>236.0</v>
      </c>
      <c r="N139" s="18">
        <v>0.0</v>
      </c>
      <c r="O139" s="18">
        <v>1.296</v>
      </c>
    </row>
    <row r="140">
      <c r="A140" s="8" t="s">
        <v>236</v>
      </c>
      <c r="B140" s="9">
        <v>25.0</v>
      </c>
      <c r="C140" s="14" t="s">
        <v>234</v>
      </c>
      <c r="D140" s="9">
        <v>25.0</v>
      </c>
      <c r="E140" s="10">
        <v>0.6</v>
      </c>
      <c r="F140" s="9">
        <v>3.0</v>
      </c>
      <c r="G140" s="9">
        <v>1.0</v>
      </c>
      <c r="H140" s="9">
        <v>0.0</v>
      </c>
      <c r="I140" s="9">
        <v>0.0</v>
      </c>
      <c r="J140" s="17">
        <v>405.0</v>
      </c>
      <c r="K140" s="18">
        <v>169.667</v>
      </c>
      <c r="L140" s="17">
        <v>281.0</v>
      </c>
      <c r="M140" s="18">
        <v>281.0</v>
      </c>
      <c r="N140" s="18">
        <v>0.0</v>
      </c>
      <c r="O140" s="18">
        <v>3.969</v>
      </c>
    </row>
    <row r="141">
      <c r="A141" s="8" t="s">
        <v>237</v>
      </c>
      <c r="B141" s="9">
        <v>25.0</v>
      </c>
      <c r="C141" s="14" t="s">
        <v>234</v>
      </c>
      <c r="D141" s="9">
        <v>25.0</v>
      </c>
      <c r="E141" s="10">
        <v>0.6</v>
      </c>
      <c r="F141" s="9">
        <v>4.0</v>
      </c>
      <c r="G141" s="9">
        <v>1.0</v>
      </c>
      <c r="H141" s="9">
        <v>0.0</v>
      </c>
      <c r="I141" s="9">
        <v>0.0</v>
      </c>
      <c r="J141" s="17">
        <v>286.0</v>
      </c>
      <c r="K141" s="18">
        <v>160.0</v>
      </c>
      <c r="L141" s="17">
        <v>236.0</v>
      </c>
      <c r="M141" s="18">
        <v>236.0</v>
      </c>
      <c r="N141" s="18">
        <v>0.0</v>
      </c>
      <c r="O141" s="18">
        <v>4.787</v>
      </c>
    </row>
    <row r="142">
      <c r="A142" s="8" t="s">
        <v>238</v>
      </c>
      <c r="B142" s="9">
        <v>25.0</v>
      </c>
      <c r="C142" s="14" t="s">
        <v>234</v>
      </c>
      <c r="D142" s="9">
        <v>25.0</v>
      </c>
      <c r="E142" s="10">
        <v>0.6</v>
      </c>
      <c r="F142" s="9">
        <v>5.0</v>
      </c>
      <c r="G142" s="9">
        <v>1.0</v>
      </c>
      <c r="H142" s="9">
        <v>0.0</v>
      </c>
      <c r="I142" s="9">
        <v>0.0</v>
      </c>
      <c r="J142" s="17">
        <v>294.0</v>
      </c>
      <c r="K142" s="18">
        <v>201.0</v>
      </c>
      <c r="L142" s="17">
        <v>268.0</v>
      </c>
      <c r="M142" s="18">
        <v>268.0</v>
      </c>
      <c r="N142" s="18">
        <v>0.0</v>
      </c>
      <c r="O142" s="18">
        <v>1.377</v>
      </c>
    </row>
    <row r="143">
      <c r="A143" s="8" t="s">
        <v>239</v>
      </c>
      <c r="B143" s="9">
        <v>25.0</v>
      </c>
      <c r="C143" s="14" t="s">
        <v>234</v>
      </c>
      <c r="D143" s="9">
        <v>25.0</v>
      </c>
      <c r="E143" s="10">
        <v>1.0</v>
      </c>
      <c r="F143" s="9">
        <v>1.0</v>
      </c>
      <c r="G143" s="9">
        <v>1.0</v>
      </c>
      <c r="H143" s="9">
        <v>0.0</v>
      </c>
      <c r="I143" s="9">
        <v>0.0</v>
      </c>
      <c r="J143" s="17">
        <v>1801.0</v>
      </c>
      <c r="K143" s="18">
        <v>674.913</v>
      </c>
      <c r="L143" s="17">
        <v>1390.0</v>
      </c>
      <c r="M143" s="18">
        <v>1390.0</v>
      </c>
      <c r="N143" s="18">
        <v>0.0</v>
      </c>
      <c r="O143" s="18">
        <v>178.604</v>
      </c>
    </row>
    <row r="144">
      <c r="A144" s="8" t="s">
        <v>240</v>
      </c>
      <c r="B144" s="9">
        <v>25.0</v>
      </c>
      <c r="C144" s="14" t="s">
        <v>234</v>
      </c>
      <c r="D144" s="9">
        <v>25.0</v>
      </c>
      <c r="E144" s="10">
        <v>1.0</v>
      </c>
      <c r="F144" s="9">
        <v>2.0</v>
      </c>
      <c r="G144" s="9">
        <v>1.0</v>
      </c>
      <c r="H144" s="9">
        <v>0.0</v>
      </c>
      <c r="I144" s="9">
        <v>0.0</v>
      </c>
      <c r="J144" s="17">
        <v>1518.0</v>
      </c>
      <c r="K144" s="18">
        <v>589.813</v>
      </c>
      <c r="L144" s="17">
        <v>1306.0</v>
      </c>
      <c r="M144" s="18">
        <v>1306.0</v>
      </c>
      <c r="N144" s="18">
        <v>0.0</v>
      </c>
      <c r="O144" s="18">
        <v>1528.58</v>
      </c>
    </row>
    <row r="145">
      <c r="A145" s="8" t="s">
        <v>241</v>
      </c>
      <c r="B145" s="9">
        <v>25.0</v>
      </c>
      <c r="C145" s="14" t="s">
        <v>234</v>
      </c>
      <c r="D145" s="9">
        <v>25.0</v>
      </c>
      <c r="E145" s="10">
        <v>1.0</v>
      </c>
      <c r="F145" s="9">
        <v>3.0</v>
      </c>
      <c r="G145" s="9">
        <v>1.0</v>
      </c>
      <c r="H145" s="9">
        <v>0.0</v>
      </c>
      <c r="I145" s="9">
        <v>0.0</v>
      </c>
      <c r="J145" s="17">
        <v>2012.0</v>
      </c>
      <c r="K145" s="18">
        <v>703.224</v>
      </c>
      <c r="L145" s="17">
        <v>1510.0</v>
      </c>
      <c r="M145" s="18">
        <v>1510.0</v>
      </c>
      <c r="N145" s="18">
        <v>0.0</v>
      </c>
      <c r="O145" s="18">
        <v>152.227</v>
      </c>
    </row>
    <row r="146">
      <c r="A146" s="8" t="s">
        <v>242</v>
      </c>
      <c r="B146" s="9">
        <v>25.0</v>
      </c>
      <c r="C146" s="14" t="s">
        <v>234</v>
      </c>
      <c r="D146" s="9">
        <v>25.0</v>
      </c>
      <c r="E146" s="10">
        <v>1.0</v>
      </c>
      <c r="F146" s="9">
        <v>4.0</v>
      </c>
      <c r="G146" s="9">
        <v>1.0</v>
      </c>
      <c r="H146" s="9">
        <v>0.0</v>
      </c>
      <c r="I146" s="9">
        <v>0.0</v>
      </c>
      <c r="J146" s="17">
        <v>1767.0</v>
      </c>
      <c r="K146" s="18">
        <v>606.149</v>
      </c>
      <c r="L146" s="17">
        <v>1265.0</v>
      </c>
      <c r="M146" s="18">
        <v>1265.0</v>
      </c>
      <c r="N146" s="18">
        <v>0.0</v>
      </c>
      <c r="O146" s="18">
        <v>113.797</v>
      </c>
    </row>
    <row r="147">
      <c r="A147" s="8" t="s">
        <v>243</v>
      </c>
      <c r="B147" s="9">
        <v>25.0</v>
      </c>
      <c r="C147" s="14" t="s">
        <v>234</v>
      </c>
      <c r="D147" s="9">
        <v>25.0</v>
      </c>
      <c r="E147" s="10">
        <v>1.0</v>
      </c>
      <c r="F147" s="9">
        <v>5.0</v>
      </c>
      <c r="G147" s="9">
        <v>1.0</v>
      </c>
      <c r="H147" s="9">
        <v>0.0</v>
      </c>
      <c r="I147" s="9">
        <v>0.0</v>
      </c>
      <c r="J147" s="17">
        <v>1867.0</v>
      </c>
      <c r="K147" s="18">
        <v>736.067</v>
      </c>
      <c r="L147" s="17">
        <v>1430.0</v>
      </c>
      <c r="M147" s="18">
        <v>1430.0</v>
      </c>
      <c r="N147" s="18">
        <v>0.0</v>
      </c>
      <c r="O147" s="18">
        <v>211.969</v>
      </c>
    </row>
    <row r="148">
      <c r="A148" s="8" t="s">
        <v>244</v>
      </c>
      <c r="B148" s="9">
        <v>25.0</v>
      </c>
      <c r="C148" s="14" t="s">
        <v>234</v>
      </c>
      <c r="D148" s="9">
        <v>25.0</v>
      </c>
      <c r="E148" s="10">
        <v>2.0</v>
      </c>
      <c r="F148" s="9">
        <v>1.0</v>
      </c>
      <c r="G148" s="9">
        <v>1.0</v>
      </c>
      <c r="H148" s="9">
        <v>0.0</v>
      </c>
      <c r="I148" s="9">
        <v>0.0</v>
      </c>
      <c r="J148" s="17">
        <v>21010.0</v>
      </c>
      <c r="K148" s="18">
        <v>12720.1</v>
      </c>
      <c r="L148" s="17">
        <v>20955.0</v>
      </c>
      <c r="M148" s="18">
        <v>20955.0</v>
      </c>
      <c r="N148" s="18">
        <v>0.0</v>
      </c>
      <c r="O148" s="18">
        <v>74.202</v>
      </c>
    </row>
    <row r="149">
      <c r="A149" s="8" t="s">
        <v>245</v>
      </c>
      <c r="B149" s="9">
        <v>25.0</v>
      </c>
      <c r="C149" s="14" t="s">
        <v>234</v>
      </c>
      <c r="D149" s="9">
        <v>25.0</v>
      </c>
      <c r="E149" s="10">
        <v>2.0</v>
      </c>
      <c r="F149" s="9">
        <v>2.0</v>
      </c>
      <c r="G149" s="9">
        <v>1.0</v>
      </c>
      <c r="H149" s="9">
        <v>0.0</v>
      </c>
      <c r="I149" s="9">
        <v>0.0</v>
      </c>
      <c r="J149" s="17">
        <v>22555.0</v>
      </c>
      <c r="K149" s="18">
        <v>14495.0</v>
      </c>
      <c r="L149" s="17">
        <v>22555.0</v>
      </c>
      <c r="M149" s="18">
        <v>22555.0</v>
      </c>
      <c r="N149" s="18">
        <v>0.0</v>
      </c>
      <c r="O149" s="18">
        <v>94.845</v>
      </c>
    </row>
    <row r="150">
      <c r="A150" s="8" t="s">
        <v>246</v>
      </c>
      <c r="B150" s="9">
        <v>25.0</v>
      </c>
      <c r="C150" s="14" t="s">
        <v>234</v>
      </c>
      <c r="D150" s="9">
        <v>25.0</v>
      </c>
      <c r="E150" s="10">
        <v>2.0</v>
      </c>
      <c r="F150" s="9">
        <v>3.0</v>
      </c>
      <c r="G150" s="9">
        <v>1.0</v>
      </c>
      <c r="H150" s="9">
        <v>0.0</v>
      </c>
      <c r="I150" s="9">
        <v>0.0</v>
      </c>
      <c r="J150" s="17">
        <v>24553.0</v>
      </c>
      <c r="K150" s="18">
        <v>12617.7</v>
      </c>
      <c r="L150" s="17">
        <v>22440.0</v>
      </c>
      <c r="M150" s="18">
        <v>22440.0</v>
      </c>
      <c r="N150" s="18">
        <v>0.0</v>
      </c>
      <c r="O150" s="18">
        <v>189.239</v>
      </c>
    </row>
    <row r="151">
      <c r="A151" s="8" t="s">
        <v>247</v>
      </c>
      <c r="B151" s="9">
        <v>25.0</v>
      </c>
      <c r="C151" s="14" t="s">
        <v>234</v>
      </c>
      <c r="D151" s="9">
        <v>25.0</v>
      </c>
      <c r="E151" s="10">
        <v>2.0</v>
      </c>
      <c r="F151" s="9">
        <v>4.0</v>
      </c>
      <c r="G151" s="9">
        <v>1.0</v>
      </c>
      <c r="H151" s="9">
        <v>0.0</v>
      </c>
      <c r="I151" s="9">
        <v>0.0</v>
      </c>
      <c r="J151" s="17">
        <v>19150.0</v>
      </c>
      <c r="K151" s="18">
        <v>11271.6</v>
      </c>
      <c r="L151" s="17">
        <v>17350.0</v>
      </c>
      <c r="M151" s="18">
        <v>17350.0</v>
      </c>
      <c r="N151" s="18">
        <v>0.0</v>
      </c>
      <c r="O151" s="18">
        <v>38.248</v>
      </c>
    </row>
    <row r="152">
      <c r="A152" s="8" t="s">
        <v>248</v>
      </c>
      <c r="B152" s="9">
        <v>25.0</v>
      </c>
      <c r="C152" s="14" t="s">
        <v>234</v>
      </c>
      <c r="D152" s="9">
        <v>25.0</v>
      </c>
      <c r="E152" s="10">
        <v>2.0</v>
      </c>
      <c r="F152" s="9">
        <v>5.0</v>
      </c>
      <c r="G152" s="9">
        <v>1.0</v>
      </c>
      <c r="H152" s="9">
        <v>0.0</v>
      </c>
      <c r="I152" s="9">
        <v>0.0</v>
      </c>
      <c r="J152" s="17">
        <v>21564.0</v>
      </c>
      <c r="K152" s="18">
        <v>6858.97</v>
      </c>
      <c r="L152" s="17">
        <v>19638.0</v>
      </c>
      <c r="M152" s="18">
        <v>19638.0</v>
      </c>
      <c r="N152" s="18">
        <v>0.0</v>
      </c>
      <c r="O152" s="18">
        <v>522.304</v>
      </c>
    </row>
    <row r="153">
      <c r="A153" s="8" t="s">
        <v>249</v>
      </c>
      <c r="B153" s="9">
        <v>25.0</v>
      </c>
      <c r="C153" s="14" t="s">
        <v>234</v>
      </c>
      <c r="D153" s="9">
        <v>50.0</v>
      </c>
      <c r="E153" s="10">
        <v>0.6</v>
      </c>
      <c r="F153" s="9">
        <v>1.0</v>
      </c>
      <c r="G153" s="9">
        <v>1.0</v>
      </c>
      <c r="H153" s="9">
        <v>0.0</v>
      </c>
      <c r="I153" s="9">
        <v>0.0</v>
      </c>
      <c r="J153" s="17">
        <v>929.0</v>
      </c>
      <c r="K153" s="18">
        <v>397.5</v>
      </c>
      <c r="L153" s="17">
        <v>627.0</v>
      </c>
      <c r="M153" s="18">
        <v>627.0</v>
      </c>
      <c r="N153" s="18">
        <v>0.0</v>
      </c>
      <c r="O153" s="18">
        <v>22.644</v>
      </c>
    </row>
    <row r="154">
      <c r="A154" s="8" t="s">
        <v>250</v>
      </c>
      <c r="B154" s="9">
        <v>25.0</v>
      </c>
      <c r="C154" s="14" t="s">
        <v>234</v>
      </c>
      <c r="D154" s="9">
        <v>50.0</v>
      </c>
      <c r="E154" s="10">
        <v>0.6</v>
      </c>
      <c r="F154" s="9">
        <v>2.0</v>
      </c>
      <c r="G154" s="9">
        <v>1.0</v>
      </c>
      <c r="H154" s="9">
        <v>0.0</v>
      </c>
      <c r="I154" s="9">
        <v>0.0</v>
      </c>
      <c r="J154" s="17">
        <v>988.0</v>
      </c>
      <c r="K154" s="18">
        <v>432.5</v>
      </c>
      <c r="L154" s="17">
        <v>769.0</v>
      </c>
      <c r="M154" s="18">
        <v>769.0</v>
      </c>
      <c r="N154" s="18">
        <v>0.0</v>
      </c>
      <c r="O154" s="18">
        <v>21.607</v>
      </c>
    </row>
    <row r="155">
      <c r="A155" s="8" t="s">
        <v>251</v>
      </c>
      <c r="B155" s="9">
        <v>25.0</v>
      </c>
      <c r="C155" s="14" t="s">
        <v>234</v>
      </c>
      <c r="D155" s="9">
        <v>50.0</v>
      </c>
      <c r="E155" s="10">
        <v>0.6</v>
      </c>
      <c r="F155" s="9">
        <v>3.0</v>
      </c>
      <c r="G155" s="9">
        <v>1.0</v>
      </c>
      <c r="H155" s="9">
        <v>0.0</v>
      </c>
      <c r="I155" s="9">
        <v>0.0</v>
      </c>
      <c r="J155" s="17">
        <v>936.0</v>
      </c>
      <c r="K155" s="18">
        <v>339.0</v>
      </c>
      <c r="L155" s="17">
        <v>605.0</v>
      </c>
      <c r="M155" s="18">
        <v>605.0</v>
      </c>
      <c r="N155" s="18">
        <v>0.0</v>
      </c>
      <c r="O155" s="18">
        <v>8.528</v>
      </c>
    </row>
    <row r="156">
      <c r="A156" s="8" t="s">
        <v>252</v>
      </c>
      <c r="B156" s="9">
        <v>25.0</v>
      </c>
      <c r="C156" s="14" t="s">
        <v>234</v>
      </c>
      <c r="D156" s="9">
        <v>50.0</v>
      </c>
      <c r="E156" s="10">
        <v>0.6</v>
      </c>
      <c r="F156" s="9">
        <v>4.0</v>
      </c>
      <c r="G156" s="9">
        <v>1.0</v>
      </c>
      <c r="H156" s="9">
        <v>0.0</v>
      </c>
      <c r="I156" s="9">
        <v>0.0</v>
      </c>
      <c r="J156" s="17">
        <v>599.0</v>
      </c>
      <c r="K156" s="18">
        <v>291.5</v>
      </c>
      <c r="L156" s="17">
        <v>552.0</v>
      </c>
      <c r="M156" s="18">
        <v>552.0</v>
      </c>
      <c r="N156" s="18">
        <v>0.0</v>
      </c>
      <c r="O156" s="18">
        <v>4.884</v>
      </c>
    </row>
    <row r="157">
      <c r="A157" s="8" t="s">
        <v>253</v>
      </c>
      <c r="B157" s="9">
        <v>25.0</v>
      </c>
      <c r="C157" s="14" t="s">
        <v>234</v>
      </c>
      <c r="D157" s="9">
        <v>50.0</v>
      </c>
      <c r="E157" s="10">
        <v>0.6</v>
      </c>
      <c r="F157" s="9">
        <v>5.0</v>
      </c>
      <c r="G157" s="9">
        <v>1.0</v>
      </c>
      <c r="H157" s="9">
        <v>0.0</v>
      </c>
      <c r="I157" s="9">
        <v>0.0</v>
      </c>
      <c r="J157" s="17">
        <v>774.0</v>
      </c>
      <c r="K157" s="18">
        <v>352.5</v>
      </c>
      <c r="L157" s="17">
        <v>553.0</v>
      </c>
      <c r="M157" s="18">
        <v>553.0</v>
      </c>
      <c r="N157" s="18">
        <v>0.0</v>
      </c>
      <c r="O157" s="18">
        <v>11.319</v>
      </c>
    </row>
    <row r="158">
      <c r="A158" s="8" t="s">
        <v>254</v>
      </c>
      <c r="B158" s="9">
        <v>25.0</v>
      </c>
      <c r="C158" s="14" t="s">
        <v>234</v>
      </c>
      <c r="D158" s="9">
        <v>50.0</v>
      </c>
      <c r="E158" s="10">
        <v>1.0</v>
      </c>
      <c r="F158" s="9">
        <v>1.0</v>
      </c>
      <c r="G158" s="9">
        <v>0.0</v>
      </c>
      <c r="H158" s="9">
        <v>1.0</v>
      </c>
      <c r="I158" s="9">
        <v>0.0</v>
      </c>
      <c r="J158" s="17">
        <v>3583.0</v>
      </c>
      <c r="K158" s="18">
        <v>1301.89</v>
      </c>
      <c r="L158" s="17">
        <v>2789.0</v>
      </c>
      <c r="M158" s="18">
        <v>2622.73</v>
      </c>
      <c r="N158" s="18">
        <v>5.96161</v>
      </c>
      <c r="O158" s="18">
        <v>3600.0</v>
      </c>
    </row>
    <row r="159">
      <c r="A159" s="8" t="s">
        <v>255</v>
      </c>
      <c r="B159" s="9">
        <v>25.0</v>
      </c>
      <c r="C159" s="14" t="s">
        <v>234</v>
      </c>
      <c r="D159" s="9">
        <v>50.0</v>
      </c>
      <c r="E159" s="10">
        <v>1.0</v>
      </c>
      <c r="F159" s="9">
        <v>2.0</v>
      </c>
      <c r="G159" s="9">
        <v>1.0</v>
      </c>
      <c r="H159" s="9">
        <v>0.0</v>
      </c>
      <c r="I159" s="9">
        <v>0.0</v>
      </c>
      <c r="J159" s="17">
        <v>4075.0</v>
      </c>
      <c r="K159" s="18">
        <v>1445.88</v>
      </c>
      <c r="L159" s="17">
        <v>3074.0</v>
      </c>
      <c r="M159" s="18">
        <v>3074.0</v>
      </c>
      <c r="N159" s="18">
        <v>0.0</v>
      </c>
      <c r="O159" s="18">
        <v>931.0</v>
      </c>
    </row>
    <row r="160">
      <c r="A160" s="8" t="s">
        <v>256</v>
      </c>
      <c r="B160" s="9">
        <v>25.0</v>
      </c>
      <c r="C160" s="14" t="s">
        <v>234</v>
      </c>
      <c r="D160" s="9">
        <v>50.0</v>
      </c>
      <c r="E160" s="10">
        <v>1.0</v>
      </c>
      <c r="F160" s="9">
        <v>3.0</v>
      </c>
      <c r="G160" s="9">
        <v>1.0</v>
      </c>
      <c r="H160" s="9">
        <v>0.0</v>
      </c>
      <c r="I160" s="9">
        <v>0.0</v>
      </c>
      <c r="J160" s="17">
        <v>3088.0</v>
      </c>
      <c r="K160" s="18">
        <v>1233.53</v>
      </c>
      <c r="L160" s="17">
        <v>2505.0</v>
      </c>
      <c r="M160" s="18">
        <v>2505.0</v>
      </c>
      <c r="N160" s="18">
        <v>0.0</v>
      </c>
      <c r="O160" s="18">
        <v>252.356</v>
      </c>
    </row>
    <row r="161">
      <c r="A161" s="8" t="s">
        <v>257</v>
      </c>
      <c r="B161" s="9">
        <v>25.0</v>
      </c>
      <c r="C161" s="14" t="s">
        <v>234</v>
      </c>
      <c r="D161" s="9">
        <v>50.0</v>
      </c>
      <c r="E161" s="10">
        <v>1.0</v>
      </c>
      <c r="F161" s="9">
        <v>4.0</v>
      </c>
      <c r="G161" s="9">
        <v>1.0</v>
      </c>
      <c r="H161" s="9">
        <v>0.0</v>
      </c>
      <c r="I161" s="9">
        <v>0.0</v>
      </c>
      <c r="J161" s="17">
        <v>3403.0</v>
      </c>
      <c r="K161" s="18">
        <v>1266.1</v>
      </c>
      <c r="L161" s="17">
        <v>2475.0</v>
      </c>
      <c r="M161" s="18">
        <v>2475.0</v>
      </c>
      <c r="N161" s="18">
        <v>0.0</v>
      </c>
      <c r="O161" s="18">
        <v>411.301</v>
      </c>
    </row>
    <row r="162">
      <c r="A162" s="8" t="s">
        <v>258</v>
      </c>
      <c r="B162" s="9">
        <v>25.0</v>
      </c>
      <c r="C162" s="14" t="s">
        <v>234</v>
      </c>
      <c r="D162" s="9">
        <v>50.0</v>
      </c>
      <c r="E162" s="10">
        <v>1.0</v>
      </c>
      <c r="F162" s="9">
        <v>5.0</v>
      </c>
      <c r="G162" s="9">
        <v>1.0</v>
      </c>
      <c r="H162" s="9">
        <v>0.0</v>
      </c>
      <c r="I162" s="9">
        <v>0.0</v>
      </c>
      <c r="J162" s="17">
        <v>3301.0</v>
      </c>
      <c r="K162" s="18">
        <v>1220.58</v>
      </c>
      <c r="L162" s="17">
        <v>2419.0</v>
      </c>
      <c r="M162" s="18">
        <v>2419.0</v>
      </c>
      <c r="N162" s="18">
        <v>0.0</v>
      </c>
      <c r="O162" s="18">
        <v>419.854</v>
      </c>
    </row>
    <row r="163">
      <c r="A163" s="8" t="s">
        <v>259</v>
      </c>
      <c r="B163" s="9">
        <v>25.0</v>
      </c>
      <c r="C163" s="14" t="s">
        <v>234</v>
      </c>
      <c r="D163" s="9">
        <v>50.0</v>
      </c>
      <c r="E163" s="10">
        <v>2.0</v>
      </c>
      <c r="F163" s="9">
        <v>1.0</v>
      </c>
      <c r="G163" s="9">
        <v>1.0</v>
      </c>
      <c r="H163" s="9">
        <v>0.0</v>
      </c>
      <c r="I163" s="9">
        <v>0.0</v>
      </c>
      <c r="J163" s="17">
        <v>39567.0</v>
      </c>
      <c r="K163" s="18">
        <v>16732.8</v>
      </c>
      <c r="L163" s="17">
        <v>35948.0</v>
      </c>
      <c r="M163" s="18">
        <v>35948.0</v>
      </c>
      <c r="N163" s="18">
        <v>0.0</v>
      </c>
      <c r="O163" s="18">
        <v>2956.3</v>
      </c>
    </row>
    <row r="164">
      <c r="A164" s="8" t="s">
        <v>260</v>
      </c>
      <c r="B164" s="9">
        <v>25.0</v>
      </c>
      <c r="C164" s="14" t="s">
        <v>234</v>
      </c>
      <c r="D164" s="9">
        <v>50.0</v>
      </c>
      <c r="E164" s="10">
        <v>2.0</v>
      </c>
      <c r="F164" s="9">
        <v>2.0</v>
      </c>
      <c r="G164" s="9">
        <v>1.0</v>
      </c>
      <c r="H164" s="9">
        <v>0.0</v>
      </c>
      <c r="I164" s="9">
        <v>0.0</v>
      </c>
      <c r="J164" s="17">
        <v>41427.0</v>
      </c>
      <c r="K164" s="18">
        <v>21902.6</v>
      </c>
      <c r="L164" s="17">
        <v>37779.0</v>
      </c>
      <c r="M164" s="18">
        <v>37779.0</v>
      </c>
      <c r="N164" s="18">
        <v>0.0</v>
      </c>
      <c r="O164" s="18">
        <v>67.119</v>
      </c>
    </row>
    <row r="165">
      <c r="A165" s="8" t="s">
        <v>261</v>
      </c>
      <c r="B165" s="9">
        <v>25.0</v>
      </c>
      <c r="C165" s="14" t="s">
        <v>234</v>
      </c>
      <c r="D165" s="9">
        <v>50.0</v>
      </c>
      <c r="E165" s="10">
        <v>2.0</v>
      </c>
      <c r="F165" s="9">
        <v>3.0</v>
      </c>
      <c r="G165" s="9">
        <v>1.0</v>
      </c>
      <c r="H165" s="9">
        <v>0.0</v>
      </c>
      <c r="I165" s="9">
        <v>0.0</v>
      </c>
      <c r="J165" s="17">
        <v>38099.0</v>
      </c>
      <c r="K165" s="18">
        <v>17706.6</v>
      </c>
      <c r="L165" s="17">
        <v>34848.0</v>
      </c>
      <c r="M165" s="18">
        <v>34848.0</v>
      </c>
      <c r="N165" s="18">
        <v>0.0</v>
      </c>
      <c r="O165" s="18">
        <v>242.968</v>
      </c>
    </row>
    <row r="166">
      <c r="A166" s="8" t="s">
        <v>262</v>
      </c>
      <c r="B166" s="9">
        <v>25.0</v>
      </c>
      <c r="C166" s="14" t="s">
        <v>234</v>
      </c>
      <c r="D166" s="9">
        <v>50.0</v>
      </c>
      <c r="E166" s="10">
        <v>2.0</v>
      </c>
      <c r="F166" s="9">
        <v>4.0</v>
      </c>
      <c r="G166" s="9">
        <v>1.0</v>
      </c>
      <c r="H166" s="9">
        <v>0.0</v>
      </c>
      <c r="I166" s="9">
        <v>0.0</v>
      </c>
      <c r="J166" s="17">
        <v>35079.0</v>
      </c>
      <c r="K166" s="18">
        <v>28706.8</v>
      </c>
      <c r="L166" s="17">
        <v>31879.0</v>
      </c>
      <c r="M166" s="18">
        <v>31879.0</v>
      </c>
      <c r="N166" s="18">
        <v>0.0</v>
      </c>
      <c r="O166" s="18">
        <v>4.44</v>
      </c>
    </row>
    <row r="167">
      <c r="A167" s="8" t="s">
        <v>263</v>
      </c>
      <c r="B167" s="9">
        <v>25.0</v>
      </c>
      <c r="C167" s="14" t="s">
        <v>234</v>
      </c>
      <c r="D167" s="9">
        <v>50.0</v>
      </c>
      <c r="E167" s="10">
        <v>2.0</v>
      </c>
      <c r="F167" s="9">
        <v>5.0</v>
      </c>
      <c r="G167" s="9">
        <v>1.0</v>
      </c>
      <c r="H167" s="9">
        <v>0.0</v>
      </c>
      <c r="I167" s="9">
        <v>0.0</v>
      </c>
      <c r="J167" s="17">
        <v>34081.0</v>
      </c>
      <c r="K167" s="18">
        <v>21080.3</v>
      </c>
      <c r="L167" s="17">
        <v>33939.0</v>
      </c>
      <c r="M167" s="18">
        <v>33939.0</v>
      </c>
      <c r="N167" s="18">
        <v>0.0</v>
      </c>
      <c r="O167" s="18">
        <v>49.729</v>
      </c>
    </row>
    <row r="168">
      <c r="A168" s="8" t="s">
        <v>264</v>
      </c>
      <c r="B168" s="9">
        <v>25.0</v>
      </c>
      <c r="C168" s="14" t="s">
        <v>234</v>
      </c>
      <c r="D168" s="9">
        <v>75.0</v>
      </c>
      <c r="E168" s="10">
        <v>0.6</v>
      </c>
      <c r="F168" s="9">
        <v>1.0</v>
      </c>
      <c r="G168" s="9">
        <v>0.0</v>
      </c>
      <c r="H168" s="9">
        <v>1.0</v>
      </c>
      <c r="I168" s="9">
        <v>0.0</v>
      </c>
      <c r="J168" s="17">
        <v>1871.0</v>
      </c>
      <c r="K168" s="18">
        <v>655.75</v>
      </c>
      <c r="L168" s="17">
        <v>1426.0</v>
      </c>
      <c r="M168" s="18">
        <v>1375.0</v>
      </c>
      <c r="N168" s="18">
        <v>3.57644</v>
      </c>
      <c r="O168" s="18">
        <v>3600.0</v>
      </c>
    </row>
    <row r="169">
      <c r="A169" s="8" t="s">
        <v>265</v>
      </c>
      <c r="B169" s="9">
        <v>25.0</v>
      </c>
      <c r="C169" s="14" t="s">
        <v>234</v>
      </c>
      <c r="D169" s="9">
        <v>75.0</v>
      </c>
      <c r="E169" s="10">
        <v>0.6</v>
      </c>
      <c r="F169" s="9">
        <v>2.0</v>
      </c>
      <c r="G169" s="9">
        <v>1.0</v>
      </c>
      <c r="H169" s="9">
        <v>0.0</v>
      </c>
      <c r="I169" s="9">
        <v>0.0</v>
      </c>
      <c r="J169" s="17">
        <v>1695.0</v>
      </c>
      <c r="K169" s="18">
        <v>749.5</v>
      </c>
      <c r="L169" s="17">
        <v>1230.0</v>
      </c>
      <c r="M169" s="18">
        <v>1230.0</v>
      </c>
      <c r="N169" s="18">
        <v>0.0</v>
      </c>
      <c r="O169" s="18">
        <v>54.999</v>
      </c>
    </row>
    <row r="170">
      <c r="A170" s="8" t="s">
        <v>266</v>
      </c>
      <c r="B170" s="9">
        <v>25.0</v>
      </c>
      <c r="C170" s="14" t="s">
        <v>234</v>
      </c>
      <c r="D170" s="9">
        <v>75.0</v>
      </c>
      <c r="E170" s="10">
        <v>0.6</v>
      </c>
      <c r="F170" s="9">
        <v>3.0</v>
      </c>
      <c r="G170" s="9">
        <v>1.0</v>
      </c>
      <c r="H170" s="9">
        <v>0.0</v>
      </c>
      <c r="I170" s="9">
        <v>0.0</v>
      </c>
      <c r="J170" s="17">
        <v>1539.0</v>
      </c>
      <c r="K170" s="18">
        <v>711.724</v>
      </c>
      <c r="L170" s="17">
        <v>1313.0</v>
      </c>
      <c r="M170" s="18">
        <v>1313.0</v>
      </c>
      <c r="N170" s="18">
        <v>0.0</v>
      </c>
      <c r="O170" s="18">
        <v>276.108</v>
      </c>
    </row>
    <row r="171">
      <c r="A171" s="8" t="s">
        <v>267</v>
      </c>
      <c r="B171" s="9">
        <v>25.0</v>
      </c>
      <c r="C171" s="14" t="s">
        <v>234</v>
      </c>
      <c r="D171" s="9">
        <v>75.0</v>
      </c>
      <c r="E171" s="10">
        <v>0.6</v>
      </c>
      <c r="F171" s="9">
        <v>4.0</v>
      </c>
      <c r="G171" s="9">
        <v>1.0</v>
      </c>
      <c r="H171" s="9">
        <v>0.0</v>
      </c>
      <c r="I171" s="9">
        <v>0.0</v>
      </c>
      <c r="J171" s="17">
        <v>1502.0</v>
      </c>
      <c r="K171" s="18">
        <v>669.0</v>
      </c>
      <c r="L171" s="17">
        <v>1271.0</v>
      </c>
      <c r="M171" s="18">
        <v>1271.0</v>
      </c>
      <c r="N171" s="18">
        <v>0.0</v>
      </c>
      <c r="O171" s="18">
        <v>238.735</v>
      </c>
    </row>
    <row r="172">
      <c r="A172" s="8" t="s">
        <v>268</v>
      </c>
      <c r="B172" s="9">
        <v>25.0</v>
      </c>
      <c r="C172" s="14" t="s">
        <v>234</v>
      </c>
      <c r="D172" s="9">
        <v>75.0</v>
      </c>
      <c r="E172" s="10">
        <v>0.6</v>
      </c>
      <c r="F172" s="9">
        <v>5.0</v>
      </c>
      <c r="G172" s="9">
        <v>1.0</v>
      </c>
      <c r="H172" s="9">
        <v>0.0</v>
      </c>
      <c r="I172" s="9">
        <v>0.0</v>
      </c>
      <c r="J172" s="17">
        <v>1862.0</v>
      </c>
      <c r="K172" s="18">
        <v>774.9</v>
      </c>
      <c r="L172" s="17">
        <v>1315.0</v>
      </c>
      <c r="M172" s="18">
        <v>1315.0</v>
      </c>
      <c r="N172" s="18">
        <v>0.0</v>
      </c>
      <c r="O172" s="18">
        <v>120.927</v>
      </c>
    </row>
    <row r="173">
      <c r="A173" s="8" t="s">
        <v>269</v>
      </c>
      <c r="B173" s="9">
        <v>25.0</v>
      </c>
      <c r="C173" s="14" t="s">
        <v>234</v>
      </c>
      <c r="D173" s="9">
        <v>75.0</v>
      </c>
      <c r="E173" s="10">
        <v>1.0</v>
      </c>
      <c r="F173" s="9">
        <v>1.0</v>
      </c>
      <c r="G173" s="9">
        <v>0.0</v>
      </c>
      <c r="H173" s="9">
        <v>1.0</v>
      </c>
      <c r="I173" s="9">
        <v>0.0</v>
      </c>
      <c r="J173" s="17">
        <v>6178.0</v>
      </c>
      <c r="K173" s="18">
        <v>2079.81</v>
      </c>
      <c r="L173" s="17">
        <v>4768.0</v>
      </c>
      <c r="M173" s="18">
        <v>4395.38</v>
      </c>
      <c r="N173" s="18">
        <v>7.81512</v>
      </c>
      <c r="O173" s="18">
        <v>3600.0</v>
      </c>
    </row>
    <row r="174">
      <c r="A174" s="8" t="s">
        <v>270</v>
      </c>
      <c r="B174" s="9">
        <v>25.0</v>
      </c>
      <c r="C174" s="14" t="s">
        <v>234</v>
      </c>
      <c r="D174" s="9">
        <v>75.0</v>
      </c>
      <c r="E174" s="10">
        <v>1.0</v>
      </c>
      <c r="F174" s="9">
        <v>2.0</v>
      </c>
      <c r="G174" s="9">
        <v>0.0</v>
      </c>
      <c r="H174" s="9">
        <v>1.0</v>
      </c>
      <c r="I174" s="9">
        <v>0.0</v>
      </c>
      <c r="J174" s="17">
        <v>5420.0</v>
      </c>
      <c r="K174" s="18">
        <v>2158.2</v>
      </c>
      <c r="L174" s="17">
        <v>4581.0</v>
      </c>
      <c r="M174" s="18">
        <v>4308.11</v>
      </c>
      <c r="N174" s="18">
        <v>5.95701</v>
      </c>
      <c r="O174" s="18">
        <v>3600.0</v>
      </c>
    </row>
    <row r="175">
      <c r="A175" s="8" t="s">
        <v>271</v>
      </c>
      <c r="B175" s="9">
        <v>25.0</v>
      </c>
      <c r="C175" s="14" t="s">
        <v>234</v>
      </c>
      <c r="D175" s="9">
        <v>75.0</v>
      </c>
      <c r="E175" s="10">
        <v>1.0</v>
      </c>
      <c r="F175" s="9">
        <v>3.0</v>
      </c>
      <c r="G175" s="9">
        <v>0.0</v>
      </c>
      <c r="H175" s="9">
        <v>1.0</v>
      </c>
      <c r="I175" s="9">
        <v>0.0</v>
      </c>
      <c r="J175" s="17">
        <v>5886.0</v>
      </c>
      <c r="K175" s="18">
        <v>2125.24</v>
      </c>
      <c r="L175" s="17">
        <v>4559.0</v>
      </c>
      <c r="M175" s="18">
        <v>4434.58</v>
      </c>
      <c r="N175" s="18">
        <v>2.72901</v>
      </c>
      <c r="O175" s="18">
        <v>3600.0</v>
      </c>
    </row>
    <row r="176">
      <c r="A176" s="8" t="s">
        <v>272</v>
      </c>
      <c r="B176" s="9">
        <v>25.0</v>
      </c>
      <c r="C176" s="14" t="s">
        <v>234</v>
      </c>
      <c r="D176" s="9">
        <v>75.0</v>
      </c>
      <c r="E176" s="10">
        <v>1.0</v>
      </c>
      <c r="F176" s="9">
        <v>4.0</v>
      </c>
      <c r="G176" s="9">
        <v>0.0</v>
      </c>
      <c r="H176" s="9">
        <v>1.0</v>
      </c>
      <c r="I176" s="9">
        <v>0.0</v>
      </c>
      <c r="J176" s="17">
        <v>5703.0</v>
      </c>
      <c r="K176" s="18">
        <v>2104.81</v>
      </c>
      <c r="L176" s="17">
        <v>4540.0</v>
      </c>
      <c r="M176" s="18">
        <v>4303.55</v>
      </c>
      <c r="N176" s="18">
        <v>5.20815</v>
      </c>
      <c r="O176" s="18">
        <v>3600.0</v>
      </c>
    </row>
    <row r="177">
      <c r="A177" s="8" t="s">
        <v>273</v>
      </c>
      <c r="B177" s="9">
        <v>25.0</v>
      </c>
      <c r="C177" s="14" t="s">
        <v>234</v>
      </c>
      <c r="D177" s="9">
        <v>75.0</v>
      </c>
      <c r="E177" s="10">
        <v>1.0</v>
      </c>
      <c r="F177" s="9">
        <v>5.0</v>
      </c>
      <c r="G177" s="9">
        <v>1.0</v>
      </c>
      <c r="H177" s="9">
        <v>0.0</v>
      </c>
      <c r="I177" s="9">
        <v>0.0</v>
      </c>
      <c r="J177" s="17">
        <v>5443.0</v>
      </c>
      <c r="K177" s="18">
        <v>2341.68</v>
      </c>
      <c r="L177" s="17">
        <v>4577.0</v>
      </c>
      <c r="M177" s="18">
        <v>4577.0</v>
      </c>
      <c r="N177" s="18">
        <v>0.0</v>
      </c>
      <c r="O177" s="18">
        <v>2192.9</v>
      </c>
    </row>
    <row r="178">
      <c r="A178" s="8" t="s">
        <v>274</v>
      </c>
      <c r="B178" s="9">
        <v>25.0</v>
      </c>
      <c r="C178" s="14" t="s">
        <v>234</v>
      </c>
      <c r="D178" s="9">
        <v>75.0</v>
      </c>
      <c r="E178" s="10">
        <v>2.0</v>
      </c>
      <c r="F178" s="9">
        <v>1.0</v>
      </c>
      <c r="G178" s="9">
        <v>1.0</v>
      </c>
      <c r="H178" s="9">
        <v>0.0</v>
      </c>
      <c r="I178" s="9">
        <v>0.0</v>
      </c>
      <c r="J178" s="17">
        <v>58838.0</v>
      </c>
      <c r="K178" s="18">
        <v>27511.7</v>
      </c>
      <c r="L178" s="17">
        <v>58230.0</v>
      </c>
      <c r="M178" s="18">
        <v>58230.0</v>
      </c>
      <c r="N178" s="18">
        <v>0.0</v>
      </c>
      <c r="O178" s="18">
        <v>2322.04</v>
      </c>
    </row>
    <row r="179">
      <c r="A179" s="8" t="s">
        <v>275</v>
      </c>
      <c r="B179" s="9">
        <v>25.0</v>
      </c>
      <c r="C179" s="14" t="s">
        <v>234</v>
      </c>
      <c r="D179" s="9">
        <v>75.0</v>
      </c>
      <c r="E179" s="10">
        <v>2.0</v>
      </c>
      <c r="F179" s="9">
        <v>2.0</v>
      </c>
      <c r="G179" s="9">
        <v>1.0</v>
      </c>
      <c r="H179" s="9">
        <v>0.0</v>
      </c>
      <c r="I179" s="9">
        <v>0.0</v>
      </c>
      <c r="J179" s="17">
        <v>56161.0</v>
      </c>
      <c r="K179" s="18">
        <v>31265.2</v>
      </c>
      <c r="L179" s="17">
        <v>55912.0</v>
      </c>
      <c r="M179" s="18">
        <v>55912.0</v>
      </c>
      <c r="N179" s="18">
        <v>0.0</v>
      </c>
      <c r="O179" s="18">
        <v>343.506</v>
      </c>
    </row>
    <row r="180">
      <c r="A180" s="8" t="s">
        <v>276</v>
      </c>
      <c r="B180" s="9">
        <v>25.0</v>
      </c>
      <c r="C180" s="14" t="s">
        <v>234</v>
      </c>
      <c r="D180" s="9">
        <v>75.0</v>
      </c>
      <c r="E180" s="10">
        <v>2.0</v>
      </c>
      <c r="F180" s="9">
        <v>3.0</v>
      </c>
      <c r="G180" s="9">
        <v>1.0</v>
      </c>
      <c r="H180" s="9">
        <v>0.0</v>
      </c>
      <c r="I180" s="9">
        <v>0.0</v>
      </c>
      <c r="J180" s="17">
        <v>55974.0</v>
      </c>
      <c r="K180" s="18">
        <v>32615.4</v>
      </c>
      <c r="L180" s="17">
        <v>50997.0</v>
      </c>
      <c r="M180" s="18">
        <v>50997.0</v>
      </c>
      <c r="N180" s="18">
        <v>0.0</v>
      </c>
      <c r="O180" s="18">
        <v>97.279</v>
      </c>
    </row>
    <row r="181">
      <c r="A181" s="8" t="s">
        <v>277</v>
      </c>
      <c r="B181" s="9">
        <v>25.0</v>
      </c>
      <c r="C181" s="14" t="s">
        <v>234</v>
      </c>
      <c r="D181" s="9">
        <v>75.0</v>
      </c>
      <c r="E181" s="10">
        <v>2.0</v>
      </c>
      <c r="F181" s="9">
        <v>4.0</v>
      </c>
      <c r="G181" s="9">
        <v>1.0</v>
      </c>
      <c r="H181" s="9">
        <v>0.0</v>
      </c>
      <c r="I181" s="9">
        <v>0.0</v>
      </c>
      <c r="J181" s="17">
        <v>62506.0</v>
      </c>
      <c r="K181" s="18">
        <v>23557.8</v>
      </c>
      <c r="L181" s="17">
        <v>56934.0</v>
      </c>
      <c r="M181" s="18">
        <v>56934.0</v>
      </c>
      <c r="N181" s="18">
        <v>0.0</v>
      </c>
      <c r="O181" s="18">
        <v>274.785</v>
      </c>
    </row>
    <row r="182">
      <c r="A182" s="8" t="s">
        <v>278</v>
      </c>
      <c r="B182" s="9">
        <v>25.0</v>
      </c>
      <c r="C182" s="14" t="s">
        <v>234</v>
      </c>
      <c r="D182" s="9">
        <v>75.0</v>
      </c>
      <c r="E182" s="10">
        <v>2.0</v>
      </c>
      <c r="F182" s="9">
        <v>5.0</v>
      </c>
      <c r="G182" s="9">
        <v>1.0</v>
      </c>
      <c r="H182" s="9">
        <v>0.0</v>
      </c>
      <c r="I182" s="9">
        <v>0.0</v>
      </c>
      <c r="J182" s="17">
        <v>56500.0</v>
      </c>
      <c r="K182" s="18">
        <v>35360.9</v>
      </c>
      <c r="L182" s="17">
        <v>51591.0</v>
      </c>
      <c r="M182" s="18">
        <v>51591.0</v>
      </c>
      <c r="N182" s="18">
        <v>0.0</v>
      </c>
      <c r="O182" s="18">
        <v>33.08</v>
      </c>
    </row>
    <row r="183">
      <c r="A183" s="8" t="s">
        <v>279</v>
      </c>
      <c r="B183" s="9">
        <v>30.0</v>
      </c>
      <c r="C183" s="14" t="s">
        <v>234</v>
      </c>
      <c r="D183" s="9">
        <v>25.0</v>
      </c>
      <c r="E183" s="10">
        <v>0.6</v>
      </c>
      <c r="F183" s="9">
        <v>1.0</v>
      </c>
      <c r="G183" s="9">
        <v>1.0</v>
      </c>
      <c r="H183" s="9">
        <v>0.0</v>
      </c>
      <c r="I183" s="9">
        <v>0.0</v>
      </c>
      <c r="J183" s="17">
        <v>308.0</v>
      </c>
      <c r="K183" s="18">
        <v>139.5</v>
      </c>
      <c r="L183" s="17">
        <v>240.0</v>
      </c>
      <c r="M183" s="18">
        <v>240.0</v>
      </c>
      <c r="N183" s="18">
        <v>0.0</v>
      </c>
      <c r="O183" s="18">
        <v>20.665</v>
      </c>
    </row>
    <row r="184">
      <c r="A184" s="8" t="s">
        <v>280</v>
      </c>
      <c r="B184" s="9">
        <v>30.0</v>
      </c>
      <c r="C184" s="14" t="s">
        <v>234</v>
      </c>
      <c r="D184" s="9">
        <v>25.0</v>
      </c>
      <c r="E184" s="10">
        <v>0.6</v>
      </c>
      <c r="F184" s="9">
        <v>2.0</v>
      </c>
      <c r="G184" s="9">
        <v>1.0</v>
      </c>
      <c r="H184" s="9">
        <v>0.0</v>
      </c>
      <c r="I184" s="9">
        <v>0.0</v>
      </c>
      <c r="J184" s="17">
        <v>254.0</v>
      </c>
      <c r="K184" s="18">
        <v>130.0</v>
      </c>
      <c r="L184" s="17">
        <v>236.0</v>
      </c>
      <c r="M184" s="18">
        <v>236.0</v>
      </c>
      <c r="N184" s="18">
        <v>0.0</v>
      </c>
      <c r="O184" s="18">
        <v>11.887</v>
      </c>
    </row>
    <row r="185">
      <c r="A185" s="8" t="s">
        <v>281</v>
      </c>
      <c r="B185" s="9">
        <v>30.0</v>
      </c>
      <c r="C185" s="14" t="s">
        <v>234</v>
      </c>
      <c r="D185" s="9">
        <v>25.0</v>
      </c>
      <c r="E185" s="10">
        <v>0.6</v>
      </c>
      <c r="F185" s="9">
        <v>3.0</v>
      </c>
      <c r="G185" s="9">
        <v>1.0</v>
      </c>
      <c r="H185" s="9">
        <v>0.0</v>
      </c>
      <c r="I185" s="9">
        <v>0.0</v>
      </c>
      <c r="J185" s="17">
        <v>376.0</v>
      </c>
      <c r="K185" s="18">
        <v>167.333</v>
      </c>
      <c r="L185" s="17">
        <v>305.0</v>
      </c>
      <c r="M185" s="18">
        <v>305.0</v>
      </c>
      <c r="N185" s="18">
        <v>0.0</v>
      </c>
      <c r="O185" s="18">
        <v>22.897</v>
      </c>
    </row>
    <row r="186">
      <c r="A186" s="8" t="s">
        <v>282</v>
      </c>
      <c r="B186" s="9">
        <v>30.0</v>
      </c>
      <c r="C186" s="14" t="s">
        <v>234</v>
      </c>
      <c r="D186" s="9">
        <v>25.0</v>
      </c>
      <c r="E186" s="10">
        <v>0.6</v>
      </c>
      <c r="F186" s="9">
        <v>4.0</v>
      </c>
      <c r="G186" s="9">
        <v>1.0</v>
      </c>
      <c r="H186" s="9">
        <v>0.0</v>
      </c>
      <c r="I186" s="9">
        <v>0.0</v>
      </c>
      <c r="J186" s="17">
        <v>366.0</v>
      </c>
      <c r="K186" s="18">
        <v>156.5</v>
      </c>
      <c r="L186" s="17">
        <v>228.0</v>
      </c>
      <c r="M186" s="18">
        <v>228.0</v>
      </c>
      <c r="N186" s="18">
        <v>0.0</v>
      </c>
      <c r="O186" s="18">
        <v>7.777</v>
      </c>
    </row>
    <row r="187">
      <c r="A187" s="8" t="s">
        <v>283</v>
      </c>
      <c r="B187" s="9">
        <v>30.0</v>
      </c>
      <c r="C187" s="14" t="s">
        <v>234</v>
      </c>
      <c r="D187" s="9">
        <v>25.0</v>
      </c>
      <c r="E187" s="10">
        <v>0.6</v>
      </c>
      <c r="F187" s="9">
        <v>5.0</v>
      </c>
      <c r="G187" s="9">
        <v>1.0</v>
      </c>
      <c r="H187" s="9">
        <v>0.0</v>
      </c>
      <c r="I187" s="9">
        <v>0.0</v>
      </c>
      <c r="J187" s="17">
        <v>333.0</v>
      </c>
      <c r="K187" s="18">
        <v>154.0</v>
      </c>
      <c r="L187" s="17">
        <v>220.0</v>
      </c>
      <c r="M187" s="18">
        <v>220.0</v>
      </c>
      <c r="N187" s="18">
        <v>0.0</v>
      </c>
      <c r="O187" s="18">
        <v>11.075</v>
      </c>
    </row>
    <row r="188">
      <c r="A188" s="8" t="s">
        <v>284</v>
      </c>
      <c r="B188" s="9">
        <v>30.0</v>
      </c>
      <c r="C188" s="14" t="s">
        <v>234</v>
      </c>
      <c r="D188" s="9">
        <v>25.0</v>
      </c>
      <c r="E188" s="10">
        <v>1.0</v>
      </c>
      <c r="F188" s="9">
        <v>1.0</v>
      </c>
      <c r="G188" s="9">
        <v>1.0</v>
      </c>
      <c r="H188" s="9">
        <v>0.0</v>
      </c>
      <c r="I188" s="9">
        <v>0.0</v>
      </c>
      <c r="J188" s="17">
        <v>1854.0</v>
      </c>
      <c r="K188" s="18">
        <v>591.642</v>
      </c>
      <c r="L188" s="17">
        <v>1300.0</v>
      </c>
      <c r="M188" s="18">
        <v>1300.0</v>
      </c>
      <c r="N188" s="18">
        <v>0.0</v>
      </c>
      <c r="O188" s="18">
        <v>562.314</v>
      </c>
    </row>
    <row r="189">
      <c r="A189" s="8" t="s">
        <v>285</v>
      </c>
      <c r="B189" s="9">
        <v>30.0</v>
      </c>
      <c r="C189" s="14" t="s">
        <v>234</v>
      </c>
      <c r="D189" s="9">
        <v>25.0</v>
      </c>
      <c r="E189" s="10">
        <v>1.0</v>
      </c>
      <c r="F189" s="9">
        <v>2.0</v>
      </c>
      <c r="G189" s="9">
        <v>1.0</v>
      </c>
      <c r="H189" s="9">
        <v>0.0</v>
      </c>
      <c r="I189" s="9">
        <v>0.0</v>
      </c>
      <c r="J189" s="17">
        <v>1698.0</v>
      </c>
      <c r="K189" s="18">
        <v>556.98</v>
      </c>
      <c r="L189" s="17">
        <v>1285.0</v>
      </c>
      <c r="M189" s="18">
        <v>1285.0</v>
      </c>
      <c r="N189" s="18">
        <v>0.0</v>
      </c>
      <c r="O189" s="18">
        <v>576.679</v>
      </c>
    </row>
    <row r="190">
      <c r="A190" s="8" t="s">
        <v>286</v>
      </c>
      <c r="B190" s="9">
        <v>30.0</v>
      </c>
      <c r="C190" s="14" t="s">
        <v>234</v>
      </c>
      <c r="D190" s="9">
        <v>25.0</v>
      </c>
      <c r="E190" s="10">
        <v>1.0</v>
      </c>
      <c r="F190" s="9">
        <v>3.0</v>
      </c>
      <c r="G190" s="9">
        <v>0.0</v>
      </c>
      <c r="H190" s="9">
        <v>1.0</v>
      </c>
      <c r="I190" s="9">
        <v>0.0</v>
      </c>
      <c r="J190" s="17">
        <v>2068.0</v>
      </c>
      <c r="K190" s="18">
        <v>655.269</v>
      </c>
      <c r="L190" s="17">
        <v>1552.0</v>
      </c>
      <c r="M190" s="18">
        <v>1379.7</v>
      </c>
      <c r="N190" s="18">
        <v>11.1021</v>
      </c>
      <c r="O190" s="18">
        <v>3600.0</v>
      </c>
    </row>
    <row r="191">
      <c r="A191" s="8" t="s">
        <v>287</v>
      </c>
      <c r="B191" s="9">
        <v>30.0</v>
      </c>
      <c r="C191" s="14" t="s">
        <v>234</v>
      </c>
      <c r="D191" s="9">
        <v>25.0</v>
      </c>
      <c r="E191" s="10">
        <v>1.0</v>
      </c>
      <c r="F191" s="9">
        <v>4.0</v>
      </c>
      <c r="G191" s="9">
        <v>0.0</v>
      </c>
      <c r="H191" s="9">
        <v>1.0</v>
      </c>
      <c r="I191" s="9">
        <v>0.0</v>
      </c>
      <c r="J191" s="17">
        <v>1635.0</v>
      </c>
      <c r="K191" s="18">
        <v>608.599</v>
      </c>
      <c r="L191" s="17">
        <v>1281.0</v>
      </c>
      <c r="M191" s="18">
        <v>1240.0</v>
      </c>
      <c r="N191" s="18">
        <v>3.20062</v>
      </c>
      <c r="O191" s="18">
        <v>3600.0</v>
      </c>
    </row>
    <row r="192">
      <c r="A192" s="8" t="s">
        <v>288</v>
      </c>
      <c r="B192" s="9">
        <v>30.0</v>
      </c>
      <c r="C192" s="14" t="s">
        <v>234</v>
      </c>
      <c r="D192" s="9">
        <v>25.0</v>
      </c>
      <c r="E192" s="10">
        <v>1.0</v>
      </c>
      <c r="F192" s="9">
        <v>5.0</v>
      </c>
      <c r="G192" s="9">
        <v>1.0</v>
      </c>
      <c r="H192" s="9">
        <v>0.0</v>
      </c>
      <c r="I192" s="9">
        <v>0.0</v>
      </c>
      <c r="J192" s="17">
        <v>1830.0</v>
      </c>
      <c r="K192" s="18">
        <v>587.927</v>
      </c>
      <c r="L192" s="17">
        <v>1200.0</v>
      </c>
      <c r="M192" s="18">
        <v>1200.0</v>
      </c>
      <c r="N192" s="18">
        <v>0.0</v>
      </c>
      <c r="O192" s="18">
        <v>561.804</v>
      </c>
    </row>
    <row r="193">
      <c r="A193" s="8" t="s">
        <v>289</v>
      </c>
      <c r="B193" s="9">
        <v>30.0</v>
      </c>
      <c r="C193" s="14" t="s">
        <v>234</v>
      </c>
      <c r="D193" s="9">
        <v>25.0</v>
      </c>
      <c r="E193" s="10">
        <v>2.0</v>
      </c>
      <c r="F193" s="9">
        <v>1.0</v>
      </c>
      <c r="G193" s="9">
        <v>1.0</v>
      </c>
      <c r="H193" s="9">
        <v>0.0</v>
      </c>
      <c r="I193" s="9">
        <v>0.0</v>
      </c>
      <c r="J193" s="17">
        <v>20012.0</v>
      </c>
      <c r="K193" s="18">
        <v>10585.8</v>
      </c>
      <c r="L193" s="17">
        <v>19965.0</v>
      </c>
      <c r="M193" s="18">
        <v>19965.0</v>
      </c>
      <c r="N193" s="18">
        <v>0.0</v>
      </c>
      <c r="O193" s="18">
        <v>1222.81</v>
      </c>
    </row>
    <row r="194">
      <c r="A194" s="8" t="s">
        <v>290</v>
      </c>
      <c r="B194" s="9">
        <v>30.0</v>
      </c>
      <c r="C194" s="14" t="s">
        <v>234</v>
      </c>
      <c r="D194" s="9">
        <v>25.0</v>
      </c>
      <c r="E194" s="10">
        <v>2.0</v>
      </c>
      <c r="F194" s="9">
        <v>2.0</v>
      </c>
      <c r="G194" s="9">
        <v>0.0</v>
      </c>
      <c r="H194" s="9">
        <v>1.0</v>
      </c>
      <c r="I194" s="9">
        <v>0.0</v>
      </c>
      <c r="J194" s="17">
        <v>19838.0</v>
      </c>
      <c r="K194" s="18">
        <v>9449.25</v>
      </c>
      <c r="L194" s="17">
        <v>18007.0</v>
      </c>
      <c r="M194" s="18">
        <v>16411.0</v>
      </c>
      <c r="N194" s="18">
        <v>8.8634</v>
      </c>
      <c r="O194" s="18">
        <v>3600.0</v>
      </c>
    </row>
    <row r="195">
      <c r="A195" s="8" t="s">
        <v>291</v>
      </c>
      <c r="B195" s="9">
        <v>30.0</v>
      </c>
      <c r="C195" s="14" t="s">
        <v>234</v>
      </c>
      <c r="D195" s="9">
        <v>25.0</v>
      </c>
      <c r="E195" s="10">
        <v>2.0</v>
      </c>
      <c r="F195" s="9">
        <v>3.0</v>
      </c>
      <c r="G195" s="9">
        <v>0.0</v>
      </c>
      <c r="H195" s="9">
        <v>1.0</v>
      </c>
      <c r="I195" s="9">
        <v>0.0</v>
      </c>
      <c r="J195" s="17">
        <v>21733.0</v>
      </c>
      <c r="K195" s="18">
        <v>9382.72</v>
      </c>
      <c r="L195" s="17">
        <v>19583.0</v>
      </c>
      <c r="M195" s="18">
        <v>17018.2</v>
      </c>
      <c r="N195" s="18">
        <v>13.0971</v>
      </c>
      <c r="O195" s="18">
        <v>3600.0</v>
      </c>
    </row>
    <row r="196">
      <c r="A196" s="8" t="s">
        <v>292</v>
      </c>
      <c r="B196" s="9">
        <v>30.0</v>
      </c>
      <c r="C196" s="14" t="s">
        <v>234</v>
      </c>
      <c r="D196" s="9">
        <v>25.0</v>
      </c>
      <c r="E196" s="10">
        <v>2.0</v>
      </c>
      <c r="F196" s="9">
        <v>4.0</v>
      </c>
      <c r="G196" s="9">
        <v>0.0</v>
      </c>
      <c r="H196" s="9">
        <v>1.0</v>
      </c>
      <c r="I196" s="9">
        <v>0.0</v>
      </c>
      <c r="J196" s="17">
        <v>20896.0</v>
      </c>
      <c r="K196" s="18">
        <v>8709.6</v>
      </c>
      <c r="L196" s="17">
        <v>17313.0</v>
      </c>
      <c r="M196" s="18">
        <v>15265.5</v>
      </c>
      <c r="N196" s="18">
        <v>11.8263</v>
      </c>
      <c r="O196" s="18">
        <v>3600.0</v>
      </c>
    </row>
    <row r="197">
      <c r="A197" s="8" t="s">
        <v>293</v>
      </c>
      <c r="B197" s="9">
        <v>30.0</v>
      </c>
      <c r="C197" s="14" t="s">
        <v>234</v>
      </c>
      <c r="D197" s="9">
        <v>25.0</v>
      </c>
      <c r="E197" s="10">
        <v>2.0</v>
      </c>
      <c r="F197" s="9">
        <v>5.0</v>
      </c>
      <c r="G197" s="9">
        <v>0.0</v>
      </c>
      <c r="H197" s="9">
        <v>1.0</v>
      </c>
      <c r="I197" s="9">
        <v>0.0</v>
      </c>
      <c r="J197" s="17">
        <v>20312.0</v>
      </c>
      <c r="K197" s="18">
        <v>6229.05</v>
      </c>
      <c r="L197" s="17">
        <v>16822.0</v>
      </c>
      <c r="M197" s="18">
        <v>13290.7</v>
      </c>
      <c r="N197" s="18">
        <v>20.9924</v>
      </c>
      <c r="O197" s="18">
        <v>3600.0</v>
      </c>
    </row>
    <row r="198">
      <c r="A198" s="8" t="s">
        <v>294</v>
      </c>
      <c r="B198" s="9">
        <v>30.0</v>
      </c>
      <c r="C198" s="14" t="s">
        <v>234</v>
      </c>
      <c r="D198" s="9">
        <v>50.0</v>
      </c>
      <c r="E198" s="10">
        <v>0.6</v>
      </c>
      <c r="F198" s="9">
        <v>1.0</v>
      </c>
      <c r="G198" s="9">
        <v>1.0</v>
      </c>
      <c r="H198" s="9">
        <v>0.0</v>
      </c>
      <c r="I198" s="9">
        <v>0.0</v>
      </c>
      <c r="J198" s="17">
        <v>940.0</v>
      </c>
      <c r="K198" s="18">
        <v>303.5</v>
      </c>
      <c r="L198" s="17">
        <v>704.0</v>
      </c>
      <c r="M198" s="18">
        <v>704.0</v>
      </c>
      <c r="N198" s="18">
        <v>0.0</v>
      </c>
      <c r="O198" s="18">
        <v>316.857</v>
      </c>
    </row>
    <row r="199">
      <c r="A199" s="8" t="s">
        <v>295</v>
      </c>
      <c r="B199" s="9">
        <v>30.0</v>
      </c>
      <c r="C199" s="14" t="s">
        <v>234</v>
      </c>
      <c r="D199" s="9">
        <v>50.0</v>
      </c>
      <c r="E199" s="10">
        <v>0.6</v>
      </c>
      <c r="F199" s="9">
        <v>2.0</v>
      </c>
      <c r="G199" s="9">
        <v>1.0</v>
      </c>
      <c r="H199" s="9">
        <v>0.0</v>
      </c>
      <c r="I199" s="9">
        <v>0.0</v>
      </c>
      <c r="J199" s="17">
        <v>1405.0</v>
      </c>
      <c r="K199" s="18">
        <v>438.5</v>
      </c>
      <c r="L199" s="17">
        <v>770.0</v>
      </c>
      <c r="M199" s="18">
        <v>770.0</v>
      </c>
      <c r="N199" s="18">
        <v>0.0</v>
      </c>
      <c r="O199" s="18">
        <v>102.411</v>
      </c>
    </row>
    <row r="200">
      <c r="A200" s="8" t="s">
        <v>296</v>
      </c>
      <c r="B200" s="9">
        <v>30.0</v>
      </c>
      <c r="C200" s="14" t="s">
        <v>234</v>
      </c>
      <c r="D200" s="9">
        <v>50.0</v>
      </c>
      <c r="E200" s="10">
        <v>0.6</v>
      </c>
      <c r="F200" s="9">
        <v>3.0</v>
      </c>
      <c r="G200" s="9">
        <v>1.0</v>
      </c>
      <c r="H200" s="9">
        <v>0.0</v>
      </c>
      <c r="I200" s="9">
        <v>0.0</v>
      </c>
      <c r="J200" s="17">
        <v>965.0</v>
      </c>
      <c r="K200" s="18">
        <v>382.0</v>
      </c>
      <c r="L200" s="17">
        <v>696.0</v>
      </c>
      <c r="M200" s="18">
        <v>696.0</v>
      </c>
      <c r="N200" s="18">
        <v>0.0</v>
      </c>
      <c r="O200" s="18">
        <v>51.093</v>
      </c>
    </row>
    <row r="201">
      <c r="A201" s="8" t="s">
        <v>297</v>
      </c>
      <c r="B201" s="9">
        <v>30.0</v>
      </c>
      <c r="C201" s="14" t="s">
        <v>234</v>
      </c>
      <c r="D201" s="9">
        <v>50.0</v>
      </c>
      <c r="E201" s="10">
        <v>0.6</v>
      </c>
      <c r="F201" s="9">
        <v>4.0</v>
      </c>
      <c r="G201" s="9">
        <v>1.0</v>
      </c>
      <c r="H201" s="9">
        <v>0.0</v>
      </c>
      <c r="I201" s="9">
        <v>0.0</v>
      </c>
      <c r="J201" s="17">
        <v>1141.0</v>
      </c>
      <c r="K201" s="18">
        <v>339.0</v>
      </c>
      <c r="L201" s="17">
        <v>743.0</v>
      </c>
      <c r="M201" s="18">
        <v>743.0</v>
      </c>
      <c r="N201" s="18">
        <v>0.0</v>
      </c>
      <c r="O201" s="18">
        <v>780.613</v>
      </c>
    </row>
    <row r="202">
      <c r="A202" s="8" t="s">
        <v>298</v>
      </c>
      <c r="B202" s="9">
        <v>30.0</v>
      </c>
      <c r="C202" s="14" t="s">
        <v>234</v>
      </c>
      <c r="D202" s="9">
        <v>50.0</v>
      </c>
      <c r="E202" s="10">
        <v>0.6</v>
      </c>
      <c r="F202" s="9">
        <v>5.0</v>
      </c>
      <c r="G202" s="9">
        <v>1.0</v>
      </c>
      <c r="H202" s="9">
        <v>0.0</v>
      </c>
      <c r="I202" s="9">
        <v>0.0</v>
      </c>
      <c r="J202" s="17">
        <v>1091.0</v>
      </c>
      <c r="K202" s="18">
        <v>440.0</v>
      </c>
      <c r="L202" s="17">
        <v>792.0</v>
      </c>
      <c r="M202" s="18">
        <v>792.0</v>
      </c>
      <c r="N202" s="18">
        <v>0.0</v>
      </c>
      <c r="O202" s="18">
        <v>267.523</v>
      </c>
    </row>
    <row r="203">
      <c r="A203" s="8" t="s">
        <v>299</v>
      </c>
      <c r="B203" s="9">
        <v>30.0</v>
      </c>
      <c r="C203" s="14" t="s">
        <v>234</v>
      </c>
      <c r="D203" s="9">
        <v>50.0</v>
      </c>
      <c r="E203" s="10">
        <v>1.0</v>
      </c>
      <c r="F203" s="9">
        <v>1.0</v>
      </c>
      <c r="G203" s="9">
        <v>0.0</v>
      </c>
      <c r="H203" s="9">
        <v>1.0</v>
      </c>
      <c r="I203" s="9">
        <v>0.0</v>
      </c>
      <c r="J203" s="17">
        <v>3927.0</v>
      </c>
      <c r="K203" s="18">
        <v>1232.5</v>
      </c>
      <c r="L203" s="17">
        <v>2869.0</v>
      </c>
      <c r="M203" s="18">
        <v>2620.28</v>
      </c>
      <c r="N203" s="18">
        <v>8.66913</v>
      </c>
      <c r="O203" s="18">
        <v>3600.0</v>
      </c>
    </row>
    <row r="204">
      <c r="A204" s="8" t="s">
        <v>300</v>
      </c>
      <c r="B204" s="9">
        <v>30.0</v>
      </c>
      <c r="C204" s="14" t="s">
        <v>234</v>
      </c>
      <c r="D204" s="9">
        <v>50.0</v>
      </c>
      <c r="E204" s="10">
        <v>1.0</v>
      </c>
      <c r="F204" s="9">
        <v>2.0</v>
      </c>
      <c r="G204" s="9">
        <v>0.0</v>
      </c>
      <c r="H204" s="9">
        <v>1.0</v>
      </c>
      <c r="I204" s="9">
        <v>0.0</v>
      </c>
      <c r="J204" s="17">
        <v>4252.0</v>
      </c>
      <c r="K204" s="18">
        <v>1497.0</v>
      </c>
      <c r="L204" s="17">
        <v>3287.0</v>
      </c>
      <c r="M204" s="18">
        <v>2918.88</v>
      </c>
      <c r="N204" s="18">
        <v>11.1993</v>
      </c>
      <c r="O204" s="18">
        <v>3600.0</v>
      </c>
    </row>
    <row r="205">
      <c r="A205" s="8" t="s">
        <v>301</v>
      </c>
      <c r="B205" s="9">
        <v>30.0</v>
      </c>
      <c r="C205" s="14" t="s">
        <v>234</v>
      </c>
      <c r="D205" s="9">
        <v>50.0</v>
      </c>
      <c r="E205" s="10">
        <v>1.0</v>
      </c>
      <c r="F205" s="9">
        <v>3.0</v>
      </c>
      <c r="G205" s="9">
        <v>0.0</v>
      </c>
      <c r="H205" s="9">
        <v>1.0</v>
      </c>
      <c r="I205" s="9">
        <v>0.0</v>
      </c>
      <c r="J205" s="17">
        <v>3991.0</v>
      </c>
      <c r="K205" s="18">
        <v>1379.5</v>
      </c>
      <c r="L205" s="17">
        <v>2999.0</v>
      </c>
      <c r="M205" s="18">
        <v>2676.77</v>
      </c>
      <c r="N205" s="18">
        <v>10.7446</v>
      </c>
      <c r="O205" s="18">
        <v>3600.0</v>
      </c>
    </row>
    <row r="206">
      <c r="A206" s="8" t="s">
        <v>302</v>
      </c>
      <c r="B206" s="9">
        <v>30.0</v>
      </c>
      <c r="C206" s="14" t="s">
        <v>234</v>
      </c>
      <c r="D206" s="9">
        <v>50.0</v>
      </c>
      <c r="E206" s="10">
        <v>1.0</v>
      </c>
      <c r="F206" s="9">
        <v>4.0</v>
      </c>
      <c r="G206" s="9">
        <v>0.0</v>
      </c>
      <c r="H206" s="9">
        <v>1.0</v>
      </c>
      <c r="I206" s="9">
        <v>0.0</v>
      </c>
      <c r="J206" s="17">
        <v>3810.0</v>
      </c>
      <c r="K206" s="18">
        <v>1271.59</v>
      </c>
      <c r="L206" s="17">
        <v>2969.0</v>
      </c>
      <c r="M206" s="18">
        <v>2644.9</v>
      </c>
      <c r="N206" s="18">
        <v>10.9162</v>
      </c>
      <c r="O206" s="18">
        <v>3600.0</v>
      </c>
    </row>
    <row r="207">
      <c r="A207" s="8" t="s">
        <v>303</v>
      </c>
      <c r="B207" s="9">
        <v>30.0</v>
      </c>
      <c r="C207" s="14" t="s">
        <v>234</v>
      </c>
      <c r="D207" s="9">
        <v>50.0</v>
      </c>
      <c r="E207" s="10">
        <v>1.0</v>
      </c>
      <c r="F207" s="9">
        <v>5.0</v>
      </c>
      <c r="G207" s="9">
        <v>0.0</v>
      </c>
      <c r="H207" s="9">
        <v>1.0</v>
      </c>
      <c r="I207" s="9">
        <v>0.0</v>
      </c>
      <c r="J207" s="17">
        <v>4169.0</v>
      </c>
      <c r="K207" s="18">
        <v>1483.14</v>
      </c>
      <c r="L207" s="17">
        <v>3335.0</v>
      </c>
      <c r="M207" s="18">
        <v>2886.73</v>
      </c>
      <c r="N207" s="18">
        <v>13.4415</v>
      </c>
      <c r="O207" s="18">
        <v>3600.0</v>
      </c>
    </row>
    <row r="208">
      <c r="A208" s="8" t="s">
        <v>304</v>
      </c>
      <c r="B208" s="9">
        <v>30.0</v>
      </c>
      <c r="C208" s="14" t="s">
        <v>234</v>
      </c>
      <c r="D208" s="9">
        <v>50.0</v>
      </c>
      <c r="E208" s="10">
        <v>2.0</v>
      </c>
      <c r="F208" s="9">
        <v>1.0</v>
      </c>
      <c r="G208" s="9">
        <v>0.0</v>
      </c>
      <c r="H208" s="9">
        <v>1.0</v>
      </c>
      <c r="I208" s="9">
        <v>0.0</v>
      </c>
      <c r="J208" s="17">
        <v>41792.0</v>
      </c>
      <c r="K208" s="18">
        <v>13592.0</v>
      </c>
      <c r="L208" s="17">
        <v>34695.0</v>
      </c>
      <c r="M208" s="18">
        <v>29338.4</v>
      </c>
      <c r="N208" s="18">
        <v>15.439</v>
      </c>
      <c r="O208" s="18">
        <v>3600.0</v>
      </c>
    </row>
    <row r="209">
      <c r="A209" s="8" t="s">
        <v>305</v>
      </c>
      <c r="B209" s="9">
        <v>30.0</v>
      </c>
      <c r="C209" s="14" t="s">
        <v>234</v>
      </c>
      <c r="D209" s="9">
        <v>50.0</v>
      </c>
      <c r="E209" s="10">
        <v>2.0</v>
      </c>
      <c r="F209" s="9">
        <v>2.0</v>
      </c>
      <c r="G209" s="9">
        <v>0.0</v>
      </c>
      <c r="H209" s="9">
        <v>1.0</v>
      </c>
      <c r="I209" s="9">
        <v>0.0</v>
      </c>
      <c r="J209" s="17">
        <v>41938.0</v>
      </c>
      <c r="K209" s="18">
        <v>10697.5</v>
      </c>
      <c r="L209" s="17">
        <v>37599.0</v>
      </c>
      <c r="M209" s="18">
        <v>29964.8</v>
      </c>
      <c r="N209" s="18">
        <v>20.3044</v>
      </c>
      <c r="O209" s="18">
        <v>3600.0</v>
      </c>
    </row>
    <row r="210">
      <c r="A210" s="8" t="s">
        <v>306</v>
      </c>
      <c r="B210" s="9">
        <v>30.0</v>
      </c>
      <c r="C210" s="14" t="s">
        <v>234</v>
      </c>
      <c r="D210" s="9">
        <v>50.0</v>
      </c>
      <c r="E210" s="10">
        <v>2.0</v>
      </c>
      <c r="F210" s="9">
        <v>3.0</v>
      </c>
      <c r="G210" s="9">
        <v>0.0</v>
      </c>
      <c r="H210" s="9">
        <v>1.0</v>
      </c>
      <c r="I210" s="9">
        <v>0.0</v>
      </c>
      <c r="J210" s="17">
        <v>38222.0</v>
      </c>
      <c r="K210" s="18">
        <v>10973.5</v>
      </c>
      <c r="L210" s="17">
        <v>34533.0</v>
      </c>
      <c r="M210" s="18">
        <v>26446.4</v>
      </c>
      <c r="N210" s="18">
        <v>23.4169</v>
      </c>
      <c r="O210" s="18">
        <v>3600.0</v>
      </c>
    </row>
    <row r="211">
      <c r="A211" s="8" t="s">
        <v>307</v>
      </c>
      <c r="B211" s="9">
        <v>30.0</v>
      </c>
      <c r="C211" s="14" t="s">
        <v>234</v>
      </c>
      <c r="D211" s="9">
        <v>50.0</v>
      </c>
      <c r="E211" s="10">
        <v>2.0</v>
      </c>
      <c r="F211" s="9">
        <v>4.0</v>
      </c>
      <c r="G211" s="9">
        <v>0.0</v>
      </c>
      <c r="H211" s="9">
        <v>1.0</v>
      </c>
      <c r="I211" s="9">
        <v>0.0</v>
      </c>
      <c r="J211" s="17">
        <v>38603.0</v>
      </c>
      <c r="K211" s="18">
        <v>14691.9</v>
      </c>
      <c r="L211" s="17">
        <v>34867.0</v>
      </c>
      <c r="M211" s="18">
        <v>29928.2</v>
      </c>
      <c r="N211" s="18">
        <v>14.1647</v>
      </c>
      <c r="O211" s="18">
        <v>3600.0</v>
      </c>
    </row>
    <row r="212">
      <c r="A212" s="8" t="s">
        <v>308</v>
      </c>
      <c r="B212" s="9">
        <v>30.0</v>
      </c>
      <c r="C212" s="14" t="s">
        <v>234</v>
      </c>
      <c r="D212" s="9">
        <v>50.0</v>
      </c>
      <c r="E212" s="10">
        <v>2.0</v>
      </c>
      <c r="F212" s="9">
        <v>5.0</v>
      </c>
      <c r="G212" s="9">
        <v>0.0</v>
      </c>
      <c r="H212" s="9">
        <v>1.0</v>
      </c>
      <c r="I212" s="9">
        <v>0.0</v>
      </c>
      <c r="J212" s="17">
        <v>41692.0</v>
      </c>
      <c r="K212" s="18">
        <v>16597.6</v>
      </c>
      <c r="L212" s="17">
        <v>37602.0</v>
      </c>
      <c r="M212" s="18">
        <v>34036.6</v>
      </c>
      <c r="N212" s="18">
        <v>9.48192</v>
      </c>
      <c r="O212" s="18">
        <v>3600.0</v>
      </c>
    </row>
    <row r="213">
      <c r="A213" s="8" t="s">
        <v>309</v>
      </c>
      <c r="B213" s="9">
        <v>30.0</v>
      </c>
      <c r="C213" s="14" t="s">
        <v>234</v>
      </c>
      <c r="D213" s="9">
        <v>75.0</v>
      </c>
      <c r="E213" s="10">
        <v>0.6</v>
      </c>
      <c r="F213" s="9">
        <v>1.0</v>
      </c>
      <c r="G213" s="9">
        <v>0.0</v>
      </c>
      <c r="H213" s="9">
        <v>1.0</v>
      </c>
      <c r="I213" s="9">
        <v>0.0</v>
      </c>
      <c r="J213" s="17">
        <v>2014.0</v>
      </c>
      <c r="K213" s="18">
        <v>735.75</v>
      </c>
      <c r="L213" s="17">
        <v>1428.0</v>
      </c>
      <c r="M213" s="18">
        <v>1314.5</v>
      </c>
      <c r="N213" s="18">
        <v>7.94818</v>
      </c>
      <c r="O213" s="18">
        <v>3600.0</v>
      </c>
    </row>
    <row r="214">
      <c r="A214" s="8" t="s">
        <v>310</v>
      </c>
      <c r="B214" s="9">
        <v>30.0</v>
      </c>
      <c r="C214" s="14" t="s">
        <v>234</v>
      </c>
      <c r="D214" s="9">
        <v>75.0</v>
      </c>
      <c r="E214" s="10">
        <v>0.6</v>
      </c>
      <c r="F214" s="9">
        <v>2.0</v>
      </c>
      <c r="G214" s="9">
        <v>0.0</v>
      </c>
      <c r="H214" s="9">
        <v>1.0</v>
      </c>
      <c r="I214" s="9">
        <v>0.0</v>
      </c>
      <c r="J214" s="17">
        <v>2504.0</v>
      </c>
      <c r="K214" s="18">
        <v>872.0</v>
      </c>
      <c r="L214" s="17">
        <v>1830.0</v>
      </c>
      <c r="M214" s="18">
        <v>1557.12</v>
      </c>
      <c r="N214" s="18">
        <v>14.9112</v>
      </c>
      <c r="O214" s="18">
        <v>3600.0</v>
      </c>
    </row>
    <row r="215">
      <c r="A215" s="8" t="s">
        <v>311</v>
      </c>
      <c r="B215" s="9">
        <v>30.0</v>
      </c>
      <c r="C215" s="14" t="s">
        <v>234</v>
      </c>
      <c r="D215" s="9">
        <v>75.0</v>
      </c>
      <c r="E215" s="10">
        <v>0.6</v>
      </c>
      <c r="F215" s="9">
        <v>3.0</v>
      </c>
      <c r="G215" s="9">
        <v>0.0</v>
      </c>
      <c r="H215" s="9">
        <v>1.0</v>
      </c>
      <c r="I215" s="9">
        <v>0.0</v>
      </c>
      <c r="J215" s="17">
        <v>1945.0</v>
      </c>
      <c r="K215" s="18">
        <v>685.5</v>
      </c>
      <c r="L215" s="17">
        <v>1435.0</v>
      </c>
      <c r="M215" s="18">
        <v>1354.0</v>
      </c>
      <c r="N215" s="18">
        <v>5.6446</v>
      </c>
      <c r="O215" s="18">
        <v>3600.0</v>
      </c>
    </row>
    <row r="216">
      <c r="A216" s="8" t="s">
        <v>312</v>
      </c>
      <c r="B216" s="9">
        <v>30.0</v>
      </c>
      <c r="C216" s="14" t="s">
        <v>234</v>
      </c>
      <c r="D216" s="9">
        <v>75.0</v>
      </c>
      <c r="E216" s="10">
        <v>0.6</v>
      </c>
      <c r="F216" s="9">
        <v>4.0</v>
      </c>
      <c r="G216" s="9">
        <v>0.0</v>
      </c>
      <c r="H216" s="9">
        <v>1.0</v>
      </c>
      <c r="I216" s="9">
        <v>0.0</v>
      </c>
      <c r="J216" s="17">
        <v>2079.0</v>
      </c>
      <c r="K216" s="18">
        <v>877.5</v>
      </c>
      <c r="L216" s="17">
        <v>1676.0</v>
      </c>
      <c r="M216" s="18">
        <v>1619.0</v>
      </c>
      <c r="N216" s="18">
        <v>3.40095</v>
      </c>
      <c r="O216" s="18">
        <v>3600.0</v>
      </c>
    </row>
    <row r="217">
      <c r="A217" s="8" t="s">
        <v>313</v>
      </c>
      <c r="B217" s="9">
        <v>30.0</v>
      </c>
      <c r="C217" s="14" t="s">
        <v>234</v>
      </c>
      <c r="D217" s="9">
        <v>75.0</v>
      </c>
      <c r="E217" s="10">
        <v>0.6</v>
      </c>
      <c r="F217" s="9">
        <v>5.0</v>
      </c>
      <c r="G217" s="9">
        <v>0.0</v>
      </c>
      <c r="H217" s="9">
        <v>1.0</v>
      </c>
      <c r="I217" s="9">
        <v>0.0</v>
      </c>
      <c r="J217" s="17">
        <v>2122.0</v>
      </c>
      <c r="K217" s="18">
        <v>795.5</v>
      </c>
      <c r="L217" s="17">
        <v>1577.0</v>
      </c>
      <c r="M217" s="18">
        <v>1497.0</v>
      </c>
      <c r="N217" s="18">
        <v>5.07292</v>
      </c>
      <c r="O217" s="18">
        <v>3600.0</v>
      </c>
    </row>
    <row r="218">
      <c r="A218" s="8" t="s">
        <v>314</v>
      </c>
      <c r="B218" s="9">
        <v>30.0</v>
      </c>
      <c r="C218" s="14" t="s">
        <v>234</v>
      </c>
      <c r="D218" s="9">
        <v>75.0</v>
      </c>
      <c r="E218" s="10">
        <v>1.0</v>
      </c>
      <c r="F218" s="9">
        <v>1.0</v>
      </c>
      <c r="G218" s="9">
        <v>0.0</v>
      </c>
      <c r="H218" s="9">
        <v>1.0</v>
      </c>
      <c r="I218" s="9">
        <v>0.0</v>
      </c>
      <c r="J218" s="17">
        <v>6288.0</v>
      </c>
      <c r="K218" s="18">
        <v>2226.47</v>
      </c>
      <c r="L218" s="17">
        <v>4945.0</v>
      </c>
      <c r="M218" s="18">
        <v>4154.95</v>
      </c>
      <c r="N218" s="18">
        <v>15.9767</v>
      </c>
      <c r="O218" s="18">
        <v>3600.0</v>
      </c>
    </row>
    <row r="219">
      <c r="A219" s="8" t="s">
        <v>315</v>
      </c>
      <c r="B219" s="9">
        <v>30.0</v>
      </c>
      <c r="C219" s="14" t="s">
        <v>234</v>
      </c>
      <c r="D219" s="9">
        <v>75.0</v>
      </c>
      <c r="E219" s="10">
        <v>1.0</v>
      </c>
      <c r="F219" s="9">
        <v>2.0</v>
      </c>
      <c r="G219" s="9">
        <v>0.0</v>
      </c>
      <c r="H219" s="9">
        <v>1.0</v>
      </c>
      <c r="I219" s="9">
        <v>0.0</v>
      </c>
      <c r="J219" s="17">
        <v>7158.0</v>
      </c>
      <c r="K219" s="18">
        <v>2562.15</v>
      </c>
      <c r="L219" s="17">
        <v>5918.0</v>
      </c>
      <c r="M219" s="18">
        <v>4833.85</v>
      </c>
      <c r="N219" s="18">
        <v>18.3196</v>
      </c>
      <c r="O219" s="18">
        <v>3600.0</v>
      </c>
    </row>
    <row r="220">
      <c r="A220" s="8" t="s">
        <v>316</v>
      </c>
      <c r="B220" s="9">
        <v>30.0</v>
      </c>
      <c r="C220" s="14" t="s">
        <v>234</v>
      </c>
      <c r="D220" s="9">
        <v>75.0</v>
      </c>
      <c r="E220" s="10">
        <v>1.0</v>
      </c>
      <c r="F220" s="9">
        <v>3.0</v>
      </c>
      <c r="G220" s="9">
        <v>0.0</v>
      </c>
      <c r="H220" s="9">
        <v>1.0</v>
      </c>
      <c r="I220" s="9">
        <v>0.0</v>
      </c>
      <c r="J220" s="17">
        <v>6559.0</v>
      </c>
      <c r="K220" s="18">
        <v>2201.56</v>
      </c>
      <c r="L220" s="17">
        <v>5123.0</v>
      </c>
      <c r="M220" s="18">
        <v>4196.48</v>
      </c>
      <c r="N220" s="18">
        <v>18.0855</v>
      </c>
      <c r="O220" s="18">
        <v>3600.0</v>
      </c>
    </row>
    <row r="221">
      <c r="A221" s="8" t="s">
        <v>317</v>
      </c>
      <c r="B221" s="9">
        <v>30.0</v>
      </c>
      <c r="C221" s="14" t="s">
        <v>234</v>
      </c>
      <c r="D221" s="9">
        <v>75.0</v>
      </c>
      <c r="E221" s="10">
        <v>1.0</v>
      </c>
      <c r="F221" s="9">
        <v>4.0</v>
      </c>
      <c r="G221" s="9">
        <v>0.0</v>
      </c>
      <c r="H221" s="9">
        <v>1.0</v>
      </c>
      <c r="I221" s="9">
        <v>0.0</v>
      </c>
      <c r="J221" s="17">
        <v>7886.0</v>
      </c>
      <c r="K221" s="18">
        <v>2516.81</v>
      </c>
      <c r="L221" s="17">
        <v>5851.0</v>
      </c>
      <c r="M221" s="18">
        <v>4799.83</v>
      </c>
      <c r="N221" s="18">
        <v>17.9656</v>
      </c>
      <c r="O221" s="18">
        <v>3600.0</v>
      </c>
    </row>
    <row r="222">
      <c r="A222" s="8" t="s">
        <v>318</v>
      </c>
      <c r="B222" s="9">
        <v>30.0</v>
      </c>
      <c r="C222" s="14" t="s">
        <v>234</v>
      </c>
      <c r="D222" s="9">
        <v>75.0</v>
      </c>
      <c r="E222" s="10">
        <v>1.0</v>
      </c>
      <c r="F222" s="9">
        <v>5.0</v>
      </c>
      <c r="G222" s="9">
        <v>0.0</v>
      </c>
      <c r="H222" s="9">
        <v>1.0</v>
      </c>
      <c r="I222" s="9">
        <v>0.0</v>
      </c>
      <c r="J222" s="17">
        <v>6799.0</v>
      </c>
      <c r="K222" s="18">
        <v>2452.13</v>
      </c>
      <c r="L222" s="17">
        <v>5524.0</v>
      </c>
      <c r="M222" s="18">
        <v>4463.39</v>
      </c>
      <c r="N222" s="18">
        <v>19.2</v>
      </c>
      <c r="O222" s="18">
        <v>3600.0</v>
      </c>
    </row>
    <row r="223">
      <c r="A223" s="8" t="s">
        <v>319</v>
      </c>
      <c r="B223" s="9">
        <v>30.0</v>
      </c>
      <c r="C223" s="14" t="s">
        <v>234</v>
      </c>
      <c r="D223" s="9">
        <v>75.0</v>
      </c>
      <c r="E223" s="10">
        <v>2.0</v>
      </c>
      <c r="F223" s="9">
        <v>1.0</v>
      </c>
      <c r="G223" s="9">
        <v>0.0</v>
      </c>
      <c r="H223" s="9">
        <v>1.0</v>
      </c>
      <c r="I223" s="9">
        <v>0.0</v>
      </c>
      <c r="J223" s="17">
        <v>57341.0</v>
      </c>
      <c r="K223" s="18">
        <v>15236.2</v>
      </c>
      <c r="L223" s="17">
        <v>52091.0</v>
      </c>
      <c r="M223" s="18">
        <v>41954.8</v>
      </c>
      <c r="N223" s="18">
        <v>19.4587</v>
      </c>
      <c r="O223" s="18">
        <v>3600.0</v>
      </c>
    </row>
    <row r="224">
      <c r="A224" s="8" t="s">
        <v>320</v>
      </c>
      <c r="B224" s="9">
        <v>30.0</v>
      </c>
      <c r="C224" s="14" t="s">
        <v>234</v>
      </c>
      <c r="D224" s="9">
        <v>75.0</v>
      </c>
      <c r="E224" s="10">
        <v>2.0</v>
      </c>
      <c r="F224" s="9">
        <v>2.0</v>
      </c>
      <c r="G224" s="9">
        <v>0.0</v>
      </c>
      <c r="H224" s="9">
        <v>1.0</v>
      </c>
      <c r="I224" s="9">
        <v>0.0</v>
      </c>
      <c r="J224" s="17">
        <v>66677.0</v>
      </c>
      <c r="K224" s="18">
        <v>21838.0</v>
      </c>
      <c r="L224" s="17">
        <v>60495.0</v>
      </c>
      <c r="M224" s="18">
        <v>45132.4</v>
      </c>
      <c r="N224" s="18">
        <v>25.3948</v>
      </c>
      <c r="O224" s="18">
        <v>3600.0</v>
      </c>
    </row>
    <row r="225">
      <c r="A225" s="8" t="s">
        <v>321</v>
      </c>
      <c r="B225" s="9">
        <v>30.0</v>
      </c>
      <c r="C225" s="14" t="s">
        <v>234</v>
      </c>
      <c r="D225" s="9">
        <v>75.0</v>
      </c>
      <c r="E225" s="10">
        <v>2.0</v>
      </c>
      <c r="F225" s="9">
        <v>3.0</v>
      </c>
      <c r="G225" s="9">
        <v>0.0</v>
      </c>
      <c r="H225" s="9">
        <v>1.0</v>
      </c>
      <c r="I225" s="9">
        <v>0.0</v>
      </c>
      <c r="J225" s="17">
        <v>64022.0</v>
      </c>
      <c r="K225" s="18">
        <v>21213.8</v>
      </c>
      <c r="L225" s="17">
        <v>53178.0</v>
      </c>
      <c r="M225" s="18">
        <v>42960.5</v>
      </c>
      <c r="N225" s="18">
        <v>19.2137</v>
      </c>
      <c r="O225" s="18">
        <v>3600.0</v>
      </c>
    </row>
    <row r="226">
      <c r="A226" s="8" t="s">
        <v>322</v>
      </c>
      <c r="B226" s="9">
        <v>30.0</v>
      </c>
      <c r="C226" s="14" t="s">
        <v>234</v>
      </c>
      <c r="D226" s="9">
        <v>75.0</v>
      </c>
      <c r="E226" s="10">
        <v>2.0</v>
      </c>
      <c r="F226" s="9">
        <v>4.0</v>
      </c>
      <c r="G226" s="9">
        <v>0.0</v>
      </c>
      <c r="H226" s="9">
        <v>1.0</v>
      </c>
      <c r="I226" s="9">
        <v>0.0</v>
      </c>
      <c r="J226" s="17">
        <v>66116.0</v>
      </c>
      <c r="K226" s="18">
        <v>18219.3</v>
      </c>
      <c r="L226" s="17">
        <v>59080.0</v>
      </c>
      <c r="M226" s="18">
        <v>42527.0</v>
      </c>
      <c r="N226" s="18">
        <v>28.0179</v>
      </c>
      <c r="O226" s="18">
        <v>3600.0</v>
      </c>
    </row>
    <row r="227">
      <c r="A227" s="8" t="s">
        <v>323</v>
      </c>
      <c r="B227" s="9">
        <v>30.0</v>
      </c>
      <c r="C227" s="14" t="s">
        <v>234</v>
      </c>
      <c r="D227" s="9">
        <v>75.0</v>
      </c>
      <c r="E227" s="10">
        <v>2.0</v>
      </c>
      <c r="F227" s="9">
        <v>5.0</v>
      </c>
      <c r="G227" s="9">
        <v>0.0</v>
      </c>
      <c r="H227" s="9">
        <v>1.0</v>
      </c>
      <c r="I227" s="9">
        <v>0.0</v>
      </c>
      <c r="J227" s="17">
        <v>61766.0</v>
      </c>
      <c r="K227" s="18">
        <v>33689.7</v>
      </c>
      <c r="L227" s="17">
        <v>55982.0</v>
      </c>
      <c r="M227" s="18">
        <v>50199.4</v>
      </c>
      <c r="N227" s="18">
        <v>10.3293</v>
      </c>
      <c r="O227" s="18">
        <v>3600.0</v>
      </c>
    </row>
    <row r="228">
      <c r="A228" s="8" t="s">
        <v>324</v>
      </c>
      <c r="B228" s="9">
        <v>35.0</v>
      </c>
      <c r="C228" s="14" t="s">
        <v>234</v>
      </c>
      <c r="D228" s="9">
        <v>25.0</v>
      </c>
      <c r="E228" s="10">
        <v>0.6</v>
      </c>
      <c r="F228" s="9">
        <v>1.0</v>
      </c>
      <c r="G228" s="9">
        <v>1.0</v>
      </c>
      <c r="H228" s="9">
        <v>0.0</v>
      </c>
      <c r="I228" s="9">
        <v>0.0</v>
      </c>
      <c r="J228" s="17">
        <v>319.0</v>
      </c>
      <c r="K228" s="18">
        <v>152.5</v>
      </c>
      <c r="L228" s="17">
        <v>250.0</v>
      </c>
      <c r="M228" s="18">
        <v>250.0</v>
      </c>
      <c r="N228" s="18">
        <v>0.0</v>
      </c>
      <c r="O228" s="18">
        <v>46.272</v>
      </c>
    </row>
    <row r="229">
      <c r="A229" s="8" t="s">
        <v>325</v>
      </c>
      <c r="B229" s="9">
        <v>35.0</v>
      </c>
      <c r="C229" s="14" t="s">
        <v>234</v>
      </c>
      <c r="D229" s="9">
        <v>25.0</v>
      </c>
      <c r="E229" s="10">
        <v>0.6</v>
      </c>
      <c r="F229" s="9">
        <v>2.0</v>
      </c>
      <c r="G229" s="9">
        <v>1.0</v>
      </c>
      <c r="H229" s="9">
        <v>0.0</v>
      </c>
      <c r="I229" s="9">
        <v>0.0</v>
      </c>
      <c r="J229" s="17">
        <v>327.0</v>
      </c>
      <c r="K229" s="18">
        <v>145.75</v>
      </c>
      <c r="L229" s="17">
        <v>281.0</v>
      </c>
      <c r="M229" s="18">
        <v>281.0</v>
      </c>
      <c r="N229" s="18">
        <v>0.0</v>
      </c>
      <c r="O229" s="18">
        <v>81.358</v>
      </c>
    </row>
    <row r="230">
      <c r="A230" s="8" t="s">
        <v>326</v>
      </c>
      <c r="B230" s="9">
        <v>35.0</v>
      </c>
      <c r="C230" s="14" t="s">
        <v>234</v>
      </c>
      <c r="D230" s="9">
        <v>25.0</v>
      </c>
      <c r="E230" s="10">
        <v>0.6</v>
      </c>
      <c r="F230" s="9">
        <v>3.0</v>
      </c>
      <c r="G230" s="9">
        <v>1.0</v>
      </c>
      <c r="H230" s="9">
        <v>0.0</v>
      </c>
      <c r="I230" s="9">
        <v>0.0</v>
      </c>
      <c r="J230" s="17">
        <v>276.0</v>
      </c>
      <c r="K230" s="18">
        <v>98.4</v>
      </c>
      <c r="L230" s="17">
        <v>176.0</v>
      </c>
      <c r="M230" s="18">
        <v>176.0</v>
      </c>
      <c r="N230" s="18">
        <v>0.0</v>
      </c>
      <c r="O230" s="18">
        <v>31.718</v>
      </c>
    </row>
    <row r="231">
      <c r="A231" s="8" t="s">
        <v>327</v>
      </c>
      <c r="B231" s="9">
        <v>35.0</v>
      </c>
      <c r="C231" s="14" t="s">
        <v>234</v>
      </c>
      <c r="D231" s="9">
        <v>25.0</v>
      </c>
      <c r="E231" s="10">
        <v>0.6</v>
      </c>
      <c r="F231" s="9">
        <v>4.0</v>
      </c>
      <c r="G231" s="9">
        <v>1.0</v>
      </c>
      <c r="H231" s="9">
        <v>0.0</v>
      </c>
      <c r="I231" s="9">
        <v>0.0</v>
      </c>
      <c r="J231" s="17">
        <v>677.0</v>
      </c>
      <c r="K231" s="18">
        <v>166.95</v>
      </c>
      <c r="L231" s="17">
        <v>355.0</v>
      </c>
      <c r="M231" s="18">
        <v>355.0</v>
      </c>
      <c r="N231" s="18">
        <v>0.0</v>
      </c>
      <c r="O231" s="18">
        <v>167.228</v>
      </c>
    </row>
    <row r="232">
      <c r="A232" s="8" t="s">
        <v>328</v>
      </c>
      <c r="B232" s="9">
        <v>35.0</v>
      </c>
      <c r="C232" s="14" t="s">
        <v>234</v>
      </c>
      <c r="D232" s="9">
        <v>25.0</v>
      </c>
      <c r="E232" s="10">
        <v>0.6</v>
      </c>
      <c r="F232" s="9">
        <v>5.0</v>
      </c>
      <c r="G232" s="9">
        <v>1.0</v>
      </c>
      <c r="H232" s="9">
        <v>0.0</v>
      </c>
      <c r="I232" s="9">
        <v>0.0</v>
      </c>
      <c r="J232" s="17">
        <v>506.0</v>
      </c>
      <c r="K232" s="18">
        <v>167.0</v>
      </c>
      <c r="L232" s="17">
        <v>355.0</v>
      </c>
      <c r="M232" s="18">
        <v>355.0</v>
      </c>
      <c r="N232" s="18">
        <v>0.0</v>
      </c>
      <c r="O232" s="18">
        <v>194.065</v>
      </c>
    </row>
    <row r="233">
      <c r="A233" s="8" t="s">
        <v>329</v>
      </c>
      <c r="B233" s="9">
        <v>35.0</v>
      </c>
      <c r="C233" s="14" t="s">
        <v>234</v>
      </c>
      <c r="D233" s="9">
        <v>25.0</v>
      </c>
      <c r="E233" s="10">
        <v>1.0</v>
      </c>
      <c r="F233" s="9">
        <v>1.0</v>
      </c>
      <c r="G233" s="9">
        <v>0.0</v>
      </c>
      <c r="H233" s="9">
        <v>1.0</v>
      </c>
      <c r="I233" s="9">
        <v>0.0</v>
      </c>
      <c r="J233" s="17">
        <v>1867.0</v>
      </c>
      <c r="K233" s="18">
        <v>603.988</v>
      </c>
      <c r="L233" s="17">
        <v>1590.0</v>
      </c>
      <c r="M233" s="18">
        <v>1121.28</v>
      </c>
      <c r="N233" s="18">
        <v>29.479</v>
      </c>
      <c r="O233" s="18">
        <v>3600.0</v>
      </c>
    </row>
    <row r="234">
      <c r="A234" s="8" t="s">
        <v>330</v>
      </c>
      <c r="B234" s="9">
        <v>35.0</v>
      </c>
      <c r="C234" s="14" t="s">
        <v>234</v>
      </c>
      <c r="D234" s="9">
        <v>25.0</v>
      </c>
      <c r="E234" s="10">
        <v>1.0</v>
      </c>
      <c r="F234" s="9">
        <v>2.0</v>
      </c>
      <c r="G234" s="9">
        <v>0.0</v>
      </c>
      <c r="H234" s="9">
        <v>1.0</v>
      </c>
      <c r="I234" s="9">
        <v>0.0</v>
      </c>
      <c r="J234" s="17">
        <v>2305.0</v>
      </c>
      <c r="K234" s="18">
        <v>620.27</v>
      </c>
      <c r="L234" s="17">
        <v>1501.0</v>
      </c>
      <c r="M234" s="18">
        <v>1206.67</v>
      </c>
      <c r="N234" s="18">
        <v>19.6087</v>
      </c>
      <c r="O234" s="18">
        <v>3600.0</v>
      </c>
    </row>
    <row r="235">
      <c r="A235" s="8" t="s">
        <v>331</v>
      </c>
      <c r="B235" s="9">
        <v>35.0</v>
      </c>
      <c r="C235" s="14" t="s">
        <v>234</v>
      </c>
      <c r="D235" s="9">
        <v>25.0</v>
      </c>
      <c r="E235" s="10">
        <v>1.0</v>
      </c>
      <c r="F235" s="9">
        <v>3.0</v>
      </c>
      <c r="G235" s="9">
        <v>0.0</v>
      </c>
      <c r="H235" s="9">
        <v>1.0</v>
      </c>
      <c r="I235" s="9">
        <v>0.0</v>
      </c>
      <c r="J235" s="17">
        <v>1770.0</v>
      </c>
      <c r="K235" s="18">
        <v>427.374</v>
      </c>
      <c r="L235" s="17">
        <v>970.0</v>
      </c>
      <c r="M235" s="18">
        <v>773.211</v>
      </c>
      <c r="N235" s="18">
        <v>20.2875</v>
      </c>
      <c r="O235" s="18">
        <v>3600.0</v>
      </c>
    </row>
    <row r="236">
      <c r="A236" s="8" t="s">
        <v>332</v>
      </c>
      <c r="B236" s="9">
        <v>35.0</v>
      </c>
      <c r="C236" s="14" t="s">
        <v>234</v>
      </c>
      <c r="D236" s="9">
        <v>25.0</v>
      </c>
      <c r="E236" s="10">
        <v>1.0</v>
      </c>
      <c r="F236" s="9">
        <v>4.0</v>
      </c>
      <c r="G236" s="9">
        <v>0.0</v>
      </c>
      <c r="H236" s="9">
        <v>1.0</v>
      </c>
      <c r="I236" s="9">
        <v>0.0</v>
      </c>
      <c r="J236" s="17">
        <v>3038.0</v>
      </c>
      <c r="K236" s="18">
        <v>700.344</v>
      </c>
      <c r="L236" s="17">
        <v>1822.0</v>
      </c>
      <c r="M236" s="18">
        <v>1358.21</v>
      </c>
      <c r="N236" s="18">
        <v>25.4548</v>
      </c>
      <c r="O236" s="18">
        <v>3600.0</v>
      </c>
    </row>
    <row r="237">
      <c r="A237" s="8" t="s">
        <v>333</v>
      </c>
      <c r="B237" s="9">
        <v>35.0</v>
      </c>
      <c r="C237" s="14" t="s">
        <v>234</v>
      </c>
      <c r="D237" s="9">
        <v>25.0</v>
      </c>
      <c r="E237" s="10">
        <v>1.0</v>
      </c>
      <c r="F237" s="9">
        <v>5.0</v>
      </c>
      <c r="G237" s="9">
        <v>0.0</v>
      </c>
      <c r="H237" s="9">
        <v>1.0</v>
      </c>
      <c r="I237" s="9">
        <v>0.0</v>
      </c>
      <c r="J237" s="17">
        <v>2464.0</v>
      </c>
      <c r="K237" s="18">
        <v>688.17</v>
      </c>
      <c r="L237" s="17">
        <v>1848.0</v>
      </c>
      <c r="M237" s="18">
        <v>1355.02</v>
      </c>
      <c r="N237" s="18">
        <v>26.6765</v>
      </c>
      <c r="O237" s="18">
        <v>3600.0</v>
      </c>
    </row>
    <row r="238">
      <c r="A238" s="8" t="s">
        <v>334</v>
      </c>
      <c r="B238" s="9">
        <v>35.0</v>
      </c>
      <c r="C238" s="14" t="s">
        <v>234</v>
      </c>
      <c r="D238" s="9">
        <v>25.0</v>
      </c>
      <c r="E238" s="10">
        <v>2.0</v>
      </c>
      <c r="F238" s="9">
        <v>1.0</v>
      </c>
      <c r="G238" s="9">
        <v>0.0</v>
      </c>
      <c r="H238" s="9">
        <v>1.0</v>
      </c>
      <c r="I238" s="9">
        <v>0.0</v>
      </c>
      <c r="J238" s="17">
        <v>20805.0</v>
      </c>
      <c r="K238" s="18">
        <v>5867.52</v>
      </c>
      <c r="L238" s="17">
        <v>20669.0</v>
      </c>
      <c r="M238" s="18">
        <v>11590.5</v>
      </c>
      <c r="N238" s="18">
        <v>43.9233</v>
      </c>
      <c r="O238" s="18">
        <v>3600.0</v>
      </c>
    </row>
    <row r="239">
      <c r="A239" s="8" t="s">
        <v>335</v>
      </c>
      <c r="B239" s="9">
        <v>35.0</v>
      </c>
      <c r="C239" s="14" t="s">
        <v>234</v>
      </c>
      <c r="D239" s="9">
        <v>25.0</v>
      </c>
      <c r="E239" s="10">
        <v>2.0</v>
      </c>
      <c r="F239" s="9">
        <v>2.0</v>
      </c>
      <c r="G239" s="9">
        <v>0.0</v>
      </c>
      <c r="H239" s="9">
        <v>1.0</v>
      </c>
      <c r="I239" s="9">
        <v>0.0</v>
      </c>
      <c r="J239" s="17">
        <v>21809.0</v>
      </c>
      <c r="K239" s="18">
        <v>5830.87</v>
      </c>
      <c r="L239" s="17">
        <v>19390.0</v>
      </c>
      <c r="M239" s="18">
        <v>12137.4</v>
      </c>
      <c r="N239" s="18">
        <v>37.4037</v>
      </c>
      <c r="O239" s="18">
        <v>3600.0</v>
      </c>
    </row>
    <row r="240">
      <c r="A240" s="8" t="s">
        <v>336</v>
      </c>
      <c r="B240" s="9">
        <v>35.0</v>
      </c>
      <c r="C240" s="14" t="s">
        <v>234</v>
      </c>
      <c r="D240" s="9">
        <v>25.0</v>
      </c>
      <c r="E240" s="10">
        <v>2.0</v>
      </c>
      <c r="F240" s="9">
        <v>3.0</v>
      </c>
      <c r="G240" s="9">
        <v>0.0</v>
      </c>
      <c r="H240" s="9">
        <v>1.0</v>
      </c>
      <c r="I240" s="9">
        <v>0.0</v>
      </c>
      <c r="J240" s="17">
        <v>15383.0</v>
      </c>
      <c r="K240" s="18">
        <v>4366.95</v>
      </c>
      <c r="L240" s="17">
        <v>13759.0</v>
      </c>
      <c r="M240" s="18">
        <v>9438.55</v>
      </c>
      <c r="N240" s="18">
        <v>31.4009</v>
      </c>
      <c r="O240" s="18">
        <v>3600.0</v>
      </c>
    </row>
    <row r="241">
      <c r="A241" s="8" t="s">
        <v>337</v>
      </c>
      <c r="B241" s="9">
        <v>35.0</v>
      </c>
      <c r="C241" s="14" t="s">
        <v>234</v>
      </c>
      <c r="D241" s="9">
        <v>25.0</v>
      </c>
      <c r="E241" s="10">
        <v>2.0</v>
      </c>
      <c r="F241" s="9">
        <v>4.0</v>
      </c>
      <c r="G241" s="9">
        <v>0.0</v>
      </c>
      <c r="H241" s="9">
        <v>1.0</v>
      </c>
      <c r="I241" s="9">
        <v>0.0</v>
      </c>
      <c r="J241" s="17">
        <v>24356.0</v>
      </c>
      <c r="K241" s="18">
        <v>7489.08</v>
      </c>
      <c r="L241" s="17">
        <v>22025.0</v>
      </c>
      <c r="M241" s="18">
        <v>15208.6</v>
      </c>
      <c r="N241" s="18">
        <v>30.9484</v>
      </c>
      <c r="O241" s="18">
        <v>3600.0</v>
      </c>
    </row>
    <row r="242">
      <c r="A242" s="8" t="s">
        <v>338</v>
      </c>
      <c r="B242" s="9">
        <v>35.0</v>
      </c>
      <c r="C242" s="14" t="s">
        <v>234</v>
      </c>
      <c r="D242" s="9">
        <v>25.0</v>
      </c>
      <c r="E242" s="10">
        <v>2.0</v>
      </c>
      <c r="F242" s="9">
        <v>5.0</v>
      </c>
      <c r="G242" s="9">
        <v>0.0</v>
      </c>
      <c r="H242" s="9">
        <v>1.0</v>
      </c>
      <c r="I242" s="9">
        <v>0.0</v>
      </c>
      <c r="J242" s="17">
        <v>26533.0</v>
      </c>
      <c r="K242" s="18">
        <v>5802.33</v>
      </c>
      <c r="L242" s="17">
        <v>22034.0</v>
      </c>
      <c r="M242" s="18">
        <v>13452.8</v>
      </c>
      <c r="N242" s="18">
        <v>38.9454</v>
      </c>
      <c r="O242" s="18">
        <v>3600.0</v>
      </c>
    </row>
    <row r="243">
      <c r="A243" s="8" t="s">
        <v>339</v>
      </c>
      <c r="B243" s="9">
        <v>35.0</v>
      </c>
      <c r="C243" s="14" t="s">
        <v>234</v>
      </c>
      <c r="D243" s="9">
        <v>50.0</v>
      </c>
      <c r="E243" s="10">
        <v>0.6</v>
      </c>
      <c r="F243" s="9">
        <v>1.0</v>
      </c>
      <c r="G243" s="9">
        <v>1.0</v>
      </c>
      <c r="H243" s="9">
        <v>0.0</v>
      </c>
      <c r="I243" s="9">
        <v>0.0</v>
      </c>
      <c r="J243" s="17">
        <v>1307.0</v>
      </c>
      <c r="K243" s="18">
        <v>360.0</v>
      </c>
      <c r="L243" s="17">
        <v>768.0</v>
      </c>
      <c r="M243" s="18">
        <v>768.0</v>
      </c>
      <c r="N243" s="18">
        <v>0.0</v>
      </c>
      <c r="O243" s="18">
        <v>3140.3</v>
      </c>
    </row>
    <row r="244">
      <c r="A244" s="8" t="s">
        <v>340</v>
      </c>
      <c r="B244" s="9">
        <v>35.0</v>
      </c>
      <c r="C244" s="14" t="s">
        <v>234</v>
      </c>
      <c r="D244" s="9">
        <v>50.0</v>
      </c>
      <c r="E244" s="10">
        <v>0.6</v>
      </c>
      <c r="F244" s="9">
        <v>2.0</v>
      </c>
      <c r="G244" s="9">
        <v>1.0</v>
      </c>
      <c r="H244" s="9">
        <v>0.0</v>
      </c>
      <c r="I244" s="9">
        <v>0.0</v>
      </c>
      <c r="J244" s="17">
        <v>1322.0</v>
      </c>
      <c r="K244" s="18">
        <v>401.0</v>
      </c>
      <c r="L244" s="17">
        <v>808.0</v>
      </c>
      <c r="M244" s="18">
        <v>808.0</v>
      </c>
      <c r="N244" s="18">
        <v>0.0</v>
      </c>
      <c r="O244" s="18">
        <v>2772.74</v>
      </c>
    </row>
    <row r="245">
      <c r="A245" s="8" t="s">
        <v>341</v>
      </c>
      <c r="B245" s="9">
        <v>35.0</v>
      </c>
      <c r="C245" s="14" t="s">
        <v>234</v>
      </c>
      <c r="D245" s="9">
        <v>50.0</v>
      </c>
      <c r="E245" s="10">
        <v>0.6</v>
      </c>
      <c r="F245" s="9">
        <v>3.0</v>
      </c>
      <c r="G245" s="9">
        <v>1.0</v>
      </c>
      <c r="H245" s="9">
        <v>0.0</v>
      </c>
      <c r="I245" s="9">
        <v>0.0</v>
      </c>
      <c r="J245" s="17">
        <v>1050.0</v>
      </c>
      <c r="K245" s="18">
        <v>440.5</v>
      </c>
      <c r="L245" s="17">
        <v>867.0</v>
      </c>
      <c r="M245" s="18">
        <v>867.0</v>
      </c>
      <c r="N245" s="18">
        <v>0.0</v>
      </c>
      <c r="O245" s="18">
        <v>2979.76</v>
      </c>
    </row>
    <row r="246">
      <c r="A246" s="8" t="s">
        <v>342</v>
      </c>
      <c r="B246" s="9">
        <v>35.0</v>
      </c>
      <c r="C246" s="14" t="s">
        <v>234</v>
      </c>
      <c r="D246" s="9">
        <v>50.0</v>
      </c>
      <c r="E246" s="10">
        <v>0.6</v>
      </c>
      <c r="F246" s="9">
        <v>4.0</v>
      </c>
      <c r="G246" s="9">
        <v>1.0</v>
      </c>
      <c r="H246" s="9">
        <v>0.0</v>
      </c>
      <c r="I246" s="9">
        <v>0.0</v>
      </c>
      <c r="J246" s="17">
        <v>1404.0</v>
      </c>
      <c r="K246" s="18">
        <v>500.882</v>
      </c>
      <c r="L246" s="17">
        <v>920.0</v>
      </c>
      <c r="M246" s="18">
        <v>920.0</v>
      </c>
      <c r="N246" s="18">
        <v>0.0</v>
      </c>
      <c r="O246" s="18">
        <v>1029.54</v>
      </c>
    </row>
    <row r="247">
      <c r="A247" s="8" t="s">
        <v>343</v>
      </c>
      <c r="B247" s="9">
        <v>35.0</v>
      </c>
      <c r="C247" s="14" t="s">
        <v>234</v>
      </c>
      <c r="D247" s="9">
        <v>50.0</v>
      </c>
      <c r="E247" s="10">
        <v>0.6</v>
      </c>
      <c r="F247" s="9">
        <v>5.0</v>
      </c>
      <c r="G247" s="9">
        <v>1.0</v>
      </c>
      <c r="H247" s="9">
        <v>0.0</v>
      </c>
      <c r="I247" s="9">
        <v>0.0</v>
      </c>
      <c r="J247" s="17">
        <v>1266.0</v>
      </c>
      <c r="K247" s="18">
        <v>434.938</v>
      </c>
      <c r="L247" s="17">
        <v>794.0</v>
      </c>
      <c r="M247" s="18">
        <v>794.0</v>
      </c>
      <c r="N247" s="18">
        <v>0.0</v>
      </c>
      <c r="O247" s="18">
        <v>635.79</v>
      </c>
    </row>
    <row r="248">
      <c r="A248" s="8" t="s">
        <v>344</v>
      </c>
      <c r="B248" s="9">
        <v>35.0</v>
      </c>
      <c r="C248" s="14" t="s">
        <v>234</v>
      </c>
      <c r="D248" s="9">
        <v>50.0</v>
      </c>
      <c r="E248" s="10">
        <v>1.0</v>
      </c>
      <c r="F248" s="9">
        <v>1.0</v>
      </c>
      <c r="G248" s="9">
        <v>0.0</v>
      </c>
      <c r="H248" s="9">
        <v>1.0</v>
      </c>
      <c r="I248" s="9">
        <v>0.0</v>
      </c>
      <c r="J248" s="17">
        <v>4164.0</v>
      </c>
      <c r="K248" s="18">
        <v>1315.01</v>
      </c>
      <c r="L248" s="17">
        <v>3170.0</v>
      </c>
      <c r="M248" s="18">
        <v>2485.25</v>
      </c>
      <c r="N248" s="18">
        <v>21.6009</v>
      </c>
      <c r="O248" s="18">
        <v>3600.0</v>
      </c>
    </row>
    <row r="249">
      <c r="A249" s="8" t="s">
        <v>345</v>
      </c>
      <c r="B249" s="9">
        <v>35.0</v>
      </c>
      <c r="C249" s="14" t="s">
        <v>234</v>
      </c>
      <c r="D249" s="9">
        <v>50.0</v>
      </c>
      <c r="E249" s="10">
        <v>1.0</v>
      </c>
      <c r="F249" s="9">
        <v>2.0</v>
      </c>
      <c r="G249" s="9">
        <v>0.0</v>
      </c>
      <c r="H249" s="9">
        <v>1.0</v>
      </c>
      <c r="I249" s="9">
        <v>0.0</v>
      </c>
      <c r="J249" s="17">
        <v>3964.0</v>
      </c>
      <c r="K249" s="18">
        <v>1410.33</v>
      </c>
      <c r="L249" s="17">
        <v>3309.0</v>
      </c>
      <c r="M249" s="18">
        <v>2554.72</v>
      </c>
      <c r="N249" s="18">
        <v>22.7948</v>
      </c>
      <c r="O249" s="18">
        <v>3600.0</v>
      </c>
    </row>
    <row r="250">
      <c r="A250" s="8" t="s">
        <v>346</v>
      </c>
      <c r="B250" s="9">
        <v>35.0</v>
      </c>
      <c r="C250" s="14" t="s">
        <v>234</v>
      </c>
      <c r="D250" s="9">
        <v>50.0</v>
      </c>
      <c r="E250" s="10">
        <v>1.0</v>
      </c>
      <c r="F250" s="9">
        <v>3.0</v>
      </c>
      <c r="G250" s="9">
        <v>0.0</v>
      </c>
      <c r="H250" s="9">
        <v>1.0</v>
      </c>
      <c r="I250" s="9">
        <v>0.0</v>
      </c>
      <c r="J250" s="17">
        <v>4068.0</v>
      </c>
      <c r="K250" s="18">
        <v>1486.79</v>
      </c>
      <c r="L250" s="17">
        <v>3470.0</v>
      </c>
      <c r="M250" s="18">
        <v>2696.09</v>
      </c>
      <c r="N250" s="18">
        <v>22.3028</v>
      </c>
      <c r="O250" s="18">
        <v>3600.0</v>
      </c>
    </row>
    <row r="251">
      <c r="A251" s="8" t="s">
        <v>347</v>
      </c>
      <c r="B251" s="9">
        <v>35.0</v>
      </c>
      <c r="C251" s="14" t="s">
        <v>234</v>
      </c>
      <c r="D251" s="9">
        <v>50.0</v>
      </c>
      <c r="E251" s="10">
        <v>1.0</v>
      </c>
      <c r="F251" s="9">
        <v>4.0</v>
      </c>
      <c r="G251" s="9">
        <v>0.0</v>
      </c>
      <c r="H251" s="9">
        <v>1.0</v>
      </c>
      <c r="I251" s="9">
        <v>0.0</v>
      </c>
      <c r="J251" s="17">
        <v>4965.0</v>
      </c>
      <c r="K251" s="18">
        <v>1669.86</v>
      </c>
      <c r="L251" s="17">
        <v>3697.0</v>
      </c>
      <c r="M251" s="18">
        <v>2936.35</v>
      </c>
      <c r="N251" s="18">
        <v>20.5747</v>
      </c>
      <c r="O251" s="18">
        <v>3600.0</v>
      </c>
    </row>
    <row r="252">
      <c r="A252" s="8" t="s">
        <v>348</v>
      </c>
      <c r="B252" s="9">
        <v>35.0</v>
      </c>
      <c r="C252" s="14" t="s">
        <v>234</v>
      </c>
      <c r="D252" s="9">
        <v>50.0</v>
      </c>
      <c r="E252" s="10">
        <v>1.0</v>
      </c>
      <c r="F252" s="9">
        <v>5.0</v>
      </c>
      <c r="G252" s="9">
        <v>0.0</v>
      </c>
      <c r="H252" s="9">
        <v>1.0</v>
      </c>
      <c r="I252" s="9">
        <v>0.0</v>
      </c>
      <c r="J252" s="17">
        <v>5280.0</v>
      </c>
      <c r="K252" s="18">
        <v>1449.62</v>
      </c>
      <c r="L252" s="17">
        <v>3378.0</v>
      </c>
      <c r="M252" s="18">
        <v>2714.2</v>
      </c>
      <c r="N252" s="18">
        <v>19.6507</v>
      </c>
      <c r="O252" s="18">
        <v>3600.0</v>
      </c>
    </row>
    <row r="253">
      <c r="A253" s="8" t="s">
        <v>349</v>
      </c>
      <c r="B253" s="9">
        <v>35.0</v>
      </c>
      <c r="C253" s="14" t="s">
        <v>234</v>
      </c>
      <c r="D253" s="9">
        <v>50.0</v>
      </c>
      <c r="E253" s="10">
        <v>2.0</v>
      </c>
      <c r="F253" s="9">
        <v>1.0</v>
      </c>
      <c r="G253" s="9">
        <v>0.0</v>
      </c>
      <c r="H253" s="9">
        <v>1.0</v>
      </c>
      <c r="I253" s="9">
        <v>0.0</v>
      </c>
      <c r="J253" s="17">
        <v>39849.0</v>
      </c>
      <c r="K253" s="18">
        <v>8572.53</v>
      </c>
      <c r="L253" s="17">
        <v>35954.0</v>
      </c>
      <c r="M253" s="18">
        <v>22520.1</v>
      </c>
      <c r="N253" s="18">
        <v>37.3642</v>
      </c>
      <c r="O253" s="18">
        <v>3600.0</v>
      </c>
    </row>
    <row r="254">
      <c r="A254" s="8" t="s">
        <v>350</v>
      </c>
      <c r="B254" s="9">
        <v>35.0</v>
      </c>
      <c r="C254" s="14" t="s">
        <v>234</v>
      </c>
      <c r="D254" s="9">
        <v>50.0</v>
      </c>
      <c r="E254" s="10">
        <v>2.0</v>
      </c>
      <c r="F254" s="9">
        <v>2.0</v>
      </c>
      <c r="G254" s="9">
        <v>0.0</v>
      </c>
      <c r="H254" s="9">
        <v>1.0</v>
      </c>
      <c r="I254" s="9">
        <v>0.0</v>
      </c>
      <c r="J254" s="17">
        <v>39983.0</v>
      </c>
      <c r="K254" s="18">
        <v>10654.1</v>
      </c>
      <c r="L254" s="17">
        <v>36197.0</v>
      </c>
      <c r="M254" s="18">
        <v>23283.0</v>
      </c>
      <c r="N254" s="18">
        <v>35.6771</v>
      </c>
      <c r="O254" s="18">
        <v>3600.0</v>
      </c>
    </row>
    <row r="255">
      <c r="A255" s="8" t="s">
        <v>351</v>
      </c>
      <c r="B255" s="9">
        <v>35.0</v>
      </c>
      <c r="C255" s="14" t="s">
        <v>234</v>
      </c>
      <c r="D255" s="9">
        <v>50.0</v>
      </c>
      <c r="E255" s="10">
        <v>2.0</v>
      </c>
      <c r="F255" s="9">
        <v>3.0</v>
      </c>
      <c r="G255" s="9">
        <v>0.0</v>
      </c>
      <c r="H255" s="9">
        <v>1.0</v>
      </c>
      <c r="I255" s="9">
        <v>0.0</v>
      </c>
      <c r="J255" s="17">
        <v>42084.0</v>
      </c>
      <c r="K255" s="18">
        <v>12823.8</v>
      </c>
      <c r="L255" s="17">
        <v>37669.0</v>
      </c>
      <c r="M255" s="18">
        <v>25356.7</v>
      </c>
      <c r="N255" s="18">
        <v>32.6854</v>
      </c>
      <c r="O255" s="18">
        <v>3600.0</v>
      </c>
    </row>
    <row r="256">
      <c r="A256" s="8" t="s">
        <v>352</v>
      </c>
      <c r="B256" s="9">
        <v>35.0</v>
      </c>
      <c r="C256" s="14" t="s">
        <v>234</v>
      </c>
      <c r="D256" s="9">
        <v>50.0</v>
      </c>
      <c r="E256" s="10">
        <v>2.0</v>
      </c>
      <c r="F256" s="9">
        <v>4.0</v>
      </c>
      <c r="G256" s="9">
        <v>0.0</v>
      </c>
      <c r="H256" s="9">
        <v>1.0</v>
      </c>
      <c r="I256" s="9">
        <v>0.0</v>
      </c>
      <c r="J256" s="17">
        <v>45031.0</v>
      </c>
      <c r="K256" s="18">
        <v>11689.9</v>
      </c>
      <c r="L256" s="17">
        <v>40463.0</v>
      </c>
      <c r="M256" s="18">
        <v>24761.5</v>
      </c>
      <c r="N256" s="18">
        <v>38.8045</v>
      </c>
      <c r="O256" s="18">
        <v>3600.0</v>
      </c>
    </row>
    <row r="257">
      <c r="A257" s="8" t="s">
        <v>353</v>
      </c>
      <c r="B257" s="9">
        <v>35.0</v>
      </c>
      <c r="C257" s="14" t="s">
        <v>234</v>
      </c>
      <c r="D257" s="9">
        <v>50.0</v>
      </c>
      <c r="E257" s="10">
        <v>2.0</v>
      </c>
      <c r="F257" s="9">
        <v>5.0</v>
      </c>
      <c r="G257" s="9">
        <v>0.0</v>
      </c>
      <c r="H257" s="9">
        <v>1.0</v>
      </c>
      <c r="I257" s="9">
        <v>0.0</v>
      </c>
      <c r="J257" s="17">
        <v>47176.0</v>
      </c>
      <c r="K257" s="18">
        <v>9790.23</v>
      </c>
      <c r="L257" s="17">
        <v>38914.0</v>
      </c>
      <c r="M257" s="18">
        <v>23853.0</v>
      </c>
      <c r="N257" s="18">
        <v>38.7032</v>
      </c>
      <c r="O257" s="18">
        <v>3600.0</v>
      </c>
    </row>
    <row r="258">
      <c r="A258" s="8" t="s">
        <v>354</v>
      </c>
      <c r="B258" s="9">
        <v>35.0</v>
      </c>
      <c r="C258" s="14" t="s">
        <v>234</v>
      </c>
      <c r="D258" s="9">
        <v>75.0</v>
      </c>
      <c r="E258" s="10">
        <v>0.6</v>
      </c>
      <c r="F258" s="9">
        <v>1.0</v>
      </c>
      <c r="G258" s="9">
        <v>0.0</v>
      </c>
      <c r="H258" s="9">
        <v>1.0</v>
      </c>
      <c r="I258" s="9">
        <v>0.0</v>
      </c>
      <c r="J258" s="17">
        <v>2248.0</v>
      </c>
      <c r="K258" s="18">
        <v>810.2</v>
      </c>
      <c r="L258" s="17">
        <v>1714.0</v>
      </c>
      <c r="M258" s="18">
        <v>1365.75</v>
      </c>
      <c r="N258" s="18">
        <v>20.318</v>
      </c>
      <c r="O258" s="18">
        <v>3600.0</v>
      </c>
    </row>
    <row r="259">
      <c r="A259" s="8" t="s">
        <v>355</v>
      </c>
      <c r="B259" s="9">
        <v>35.0</v>
      </c>
      <c r="C259" s="14" t="s">
        <v>234</v>
      </c>
      <c r="D259" s="9">
        <v>75.0</v>
      </c>
      <c r="E259" s="10">
        <v>0.6</v>
      </c>
      <c r="F259" s="9">
        <v>2.0</v>
      </c>
      <c r="G259" s="9">
        <v>0.0</v>
      </c>
      <c r="H259" s="9">
        <v>1.0</v>
      </c>
      <c r="I259" s="9">
        <v>0.0</v>
      </c>
      <c r="J259" s="17">
        <v>2434.0</v>
      </c>
      <c r="K259" s="18">
        <v>657.875</v>
      </c>
      <c r="L259" s="17">
        <v>1591.0</v>
      </c>
      <c r="M259" s="18">
        <v>1273.13</v>
      </c>
      <c r="N259" s="18">
        <v>19.9796</v>
      </c>
      <c r="O259" s="18">
        <v>3600.0</v>
      </c>
    </row>
    <row r="260">
      <c r="A260" s="8" t="s">
        <v>356</v>
      </c>
      <c r="B260" s="9">
        <v>35.0</v>
      </c>
      <c r="C260" s="14" t="s">
        <v>234</v>
      </c>
      <c r="D260" s="9">
        <v>75.0</v>
      </c>
      <c r="E260" s="10">
        <v>0.6</v>
      </c>
      <c r="F260" s="9">
        <v>3.0</v>
      </c>
      <c r="G260" s="9">
        <v>0.0</v>
      </c>
      <c r="H260" s="9">
        <v>1.0</v>
      </c>
      <c r="I260" s="9">
        <v>0.0</v>
      </c>
      <c r="J260" s="17">
        <v>2319.0</v>
      </c>
      <c r="K260" s="18">
        <v>818.625</v>
      </c>
      <c r="L260" s="17">
        <v>1758.0</v>
      </c>
      <c r="M260" s="18">
        <v>1382.5</v>
      </c>
      <c r="N260" s="18">
        <v>21.3595</v>
      </c>
      <c r="O260" s="18">
        <v>3600.0</v>
      </c>
    </row>
    <row r="261">
      <c r="A261" s="8" t="s">
        <v>357</v>
      </c>
      <c r="B261" s="9">
        <v>35.0</v>
      </c>
      <c r="C261" s="14" t="s">
        <v>234</v>
      </c>
      <c r="D261" s="9">
        <v>75.0</v>
      </c>
      <c r="E261" s="10">
        <v>0.6</v>
      </c>
      <c r="F261" s="9">
        <v>4.0</v>
      </c>
      <c r="G261" s="9">
        <v>0.0</v>
      </c>
      <c r="H261" s="9">
        <v>1.0</v>
      </c>
      <c r="I261" s="9">
        <v>0.0</v>
      </c>
      <c r="J261" s="17">
        <v>2611.0</v>
      </c>
      <c r="K261" s="18">
        <v>881.0</v>
      </c>
      <c r="L261" s="17">
        <v>1951.0</v>
      </c>
      <c r="M261" s="18">
        <v>1519.0</v>
      </c>
      <c r="N261" s="18">
        <v>22.1425</v>
      </c>
      <c r="O261" s="18">
        <v>3600.0</v>
      </c>
    </row>
    <row r="262">
      <c r="A262" s="8" t="s">
        <v>358</v>
      </c>
      <c r="B262" s="9">
        <v>35.0</v>
      </c>
      <c r="C262" s="14" t="s">
        <v>234</v>
      </c>
      <c r="D262" s="9">
        <v>75.0</v>
      </c>
      <c r="E262" s="10">
        <v>0.6</v>
      </c>
      <c r="F262" s="9">
        <v>5.0</v>
      </c>
      <c r="G262" s="9">
        <v>0.0</v>
      </c>
      <c r="H262" s="9">
        <v>1.0</v>
      </c>
      <c r="I262" s="9">
        <v>0.0</v>
      </c>
      <c r="J262" s="17">
        <v>2293.0</v>
      </c>
      <c r="K262" s="18">
        <v>711.25</v>
      </c>
      <c r="L262" s="17">
        <v>1721.0</v>
      </c>
      <c r="M262" s="18">
        <v>1272.0</v>
      </c>
      <c r="N262" s="18">
        <v>26.0895</v>
      </c>
      <c r="O262" s="18">
        <v>3600.0</v>
      </c>
    </row>
    <row r="263">
      <c r="A263" s="8" t="s">
        <v>359</v>
      </c>
      <c r="B263" s="9">
        <v>35.0</v>
      </c>
      <c r="C263" s="14" t="s">
        <v>234</v>
      </c>
      <c r="D263" s="9">
        <v>75.0</v>
      </c>
      <c r="E263" s="10">
        <v>1.0</v>
      </c>
      <c r="F263" s="9">
        <v>1.0</v>
      </c>
      <c r="G263" s="9">
        <v>0.0</v>
      </c>
      <c r="H263" s="9">
        <v>1.0</v>
      </c>
      <c r="I263" s="9">
        <v>0.0</v>
      </c>
      <c r="J263" s="17">
        <v>8191.0</v>
      </c>
      <c r="K263" s="18">
        <v>2403.17</v>
      </c>
      <c r="L263" s="17">
        <v>5914.0</v>
      </c>
      <c r="M263" s="18">
        <v>4266.87</v>
      </c>
      <c r="N263" s="18">
        <v>27.8514</v>
      </c>
      <c r="O263" s="18">
        <v>3600.0</v>
      </c>
    </row>
    <row r="264">
      <c r="A264" s="8" t="s">
        <v>360</v>
      </c>
      <c r="B264" s="9">
        <v>35.0</v>
      </c>
      <c r="C264" s="14" t="s">
        <v>234</v>
      </c>
      <c r="D264" s="9">
        <v>75.0</v>
      </c>
      <c r="E264" s="10">
        <v>1.0</v>
      </c>
      <c r="F264" s="9">
        <v>2.0</v>
      </c>
      <c r="G264" s="9">
        <v>0.0</v>
      </c>
      <c r="H264" s="9">
        <v>1.0</v>
      </c>
      <c r="I264" s="9">
        <v>0.0</v>
      </c>
      <c r="J264" s="17">
        <v>7432.0</v>
      </c>
      <c r="K264" s="18">
        <v>2186.78</v>
      </c>
      <c r="L264" s="17">
        <v>5618.0</v>
      </c>
      <c r="M264" s="18">
        <v>4085.43</v>
      </c>
      <c r="N264" s="18">
        <v>27.2797</v>
      </c>
      <c r="O264" s="18">
        <v>3600.0</v>
      </c>
    </row>
    <row r="265">
      <c r="A265" s="8" t="s">
        <v>361</v>
      </c>
      <c r="B265" s="9">
        <v>35.0</v>
      </c>
      <c r="C265" s="14" t="s">
        <v>234</v>
      </c>
      <c r="D265" s="9">
        <v>75.0</v>
      </c>
      <c r="E265" s="10">
        <v>1.0</v>
      </c>
      <c r="F265" s="9">
        <v>3.0</v>
      </c>
      <c r="G265" s="9">
        <v>0.0</v>
      </c>
      <c r="H265" s="9">
        <v>1.0</v>
      </c>
      <c r="I265" s="9">
        <v>0.0</v>
      </c>
      <c r="J265" s="17">
        <v>6913.0</v>
      </c>
      <c r="K265" s="18">
        <v>2462.65</v>
      </c>
      <c r="L265" s="17">
        <v>5921.0</v>
      </c>
      <c r="M265" s="18">
        <v>4306.5</v>
      </c>
      <c r="N265" s="18">
        <v>27.2674</v>
      </c>
      <c r="O265" s="18">
        <v>3600.0</v>
      </c>
    </row>
    <row r="266">
      <c r="A266" s="8" t="s">
        <v>362</v>
      </c>
      <c r="B266" s="9">
        <v>35.0</v>
      </c>
      <c r="C266" s="14" t="s">
        <v>234</v>
      </c>
      <c r="D266" s="9">
        <v>75.0</v>
      </c>
      <c r="E266" s="10">
        <v>1.0</v>
      </c>
      <c r="F266" s="9">
        <v>4.0</v>
      </c>
      <c r="G266" s="9">
        <v>0.0</v>
      </c>
      <c r="H266" s="9">
        <v>1.0</v>
      </c>
      <c r="I266" s="9">
        <v>0.0</v>
      </c>
      <c r="J266" s="17">
        <v>8398.0</v>
      </c>
      <c r="K266" s="18">
        <v>2588.86</v>
      </c>
      <c r="L266" s="17">
        <v>6284.0</v>
      </c>
      <c r="M266" s="18">
        <v>4599.7</v>
      </c>
      <c r="N266" s="18">
        <v>26.8029</v>
      </c>
      <c r="O266" s="18">
        <v>3600.0</v>
      </c>
    </row>
    <row r="267">
      <c r="A267" s="8" t="s">
        <v>363</v>
      </c>
      <c r="B267" s="9">
        <v>35.0</v>
      </c>
      <c r="C267" s="14" t="s">
        <v>234</v>
      </c>
      <c r="D267" s="9">
        <v>75.0</v>
      </c>
      <c r="E267" s="10">
        <v>1.0</v>
      </c>
      <c r="F267" s="9">
        <v>5.0</v>
      </c>
      <c r="G267" s="9">
        <v>0.0</v>
      </c>
      <c r="H267" s="9">
        <v>1.0</v>
      </c>
      <c r="I267" s="9">
        <v>0.0</v>
      </c>
      <c r="J267" s="17">
        <v>8364.0</v>
      </c>
      <c r="K267" s="18">
        <v>2246.95</v>
      </c>
      <c r="L267" s="17">
        <v>5735.0</v>
      </c>
      <c r="M267" s="18">
        <v>4105.4</v>
      </c>
      <c r="N267" s="18">
        <v>28.415</v>
      </c>
      <c r="O267" s="18">
        <v>3600.0</v>
      </c>
    </row>
    <row r="268">
      <c r="A268" s="8" t="s">
        <v>364</v>
      </c>
      <c r="B268" s="9">
        <v>35.0</v>
      </c>
      <c r="C268" s="14" t="s">
        <v>234</v>
      </c>
      <c r="D268" s="9">
        <v>75.0</v>
      </c>
      <c r="E268" s="10">
        <v>2.0</v>
      </c>
      <c r="F268" s="9">
        <v>1.0</v>
      </c>
      <c r="G268" s="9">
        <v>0.0</v>
      </c>
      <c r="H268" s="9">
        <v>1.0</v>
      </c>
      <c r="I268" s="9">
        <v>0.0</v>
      </c>
      <c r="J268" s="17">
        <v>64200.0</v>
      </c>
      <c r="K268" s="18">
        <v>22795.9</v>
      </c>
      <c r="L268" s="17">
        <v>57760.0</v>
      </c>
      <c r="M268" s="18">
        <v>41168.6</v>
      </c>
      <c r="N268" s="18">
        <v>28.7248</v>
      </c>
      <c r="O268" s="18">
        <v>3600.0</v>
      </c>
    </row>
    <row r="269">
      <c r="A269" s="8" t="s">
        <v>365</v>
      </c>
      <c r="B269" s="9">
        <v>35.0</v>
      </c>
      <c r="C269" s="14" t="s">
        <v>234</v>
      </c>
      <c r="D269" s="9">
        <v>75.0</v>
      </c>
      <c r="E269" s="10">
        <v>2.0</v>
      </c>
      <c r="F269" s="9">
        <v>2.0</v>
      </c>
      <c r="G269" s="9">
        <v>0.0</v>
      </c>
      <c r="H269" s="9">
        <v>1.0</v>
      </c>
      <c r="I269" s="9">
        <v>0.0</v>
      </c>
      <c r="J269" s="17">
        <v>61577.0</v>
      </c>
      <c r="K269" s="18">
        <v>14397.9</v>
      </c>
      <c r="L269" s="17">
        <v>55612.0</v>
      </c>
      <c r="M269" s="18">
        <v>34529.1</v>
      </c>
      <c r="N269" s="18">
        <v>37.9107</v>
      </c>
      <c r="O269" s="18">
        <v>3600.0</v>
      </c>
    </row>
    <row r="270">
      <c r="A270" s="8" t="s">
        <v>366</v>
      </c>
      <c r="B270" s="9">
        <v>35.0</v>
      </c>
      <c r="C270" s="14" t="s">
        <v>234</v>
      </c>
      <c r="D270" s="9">
        <v>75.0</v>
      </c>
      <c r="E270" s="10">
        <v>2.0</v>
      </c>
      <c r="F270" s="9">
        <v>3.0</v>
      </c>
      <c r="G270" s="9">
        <v>0.0</v>
      </c>
      <c r="H270" s="9">
        <v>1.0</v>
      </c>
      <c r="I270" s="9">
        <v>0.0</v>
      </c>
      <c r="J270" s="17">
        <v>63894.0</v>
      </c>
      <c r="K270" s="18">
        <v>17613.4</v>
      </c>
      <c r="L270" s="17">
        <v>57683.0</v>
      </c>
      <c r="M270" s="18">
        <v>37385.2</v>
      </c>
      <c r="N270" s="18">
        <v>35.1885</v>
      </c>
      <c r="O270" s="18">
        <v>3600.0</v>
      </c>
    </row>
    <row r="271">
      <c r="A271" s="8" t="s">
        <v>367</v>
      </c>
      <c r="B271" s="9">
        <v>35.0</v>
      </c>
      <c r="C271" s="14" t="s">
        <v>234</v>
      </c>
      <c r="D271" s="9">
        <v>75.0</v>
      </c>
      <c r="E271" s="10">
        <v>2.0</v>
      </c>
      <c r="F271" s="9">
        <v>4.0</v>
      </c>
      <c r="G271" s="9">
        <v>0.0</v>
      </c>
      <c r="H271" s="9">
        <v>1.0</v>
      </c>
      <c r="I271" s="9">
        <v>0.0</v>
      </c>
      <c r="J271" s="17">
        <v>67187.0</v>
      </c>
      <c r="K271" s="18">
        <v>14911.4</v>
      </c>
      <c r="L271" s="17">
        <v>61405.0</v>
      </c>
      <c r="M271" s="18">
        <v>39223.9</v>
      </c>
      <c r="N271" s="18">
        <v>36.1226</v>
      </c>
      <c r="O271" s="18">
        <v>3600.0</v>
      </c>
    </row>
    <row r="272">
      <c r="A272" s="8" t="s">
        <v>368</v>
      </c>
      <c r="B272" s="9">
        <v>35.0</v>
      </c>
      <c r="C272" s="14" t="s">
        <v>234</v>
      </c>
      <c r="D272" s="9">
        <v>75.0</v>
      </c>
      <c r="E272" s="10">
        <v>2.0</v>
      </c>
      <c r="F272" s="9">
        <v>5.0</v>
      </c>
      <c r="G272" s="9">
        <v>0.0</v>
      </c>
      <c r="H272" s="9">
        <v>1.0</v>
      </c>
      <c r="I272" s="9">
        <v>0.0</v>
      </c>
      <c r="J272" s="17">
        <v>62212.0</v>
      </c>
      <c r="K272" s="18">
        <v>19011.3</v>
      </c>
      <c r="L272" s="17">
        <v>56417.0</v>
      </c>
      <c r="M272" s="18">
        <v>36884.2</v>
      </c>
      <c r="N272" s="18">
        <v>34.6223</v>
      </c>
      <c r="O272" s="18">
        <v>3600.0</v>
      </c>
    </row>
    <row r="273">
      <c r="A273" s="8" t="s">
        <v>459</v>
      </c>
      <c r="B273" s="9">
        <v>25.0</v>
      </c>
      <c r="C273" s="9" t="s">
        <v>460</v>
      </c>
      <c r="D273" s="9">
        <v>25.0</v>
      </c>
      <c r="E273" s="10">
        <v>0.6</v>
      </c>
      <c r="F273" s="9">
        <v>1.0</v>
      </c>
      <c r="G273" s="9">
        <v>1.0</v>
      </c>
      <c r="H273" s="9">
        <v>0.0</v>
      </c>
      <c r="I273" s="9">
        <v>0.0</v>
      </c>
      <c r="J273" s="17">
        <v>-1826.0</v>
      </c>
      <c r="K273" s="18">
        <v>-2690.58</v>
      </c>
      <c r="L273" s="17">
        <v>-2193.0</v>
      </c>
      <c r="M273" s="18">
        <v>-2193.0</v>
      </c>
      <c r="N273" s="18">
        <v>0.0</v>
      </c>
      <c r="O273" s="18">
        <v>89.638</v>
      </c>
    </row>
    <row r="274">
      <c r="A274" s="8" t="s">
        <v>461</v>
      </c>
      <c r="B274" s="9">
        <v>25.0</v>
      </c>
      <c r="C274" s="9" t="s">
        <v>460</v>
      </c>
      <c r="D274" s="9">
        <v>25.0</v>
      </c>
      <c r="E274" s="10">
        <v>0.6</v>
      </c>
      <c r="F274" s="9">
        <v>2.0</v>
      </c>
      <c r="G274" s="9">
        <v>1.0</v>
      </c>
      <c r="H274" s="9">
        <v>0.0</v>
      </c>
      <c r="I274" s="9">
        <v>0.0</v>
      </c>
      <c r="J274" s="17">
        <v>-2082.0</v>
      </c>
      <c r="K274" s="18">
        <v>-2380.57</v>
      </c>
      <c r="L274" s="17">
        <v>-2087.0</v>
      </c>
      <c r="M274" s="18">
        <v>-2087.0</v>
      </c>
      <c r="N274" s="18">
        <v>0.0</v>
      </c>
      <c r="O274" s="18">
        <v>50.738</v>
      </c>
    </row>
    <row r="275">
      <c r="A275" s="8" t="s">
        <v>462</v>
      </c>
      <c r="B275" s="9">
        <v>25.0</v>
      </c>
      <c r="C275" s="9" t="s">
        <v>460</v>
      </c>
      <c r="D275" s="9">
        <v>25.0</v>
      </c>
      <c r="E275" s="10">
        <v>0.6</v>
      </c>
      <c r="F275" s="9">
        <v>3.0</v>
      </c>
      <c r="G275" s="9">
        <v>1.0</v>
      </c>
      <c r="H275" s="9">
        <v>0.0</v>
      </c>
      <c r="I275" s="9">
        <v>0.0</v>
      </c>
      <c r="J275" s="17">
        <v>-1775.0</v>
      </c>
      <c r="K275" s="18">
        <v>-2355.66</v>
      </c>
      <c r="L275" s="17">
        <v>-2022.0</v>
      </c>
      <c r="M275" s="18">
        <v>-2022.0</v>
      </c>
      <c r="N275" s="18">
        <v>0.0</v>
      </c>
      <c r="O275" s="18">
        <v>126.746</v>
      </c>
    </row>
    <row r="276">
      <c r="A276" s="8" t="s">
        <v>463</v>
      </c>
      <c r="B276" s="9">
        <v>25.0</v>
      </c>
      <c r="C276" s="9" t="s">
        <v>460</v>
      </c>
      <c r="D276" s="9">
        <v>25.0</v>
      </c>
      <c r="E276" s="10">
        <v>0.6</v>
      </c>
      <c r="F276" s="9">
        <v>4.0</v>
      </c>
      <c r="G276" s="9">
        <v>1.0</v>
      </c>
      <c r="H276" s="9">
        <v>0.0</v>
      </c>
      <c r="I276" s="9">
        <v>0.0</v>
      </c>
      <c r="J276" s="17">
        <v>-1491.0</v>
      </c>
      <c r="K276" s="18">
        <v>-2540.78</v>
      </c>
      <c r="L276" s="17">
        <v>-2079.0</v>
      </c>
      <c r="M276" s="18">
        <v>-2079.0</v>
      </c>
      <c r="N276" s="18">
        <v>0.0</v>
      </c>
      <c r="O276" s="18">
        <v>265.704</v>
      </c>
    </row>
    <row r="277">
      <c r="A277" s="8" t="s">
        <v>464</v>
      </c>
      <c r="B277" s="9">
        <v>25.0</v>
      </c>
      <c r="C277" s="9" t="s">
        <v>460</v>
      </c>
      <c r="D277" s="9">
        <v>25.0</v>
      </c>
      <c r="E277" s="10">
        <v>0.6</v>
      </c>
      <c r="F277" s="9">
        <v>5.0</v>
      </c>
      <c r="G277" s="9">
        <v>1.0</v>
      </c>
      <c r="H277" s="9">
        <v>0.0</v>
      </c>
      <c r="I277" s="9">
        <v>0.0</v>
      </c>
      <c r="J277" s="17">
        <v>-1978.0</v>
      </c>
      <c r="K277" s="18">
        <v>-2894.21</v>
      </c>
      <c r="L277" s="17">
        <v>-2427.0</v>
      </c>
      <c r="M277" s="18">
        <v>-2427.0</v>
      </c>
      <c r="N277" s="18">
        <v>0.0</v>
      </c>
      <c r="O277" s="18">
        <v>112.739</v>
      </c>
    </row>
    <row r="278">
      <c r="A278" s="8" t="s">
        <v>465</v>
      </c>
      <c r="B278" s="9">
        <v>25.0</v>
      </c>
      <c r="C278" s="9" t="s">
        <v>460</v>
      </c>
      <c r="D278" s="9">
        <v>25.0</v>
      </c>
      <c r="E278" s="10">
        <v>1.0</v>
      </c>
      <c r="F278" s="9">
        <v>1.0</v>
      </c>
      <c r="G278" s="9">
        <v>0.0</v>
      </c>
      <c r="H278" s="9">
        <v>1.0</v>
      </c>
      <c r="I278" s="9">
        <v>0.0</v>
      </c>
      <c r="J278" s="17">
        <v>3202.0</v>
      </c>
      <c r="K278" s="18">
        <v>-1717.28</v>
      </c>
      <c r="L278" s="17">
        <v>-237.0</v>
      </c>
      <c r="M278" s="18">
        <v>-826.094</v>
      </c>
      <c r="N278" s="18">
        <v>248.563</v>
      </c>
      <c r="O278" s="18">
        <v>3600.0</v>
      </c>
    </row>
    <row r="279">
      <c r="A279" s="8" t="s">
        <v>466</v>
      </c>
      <c r="B279" s="9">
        <v>25.0</v>
      </c>
      <c r="C279" s="9" t="s">
        <v>460</v>
      </c>
      <c r="D279" s="9">
        <v>25.0</v>
      </c>
      <c r="E279" s="10">
        <v>1.0</v>
      </c>
      <c r="F279" s="9">
        <v>2.0</v>
      </c>
      <c r="G279" s="9">
        <v>1.0</v>
      </c>
      <c r="H279" s="9">
        <v>0.0</v>
      </c>
      <c r="I279" s="9">
        <v>0.0</v>
      </c>
      <c r="J279" s="17">
        <v>-27.0</v>
      </c>
      <c r="K279" s="18">
        <v>-1490.99</v>
      </c>
      <c r="L279" s="17">
        <v>-532.0</v>
      </c>
      <c r="M279" s="18">
        <v>-532.0</v>
      </c>
      <c r="N279" s="18">
        <v>0.0</v>
      </c>
      <c r="O279" s="18">
        <v>3040.08</v>
      </c>
    </row>
    <row r="280">
      <c r="A280" s="8" t="s">
        <v>467</v>
      </c>
      <c r="B280" s="9">
        <v>25.0</v>
      </c>
      <c r="C280" s="9" t="s">
        <v>460</v>
      </c>
      <c r="D280" s="9">
        <v>25.0</v>
      </c>
      <c r="E280" s="10">
        <v>1.0</v>
      </c>
      <c r="F280" s="9">
        <v>3.0</v>
      </c>
      <c r="G280" s="9">
        <v>1.0</v>
      </c>
      <c r="H280" s="9">
        <v>0.0</v>
      </c>
      <c r="I280" s="9">
        <v>0.0</v>
      </c>
      <c r="J280" s="17">
        <v>-201.0</v>
      </c>
      <c r="K280" s="18">
        <v>-1466.36</v>
      </c>
      <c r="L280" s="17">
        <v>-516.0</v>
      </c>
      <c r="M280" s="18">
        <v>-516.0</v>
      </c>
      <c r="N280" s="18">
        <v>0.0</v>
      </c>
      <c r="O280" s="18">
        <v>2792.04</v>
      </c>
    </row>
    <row r="281">
      <c r="A281" s="8" t="s">
        <v>468</v>
      </c>
      <c r="B281" s="9">
        <v>25.0</v>
      </c>
      <c r="C281" s="9" t="s">
        <v>460</v>
      </c>
      <c r="D281" s="9">
        <v>25.0</v>
      </c>
      <c r="E281" s="10">
        <v>1.0</v>
      </c>
      <c r="F281" s="9">
        <v>4.0</v>
      </c>
      <c r="G281" s="9">
        <v>0.0</v>
      </c>
      <c r="H281" s="9">
        <v>1.0</v>
      </c>
      <c r="I281" s="9">
        <v>0.0</v>
      </c>
      <c r="J281" s="17">
        <v>68.0</v>
      </c>
      <c r="K281" s="18">
        <v>-1570.41</v>
      </c>
      <c r="L281" s="17">
        <v>-375.0</v>
      </c>
      <c r="M281" s="18">
        <v>-666.784</v>
      </c>
      <c r="N281" s="18">
        <v>77.8091</v>
      </c>
      <c r="O281" s="18">
        <v>3600.0</v>
      </c>
    </row>
    <row r="282">
      <c r="A282" s="8" t="s">
        <v>469</v>
      </c>
      <c r="B282" s="9">
        <v>25.0</v>
      </c>
      <c r="C282" s="9" t="s">
        <v>460</v>
      </c>
      <c r="D282" s="9">
        <v>25.0</v>
      </c>
      <c r="E282" s="10">
        <v>1.0</v>
      </c>
      <c r="F282" s="9">
        <v>5.0</v>
      </c>
      <c r="G282" s="9">
        <v>0.0</v>
      </c>
      <c r="H282" s="9">
        <v>1.0</v>
      </c>
      <c r="I282" s="9">
        <v>0.0</v>
      </c>
      <c r="J282" s="17">
        <v>191.0</v>
      </c>
      <c r="K282" s="18">
        <v>-1744.33</v>
      </c>
      <c r="L282" s="17">
        <v>-312.0</v>
      </c>
      <c r="M282" s="18">
        <v>-676.664</v>
      </c>
      <c r="N282" s="18">
        <v>116.879</v>
      </c>
      <c r="O282" s="18">
        <v>3600.0</v>
      </c>
    </row>
    <row r="283">
      <c r="A283" s="8" t="s">
        <v>470</v>
      </c>
      <c r="B283" s="9">
        <v>25.0</v>
      </c>
      <c r="C283" s="9" t="s">
        <v>460</v>
      </c>
      <c r="D283" s="9">
        <v>25.0</v>
      </c>
      <c r="E283" s="10">
        <v>2.0</v>
      </c>
      <c r="F283" s="9">
        <v>1.0</v>
      </c>
      <c r="G283" s="9">
        <v>1.0</v>
      </c>
      <c r="H283" s="9">
        <v>0.0</v>
      </c>
      <c r="I283" s="9">
        <v>0.0</v>
      </c>
      <c r="J283" s="17">
        <v>19543.0</v>
      </c>
      <c r="K283" s="18">
        <v>8836.02</v>
      </c>
      <c r="L283" s="17">
        <v>18775.0</v>
      </c>
      <c r="M283" s="18">
        <v>18775.0</v>
      </c>
      <c r="N283" s="18">
        <v>0.0</v>
      </c>
      <c r="O283" s="18">
        <v>2182.23</v>
      </c>
    </row>
    <row r="284">
      <c r="A284" s="8" t="s">
        <v>471</v>
      </c>
      <c r="B284" s="9">
        <v>25.0</v>
      </c>
      <c r="C284" s="9" t="s">
        <v>460</v>
      </c>
      <c r="D284" s="9">
        <v>25.0</v>
      </c>
      <c r="E284" s="10">
        <v>2.0</v>
      </c>
      <c r="F284" s="9">
        <v>2.0</v>
      </c>
      <c r="G284" s="9">
        <v>1.0</v>
      </c>
      <c r="H284" s="9">
        <v>0.0</v>
      </c>
      <c r="I284" s="9">
        <v>0.0</v>
      </c>
      <c r="J284" s="17">
        <v>17219.0</v>
      </c>
      <c r="K284" s="18">
        <v>14402.9</v>
      </c>
      <c r="L284" s="17">
        <v>17134.0</v>
      </c>
      <c r="M284" s="18">
        <v>17134.0</v>
      </c>
      <c r="N284" s="18">
        <v>0.0</v>
      </c>
      <c r="O284" s="18">
        <v>2.408</v>
      </c>
    </row>
    <row r="285">
      <c r="A285" s="8" t="s">
        <v>472</v>
      </c>
      <c r="B285" s="9">
        <v>25.0</v>
      </c>
      <c r="C285" s="9" t="s">
        <v>460</v>
      </c>
      <c r="D285" s="9">
        <v>25.0</v>
      </c>
      <c r="E285" s="10">
        <v>2.0</v>
      </c>
      <c r="F285" s="9">
        <v>3.0</v>
      </c>
      <c r="G285" s="9">
        <v>1.0</v>
      </c>
      <c r="H285" s="9">
        <v>0.0</v>
      </c>
      <c r="I285" s="9">
        <v>0.0</v>
      </c>
      <c r="J285" s="17">
        <v>16193.0</v>
      </c>
      <c r="K285" s="18">
        <v>8896.75</v>
      </c>
      <c r="L285" s="17">
        <v>15104.0</v>
      </c>
      <c r="M285" s="18">
        <v>15104.0</v>
      </c>
      <c r="N285" s="18">
        <v>0.0</v>
      </c>
      <c r="O285" s="18">
        <v>105.481</v>
      </c>
    </row>
    <row r="286">
      <c r="A286" s="8" t="s">
        <v>473</v>
      </c>
      <c r="B286" s="9">
        <v>25.0</v>
      </c>
      <c r="C286" s="9" t="s">
        <v>460</v>
      </c>
      <c r="D286" s="9">
        <v>25.0</v>
      </c>
      <c r="E286" s="10">
        <v>2.0</v>
      </c>
      <c r="F286" s="9">
        <v>4.0</v>
      </c>
      <c r="G286" s="9">
        <v>1.0</v>
      </c>
      <c r="H286" s="9">
        <v>0.0</v>
      </c>
      <c r="I286" s="9">
        <v>0.0</v>
      </c>
      <c r="J286" s="17">
        <v>18339.0</v>
      </c>
      <c r="K286" s="18">
        <v>10929.1</v>
      </c>
      <c r="L286" s="17">
        <v>16247.0</v>
      </c>
      <c r="M286" s="18">
        <v>16247.0</v>
      </c>
      <c r="N286" s="18">
        <v>0.0</v>
      </c>
      <c r="O286" s="18">
        <v>137.49</v>
      </c>
    </row>
    <row r="287">
      <c r="A287" s="8" t="s">
        <v>474</v>
      </c>
      <c r="B287" s="9">
        <v>25.0</v>
      </c>
      <c r="C287" s="9" t="s">
        <v>460</v>
      </c>
      <c r="D287" s="9">
        <v>25.0</v>
      </c>
      <c r="E287" s="10">
        <v>2.0</v>
      </c>
      <c r="F287" s="9">
        <v>5.0</v>
      </c>
      <c r="G287" s="9">
        <v>1.0</v>
      </c>
      <c r="H287" s="9">
        <v>0.0</v>
      </c>
      <c r="I287" s="9">
        <v>0.0</v>
      </c>
      <c r="J287" s="17">
        <v>21125.0</v>
      </c>
      <c r="K287" s="18">
        <v>9672.25</v>
      </c>
      <c r="L287" s="17">
        <v>19127.0</v>
      </c>
      <c r="M287" s="18">
        <v>19127.0</v>
      </c>
      <c r="N287" s="18">
        <v>0.0</v>
      </c>
      <c r="O287" s="18">
        <v>749.541</v>
      </c>
    </row>
    <row r="288">
      <c r="A288" s="8" t="s">
        <v>475</v>
      </c>
      <c r="B288" s="9">
        <v>25.0</v>
      </c>
      <c r="C288" s="9" t="s">
        <v>460</v>
      </c>
      <c r="D288" s="9">
        <v>50.0</v>
      </c>
      <c r="E288" s="10">
        <v>0.6</v>
      </c>
      <c r="F288" s="9">
        <v>1.0</v>
      </c>
      <c r="G288" s="9">
        <v>1.0</v>
      </c>
      <c r="H288" s="9">
        <v>0.0</v>
      </c>
      <c r="I288" s="9">
        <v>0.0</v>
      </c>
      <c r="J288" s="17">
        <v>-2860.0</v>
      </c>
      <c r="K288" s="18">
        <v>-4880.45</v>
      </c>
      <c r="L288" s="17">
        <v>-3641.0</v>
      </c>
      <c r="M288" s="18">
        <v>-3641.0</v>
      </c>
      <c r="N288" s="18">
        <v>0.0</v>
      </c>
      <c r="O288" s="18">
        <v>1739.62</v>
      </c>
    </row>
    <row r="289">
      <c r="A289" s="8" t="s">
        <v>476</v>
      </c>
      <c r="B289" s="9">
        <v>25.0</v>
      </c>
      <c r="C289" s="9" t="s">
        <v>460</v>
      </c>
      <c r="D289" s="9">
        <v>50.0</v>
      </c>
      <c r="E289" s="10">
        <v>0.6</v>
      </c>
      <c r="F289" s="9">
        <v>2.0</v>
      </c>
      <c r="G289" s="9">
        <v>1.0</v>
      </c>
      <c r="H289" s="9">
        <v>0.0</v>
      </c>
      <c r="I289" s="9">
        <v>0.0</v>
      </c>
      <c r="J289" s="17">
        <v>-2529.0</v>
      </c>
      <c r="K289" s="18">
        <v>-4609.39</v>
      </c>
      <c r="L289" s="17">
        <v>-3462.0</v>
      </c>
      <c r="M289" s="18">
        <v>-3462.0</v>
      </c>
      <c r="N289" s="18">
        <v>0.0</v>
      </c>
      <c r="O289" s="18">
        <v>904.359</v>
      </c>
    </row>
    <row r="290">
      <c r="A290" s="8" t="s">
        <v>477</v>
      </c>
      <c r="B290" s="9">
        <v>25.0</v>
      </c>
      <c r="C290" s="9" t="s">
        <v>460</v>
      </c>
      <c r="D290" s="9">
        <v>50.0</v>
      </c>
      <c r="E290" s="10">
        <v>0.6</v>
      </c>
      <c r="F290" s="9">
        <v>3.0</v>
      </c>
      <c r="G290" s="9">
        <v>1.0</v>
      </c>
      <c r="H290" s="9">
        <v>0.0</v>
      </c>
      <c r="I290" s="9">
        <v>0.0</v>
      </c>
      <c r="J290" s="17">
        <v>-2344.0</v>
      </c>
      <c r="K290" s="18">
        <v>-4229.36</v>
      </c>
      <c r="L290" s="17">
        <v>-3379.0</v>
      </c>
      <c r="M290" s="18">
        <v>-3379.0</v>
      </c>
      <c r="N290" s="18">
        <v>0.0</v>
      </c>
      <c r="O290" s="18">
        <v>719.367</v>
      </c>
    </row>
    <row r="291">
      <c r="A291" s="8" t="s">
        <v>478</v>
      </c>
      <c r="B291" s="9">
        <v>25.0</v>
      </c>
      <c r="C291" s="9" t="s">
        <v>460</v>
      </c>
      <c r="D291" s="9">
        <v>50.0</v>
      </c>
      <c r="E291" s="10">
        <v>0.6</v>
      </c>
      <c r="F291" s="9">
        <v>4.0</v>
      </c>
      <c r="G291" s="9">
        <v>1.0</v>
      </c>
      <c r="H291" s="9">
        <v>0.0</v>
      </c>
      <c r="I291" s="9">
        <v>0.0</v>
      </c>
      <c r="J291" s="17">
        <v>-2455.0</v>
      </c>
      <c r="K291" s="18">
        <v>-4719.46</v>
      </c>
      <c r="L291" s="17">
        <v>-3528.0</v>
      </c>
      <c r="M291" s="18">
        <v>-3528.0</v>
      </c>
      <c r="N291" s="18">
        <v>0.0</v>
      </c>
      <c r="O291" s="18">
        <v>3347.41</v>
      </c>
    </row>
    <row r="292">
      <c r="A292" s="8" t="s">
        <v>479</v>
      </c>
      <c r="B292" s="9">
        <v>25.0</v>
      </c>
      <c r="C292" s="9" t="s">
        <v>460</v>
      </c>
      <c r="D292" s="9">
        <v>50.0</v>
      </c>
      <c r="E292" s="10">
        <v>0.6</v>
      </c>
      <c r="F292" s="9">
        <v>5.0</v>
      </c>
      <c r="G292" s="9">
        <v>0.0</v>
      </c>
      <c r="H292" s="9">
        <v>1.0</v>
      </c>
      <c r="I292" s="9">
        <v>0.0</v>
      </c>
      <c r="J292" s="17">
        <v>-3121.0</v>
      </c>
      <c r="K292" s="18">
        <v>-4940.88</v>
      </c>
      <c r="L292" s="17">
        <v>-3547.0</v>
      </c>
      <c r="M292" s="18">
        <v>-3690.61</v>
      </c>
      <c r="N292" s="18">
        <v>4.0488</v>
      </c>
      <c r="O292" s="18">
        <v>3600.0</v>
      </c>
    </row>
    <row r="293">
      <c r="A293" s="8" t="s">
        <v>480</v>
      </c>
      <c r="B293" s="9">
        <v>25.0</v>
      </c>
      <c r="C293" s="9" t="s">
        <v>460</v>
      </c>
      <c r="D293" s="9">
        <v>50.0</v>
      </c>
      <c r="E293" s="10">
        <v>1.0</v>
      </c>
      <c r="F293" s="9">
        <v>1.0</v>
      </c>
      <c r="G293" s="9">
        <v>0.0</v>
      </c>
      <c r="H293" s="9">
        <v>1.0</v>
      </c>
      <c r="I293" s="9">
        <v>0.0</v>
      </c>
      <c r="J293" s="17">
        <v>645.0</v>
      </c>
      <c r="K293" s="18">
        <v>-2594.34</v>
      </c>
      <c r="L293" s="17">
        <v>289.0</v>
      </c>
      <c r="M293" s="18">
        <v>-862.571</v>
      </c>
      <c r="N293" s="18">
        <v>398.468</v>
      </c>
      <c r="O293" s="18">
        <v>3600.0</v>
      </c>
    </row>
    <row r="294">
      <c r="A294" s="8" t="s">
        <v>481</v>
      </c>
      <c r="B294" s="9">
        <v>25.0</v>
      </c>
      <c r="C294" s="9" t="s">
        <v>460</v>
      </c>
      <c r="D294" s="9">
        <v>50.0</v>
      </c>
      <c r="E294" s="10">
        <v>1.0</v>
      </c>
      <c r="F294" s="9">
        <v>2.0</v>
      </c>
      <c r="G294" s="9">
        <v>0.0</v>
      </c>
      <c r="H294" s="9">
        <v>1.0</v>
      </c>
      <c r="I294" s="9">
        <v>0.0</v>
      </c>
      <c r="J294" s="17">
        <v>1388.0</v>
      </c>
      <c r="K294" s="18">
        <v>-2382.39</v>
      </c>
      <c r="L294" s="17">
        <v>357.0</v>
      </c>
      <c r="M294" s="18">
        <v>-739.357</v>
      </c>
      <c r="N294" s="18">
        <v>307.103</v>
      </c>
      <c r="O294" s="18">
        <v>3600.0</v>
      </c>
    </row>
    <row r="295">
      <c r="A295" s="8" t="s">
        <v>482</v>
      </c>
      <c r="B295" s="9">
        <v>25.0</v>
      </c>
      <c r="C295" s="9" t="s">
        <v>460</v>
      </c>
      <c r="D295" s="9">
        <v>50.0</v>
      </c>
      <c r="E295" s="10">
        <v>1.0</v>
      </c>
      <c r="F295" s="9">
        <v>3.0</v>
      </c>
      <c r="G295" s="9">
        <v>0.0</v>
      </c>
      <c r="H295" s="9">
        <v>1.0</v>
      </c>
      <c r="I295" s="9">
        <v>0.0</v>
      </c>
      <c r="J295" s="17">
        <v>1122.0</v>
      </c>
      <c r="K295" s="18">
        <v>-2349.29</v>
      </c>
      <c r="L295" s="17">
        <v>256.0</v>
      </c>
      <c r="M295" s="18">
        <v>-803.173</v>
      </c>
      <c r="N295" s="18">
        <v>413.739</v>
      </c>
      <c r="O295" s="18">
        <v>3600.0</v>
      </c>
    </row>
    <row r="296">
      <c r="A296" s="8" t="s">
        <v>483</v>
      </c>
      <c r="B296" s="9">
        <v>25.0</v>
      </c>
      <c r="C296" s="9" t="s">
        <v>460</v>
      </c>
      <c r="D296" s="9">
        <v>50.0</v>
      </c>
      <c r="E296" s="10">
        <v>1.0</v>
      </c>
      <c r="F296" s="9">
        <v>4.0</v>
      </c>
      <c r="G296" s="9">
        <v>0.0</v>
      </c>
      <c r="H296" s="9">
        <v>1.0</v>
      </c>
      <c r="I296" s="9">
        <v>0.0</v>
      </c>
      <c r="J296" s="17">
        <v>1273.0</v>
      </c>
      <c r="K296" s="18">
        <v>-2672.35</v>
      </c>
      <c r="L296" s="17">
        <v>262.0</v>
      </c>
      <c r="M296" s="18">
        <v>-1029.04</v>
      </c>
      <c r="N296" s="18">
        <v>492.763</v>
      </c>
      <c r="O296" s="18">
        <v>3600.0</v>
      </c>
    </row>
    <row r="297">
      <c r="A297" s="8" t="s">
        <v>484</v>
      </c>
      <c r="B297" s="9">
        <v>25.0</v>
      </c>
      <c r="C297" s="9" t="s">
        <v>460</v>
      </c>
      <c r="D297" s="9">
        <v>50.0</v>
      </c>
      <c r="E297" s="10">
        <v>1.0</v>
      </c>
      <c r="F297" s="9">
        <v>5.0</v>
      </c>
      <c r="G297" s="9">
        <v>0.0</v>
      </c>
      <c r="H297" s="9">
        <v>1.0</v>
      </c>
      <c r="I297" s="9">
        <v>0.0</v>
      </c>
      <c r="J297" s="17">
        <v>1650.0</v>
      </c>
      <c r="K297" s="18">
        <v>-2688.79</v>
      </c>
      <c r="L297" s="17">
        <v>106.0</v>
      </c>
      <c r="M297" s="18">
        <v>-1079.29</v>
      </c>
      <c r="N297" s="18">
        <v>1118.2</v>
      </c>
      <c r="O297" s="18">
        <v>3600.0</v>
      </c>
    </row>
    <row r="298">
      <c r="A298" s="8" t="s">
        <v>485</v>
      </c>
      <c r="B298" s="9">
        <v>25.0</v>
      </c>
      <c r="C298" s="9" t="s">
        <v>460</v>
      </c>
      <c r="D298" s="9">
        <v>50.0</v>
      </c>
      <c r="E298" s="10">
        <v>2.0</v>
      </c>
      <c r="F298" s="9">
        <v>1.0</v>
      </c>
      <c r="G298" s="9">
        <v>1.0</v>
      </c>
      <c r="H298" s="9">
        <v>0.0</v>
      </c>
      <c r="I298" s="9">
        <v>0.0</v>
      </c>
      <c r="J298" s="17">
        <v>40091.0</v>
      </c>
      <c r="K298" s="18">
        <v>17760.9</v>
      </c>
      <c r="L298" s="17">
        <v>36116.0</v>
      </c>
      <c r="M298" s="18">
        <v>36116.0</v>
      </c>
      <c r="N298" s="18">
        <v>0.0</v>
      </c>
      <c r="O298" s="18">
        <v>1474.26</v>
      </c>
    </row>
    <row r="299">
      <c r="A299" s="8" t="s">
        <v>486</v>
      </c>
      <c r="B299" s="9">
        <v>25.0</v>
      </c>
      <c r="C299" s="9" t="s">
        <v>460</v>
      </c>
      <c r="D299" s="9">
        <v>50.0</v>
      </c>
      <c r="E299" s="10">
        <v>2.0</v>
      </c>
      <c r="F299" s="9">
        <v>2.0</v>
      </c>
      <c r="G299" s="9">
        <v>1.0</v>
      </c>
      <c r="H299" s="9">
        <v>0.0</v>
      </c>
      <c r="I299" s="9">
        <v>0.0</v>
      </c>
      <c r="J299" s="17">
        <v>41812.0</v>
      </c>
      <c r="K299" s="18">
        <v>22543.5</v>
      </c>
      <c r="L299" s="17">
        <v>37996.0</v>
      </c>
      <c r="M299" s="18">
        <v>37996.0</v>
      </c>
      <c r="N299" s="18">
        <v>0.0</v>
      </c>
      <c r="O299" s="18">
        <v>474.018</v>
      </c>
    </row>
    <row r="300">
      <c r="A300" s="8" t="s">
        <v>487</v>
      </c>
      <c r="B300" s="9">
        <v>25.0</v>
      </c>
      <c r="C300" s="9" t="s">
        <v>460</v>
      </c>
      <c r="D300" s="9">
        <v>50.0</v>
      </c>
      <c r="E300" s="10">
        <v>2.0</v>
      </c>
      <c r="F300" s="9">
        <v>3.0</v>
      </c>
      <c r="G300" s="9">
        <v>0.0</v>
      </c>
      <c r="H300" s="9">
        <v>1.0</v>
      </c>
      <c r="I300" s="9">
        <v>0.0</v>
      </c>
      <c r="J300" s="17">
        <v>39260.0</v>
      </c>
      <c r="K300" s="18">
        <v>14794.5</v>
      </c>
      <c r="L300" s="17">
        <v>35467.0</v>
      </c>
      <c r="M300" s="18">
        <v>33499.3</v>
      </c>
      <c r="N300" s="18">
        <v>5.54802</v>
      </c>
      <c r="O300" s="18">
        <v>3600.0</v>
      </c>
    </row>
    <row r="301">
      <c r="A301" s="8" t="s">
        <v>488</v>
      </c>
      <c r="B301" s="9">
        <v>25.0</v>
      </c>
      <c r="C301" s="9" t="s">
        <v>460</v>
      </c>
      <c r="D301" s="9">
        <v>50.0</v>
      </c>
      <c r="E301" s="10">
        <v>2.0</v>
      </c>
      <c r="F301" s="9">
        <v>4.0</v>
      </c>
      <c r="G301" s="9">
        <v>1.0</v>
      </c>
      <c r="H301" s="9">
        <v>0.0</v>
      </c>
      <c r="I301" s="9">
        <v>0.0</v>
      </c>
      <c r="J301" s="17">
        <v>42720.0</v>
      </c>
      <c r="K301" s="18">
        <v>19990.8</v>
      </c>
      <c r="L301" s="17">
        <v>38535.0</v>
      </c>
      <c r="M301" s="18">
        <v>38535.0</v>
      </c>
      <c r="N301" s="18">
        <v>0.0</v>
      </c>
      <c r="O301" s="18">
        <v>3500.8</v>
      </c>
    </row>
    <row r="302">
      <c r="A302" s="8" t="s">
        <v>489</v>
      </c>
      <c r="B302" s="9">
        <v>25.0</v>
      </c>
      <c r="C302" s="9" t="s">
        <v>460</v>
      </c>
      <c r="D302" s="9">
        <v>50.0</v>
      </c>
      <c r="E302" s="10">
        <v>2.0</v>
      </c>
      <c r="F302" s="9">
        <v>5.0</v>
      </c>
      <c r="G302" s="9">
        <v>1.0</v>
      </c>
      <c r="H302" s="9">
        <v>0.0</v>
      </c>
      <c r="I302" s="9">
        <v>0.0</v>
      </c>
      <c r="J302" s="17">
        <v>39599.0</v>
      </c>
      <c r="K302" s="18">
        <v>20439.0</v>
      </c>
      <c r="L302" s="17">
        <v>35714.0</v>
      </c>
      <c r="M302" s="18">
        <v>35714.0</v>
      </c>
      <c r="N302" s="18">
        <v>0.0</v>
      </c>
      <c r="O302" s="18">
        <v>698.517</v>
      </c>
    </row>
    <row r="303">
      <c r="A303" s="8" t="s">
        <v>490</v>
      </c>
      <c r="B303" s="9">
        <v>25.0</v>
      </c>
      <c r="C303" s="9" t="s">
        <v>460</v>
      </c>
      <c r="D303" s="9">
        <v>75.0</v>
      </c>
      <c r="E303" s="10">
        <v>0.6</v>
      </c>
      <c r="F303" s="9">
        <v>1.0</v>
      </c>
      <c r="G303" s="9">
        <v>0.0</v>
      </c>
      <c r="H303" s="9">
        <v>1.0</v>
      </c>
      <c r="I303" s="9">
        <v>0.0</v>
      </c>
      <c r="J303" s="17">
        <v>-3186.0</v>
      </c>
      <c r="K303" s="18">
        <v>-6415.43</v>
      </c>
      <c r="L303" s="17">
        <v>-4069.0</v>
      </c>
      <c r="M303" s="18">
        <v>-5007.09</v>
      </c>
      <c r="N303" s="18">
        <v>23.0545</v>
      </c>
      <c r="O303" s="18">
        <v>3600.0</v>
      </c>
    </row>
    <row r="304">
      <c r="A304" s="8" t="s">
        <v>491</v>
      </c>
      <c r="B304" s="9">
        <v>25.0</v>
      </c>
      <c r="C304" s="9" t="s">
        <v>460</v>
      </c>
      <c r="D304" s="9">
        <v>75.0</v>
      </c>
      <c r="E304" s="10">
        <v>0.6</v>
      </c>
      <c r="F304" s="9">
        <v>2.0</v>
      </c>
      <c r="G304" s="9">
        <v>0.0</v>
      </c>
      <c r="H304" s="9">
        <v>1.0</v>
      </c>
      <c r="I304" s="9">
        <v>0.0</v>
      </c>
      <c r="J304" s="17">
        <v>-3540.0</v>
      </c>
      <c r="K304" s="18">
        <v>-6221.57</v>
      </c>
      <c r="L304" s="17">
        <v>-4492.0</v>
      </c>
      <c r="M304" s="18">
        <v>-4790.13</v>
      </c>
      <c r="N304" s="18">
        <v>6.63681</v>
      </c>
      <c r="O304" s="18">
        <v>3600.0</v>
      </c>
    </row>
    <row r="305">
      <c r="A305" s="8" t="s">
        <v>492</v>
      </c>
      <c r="B305" s="9">
        <v>25.0</v>
      </c>
      <c r="C305" s="9" t="s">
        <v>460</v>
      </c>
      <c r="D305" s="9">
        <v>75.0</v>
      </c>
      <c r="E305" s="10">
        <v>0.6</v>
      </c>
      <c r="F305" s="9">
        <v>3.0</v>
      </c>
      <c r="G305" s="9">
        <v>0.0</v>
      </c>
      <c r="H305" s="9">
        <v>1.0</v>
      </c>
      <c r="I305" s="9">
        <v>0.0</v>
      </c>
      <c r="J305" s="17">
        <v>-3226.0</v>
      </c>
      <c r="K305" s="18">
        <v>-6735.0</v>
      </c>
      <c r="L305" s="17">
        <v>-4101.0</v>
      </c>
      <c r="M305" s="18">
        <v>-5077.98</v>
      </c>
      <c r="N305" s="18">
        <v>23.823</v>
      </c>
      <c r="O305" s="18">
        <v>3600.0</v>
      </c>
    </row>
    <row r="306">
      <c r="A306" s="8" t="s">
        <v>493</v>
      </c>
      <c r="B306" s="9">
        <v>25.0</v>
      </c>
      <c r="C306" s="9" t="s">
        <v>460</v>
      </c>
      <c r="D306" s="9">
        <v>75.0</v>
      </c>
      <c r="E306" s="10">
        <v>0.6</v>
      </c>
      <c r="F306" s="9">
        <v>4.0</v>
      </c>
      <c r="G306" s="9">
        <v>0.0</v>
      </c>
      <c r="H306" s="9">
        <v>1.0</v>
      </c>
      <c r="I306" s="9">
        <v>0.0</v>
      </c>
      <c r="J306" s="17">
        <v>-3673.0</v>
      </c>
      <c r="K306" s="18">
        <v>-6876.24</v>
      </c>
      <c r="L306" s="17">
        <v>-4731.0</v>
      </c>
      <c r="M306" s="18">
        <v>-5395.78</v>
      </c>
      <c r="N306" s="18">
        <v>14.0515</v>
      </c>
      <c r="O306" s="18">
        <v>3600.0</v>
      </c>
    </row>
    <row r="307">
      <c r="A307" s="8" t="s">
        <v>494</v>
      </c>
      <c r="B307" s="9">
        <v>25.0</v>
      </c>
      <c r="C307" s="9" t="s">
        <v>460</v>
      </c>
      <c r="D307" s="9">
        <v>75.0</v>
      </c>
      <c r="E307" s="10">
        <v>0.6</v>
      </c>
      <c r="F307" s="9">
        <v>5.0</v>
      </c>
      <c r="G307" s="9">
        <v>0.0</v>
      </c>
      <c r="H307" s="9">
        <v>1.0</v>
      </c>
      <c r="I307" s="9">
        <v>0.0</v>
      </c>
      <c r="J307" s="17">
        <v>-3655.0</v>
      </c>
      <c r="K307" s="18">
        <v>-6224.57</v>
      </c>
      <c r="L307" s="17">
        <v>-4455.0</v>
      </c>
      <c r="M307" s="18">
        <v>-4916.16</v>
      </c>
      <c r="N307" s="18">
        <v>10.3514</v>
      </c>
      <c r="O307" s="18">
        <v>3600.0</v>
      </c>
    </row>
    <row r="308">
      <c r="A308" s="8" t="s">
        <v>495</v>
      </c>
      <c r="B308" s="9">
        <v>25.0</v>
      </c>
      <c r="C308" s="9" t="s">
        <v>460</v>
      </c>
      <c r="D308" s="9">
        <v>75.0</v>
      </c>
      <c r="E308" s="10">
        <v>1.0</v>
      </c>
      <c r="F308" s="9">
        <v>1.0</v>
      </c>
      <c r="G308" s="9">
        <v>0.0</v>
      </c>
      <c r="H308" s="9">
        <v>1.0</v>
      </c>
      <c r="I308" s="9">
        <v>0.0</v>
      </c>
      <c r="J308" s="17">
        <v>2026.0</v>
      </c>
      <c r="K308" s="18">
        <v>-3174.29</v>
      </c>
      <c r="L308" s="17">
        <v>842.0</v>
      </c>
      <c r="M308" s="18">
        <v>-1088.97</v>
      </c>
      <c r="N308" s="18">
        <v>229.332</v>
      </c>
      <c r="O308" s="18">
        <v>3600.0</v>
      </c>
    </row>
    <row r="309">
      <c r="A309" s="8" t="s">
        <v>496</v>
      </c>
      <c r="B309" s="9">
        <v>25.0</v>
      </c>
      <c r="C309" s="9" t="s">
        <v>460</v>
      </c>
      <c r="D309" s="9">
        <v>75.0</v>
      </c>
      <c r="E309" s="10">
        <v>1.0</v>
      </c>
      <c r="F309" s="9">
        <v>2.0</v>
      </c>
      <c r="G309" s="9">
        <v>0.0</v>
      </c>
      <c r="H309" s="9">
        <v>1.0</v>
      </c>
      <c r="I309" s="9">
        <v>0.0</v>
      </c>
      <c r="J309" s="17">
        <v>1659.0</v>
      </c>
      <c r="K309" s="18">
        <v>-3125.74</v>
      </c>
      <c r="L309" s="17">
        <v>549.0</v>
      </c>
      <c r="M309" s="18">
        <v>-897.268</v>
      </c>
      <c r="N309" s="18">
        <v>263.437</v>
      </c>
      <c r="O309" s="18">
        <v>3600.0</v>
      </c>
    </row>
    <row r="310">
      <c r="A310" s="8" t="s">
        <v>497</v>
      </c>
      <c r="B310" s="9">
        <v>25.0</v>
      </c>
      <c r="C310" s="9" t="s">
        <v>460</v>
      </c>
      <c r="D310" s="9">
        <v>75.0</v>
      </c>
      <c r="E310" s="10">
        <v>1.0</v>
      </c>
      <c r="F310" s="9">
        <v>3.0</v>
      </c>
      <c r="G310" s="9">
        <v>0.0</v>
      </c>
      <c r="H310" s="9">
        <v>1.0</v>
      </c>
      <c r="I310" s="9">
        <v>0.0</v>
      </c>
      <c r="J310" s="17">
        <v>2475.0</v>
      </c>
      <c r="K310" s="18">
        <v>-3309.3</v>
      </c>
      <c r="L310" s="17">
        <v>937.0</v>
      </c>
      <c r="M310" s="18">
        <v>-1159.38</v>
      </c>
      <c r="N310" s="18">
        <v>223.733</v>
      </c>
      <c r="O310" s="18">
        <v>3600.0</v>
      </c>
    </row>
    <row r="311">
      <c r="A311" s="8" t="s">
        <v>498</v>
      </c>
      <c r="B311" s="9">
        <v>25.0</v>
      </c>
      <c r="C311" s="9" t="s">
        <v>460</v>
      </c>
      <c r="D311" s="9">
        <v>75.0</v>
      </c>
      <c r="E311" s="10">
        <v>1.0</v>
      </c>
      <c r="F311" s="9">
        <v>4.0</v>
      </c>
      <c r="G311" s="9">
        <v>0.0</v>
      </c>
      <c r="H311" s="9">
        <v>1.0</v>
      </c>
      <c r="I311" s="9">
        <v>0.0</v>
      </c>
      <c r="J311" s="17">
        <v>2723.0</v>
      </c>
      <c r="K311" s="18">
        <v>-3274.27</v>
      </c>
      <c r="L311" s="17">
        <v>976.0</v>
      </c>
      <c r="M311" s="18">
        <v>-1020.66</v>
      </c>
      <c r="N311" s="18">
        <v>204.576</v>
      </c>
      <c r="O311" s="18">
        <v>3600.0</v>
      </c>
    </row>
    <row r="312">
      <c r="A312" s="8" t="s">
        <v>499</v>
      </c>
      <c r="B312" s="9">
        <v>25.0</v>
      </c>
      <c r="C312" s="9" t="s">
        <v>460</v>
      </c>
      <c r="D312" s="9">
        <v>75.0</v>
      </c>
      <c r="E312" s="10">
        <v>1.0</v>
      </c>
      <c r="F312" s="9">
        <v>5.0</v>
      </c>
      <c r="G312" s="9">
        <v>0.0</v>
      </c>
      <c r="H312" s="9">
        <v>1.0</v>
      </c>
      <c r="I312" s="9">
        <v>0.0</v>
      </c>
      <c r="J312" s="17">
        <v>3641.0</v>
      </c>
      <c r="K312" s="18">
        <v>-3055.13</v>
      </c>
      <c r="L312" s="17">
        <v>790.0</v>
      </c>
      <c r="M312" s="18">
        <v>-821.358</v>
      </c>
      <c r="N312" s="18">
        <v>203.969</v>
      </c>
      <c r="O312" s="18">
        <v>3600.0</v>
      </c>
    </row>
    <row r="313">
      <c r="A313" s="8" t="s">
        <v>500</v>
      </c>
      <c r="B313" s="9">
        <v>25.0</v>
      </c>
      <c r="C313" s="9" t="s">
        <v>460</v>
      </c>
      <c r="D313" s="9">
        <v>75.0</v>
      </c>
      <c r="E313" s="10">
        <v>2.0</v>
      </c>
      <c r="F313" s="9">
        <v>1.0</v>
      </c>
      <c r="G313" s="9">
        <v>1.0</v>
      </c>
      <c r="H313" s="9">
        <v>0.0</v>
      </c>
      <c r="I313" s="9">
        <v>0.0</v>
      </c>
      <c r="J313" s="17">
        <v>60767.0</v>
      </c>
      <c r="K313" s="18">
        <v>29426.1</v>
      </c>
      <c r="L313" s="17">
        <v>54898.0</v>
      </c>
      <c r="M313" s="18">
        <v>54898.0</v>
      </c>
      <c r="N313" s="18">
        <v>0.0</v>
      </c>
      <c r="O313" s="18">
        <v>1464.72</v>
      </c>
    </row>
    <row r="314">
      <c r="A314" s="8" t="s">
        <v>501</v>
      </c>
      <c r="B314" s="9">
        <v>25.0</v>
      </c>
      <c r="C314" s="9" t="s">
        <v>460</v>
      </c>
      <c r="D314" s="9">
        <v>75.0</v>
      </c>
      <c r="E314" s="10">
        <v>2.0</v>
      </c>
      <c r="F314" s="9">
        <v>2.0</v>
      </c>
      <c r="G314" s="9">
        <v>0.0</v>
      </c>
      <c r="H314" s="9">
        <v>1.0</v>
      </c>
      <c r="I314" s="9">
        <v>0.0</v>
      </c>
      <c r="J314" s="17">
        <v>60613.0</v>
      </c>
      <c r="K314" s="18">
        <v>20668.4</v>
      </c>
      <c r="L314" s="17">
        <v>54977.0</v>
      </c>
      <c r="M314" s="18">
        <v>46819.4</v>
      </c>
      <c r="N314" s="18">
        <v>14.8383</v>
      </c>
      <c r="O314" s="18">
        <v>3600.0</v>
      </c>
    </row>
    <row r="315">
      <c r="A315" s="8" t="s">
        <v>502</v>
      </c>
      <c r="B315" s="9">
        <v>25.0</v>
      </c>
      <c r="C315" s="9" t="s">
        <v>460</v>
      </c>
      <c r="D315" s="9">
        <v>75.0</v>
      </c>
      <c r="E315" s="10">
        <v>2.0</v>
      </c>
      <c r="F315" s="9">
        <v>3.0</v>
      </c>
      <c r="G315" s="9">
        <v>1.0</v>
      </c>
      <c r="H315" s="9">
        <v>0.0</v>
      </c>
      <c r="I315" s="9">
        <v>0.0</v>
      </c>
      <c r="J315" s="17">
        <v>55804.0</v>
      </c>
      <c r="K315" s="18">
        <v>38353.9</v>
      </c>
      <c r="L315" s="17">
        <v>55574.0</v>
      </c>
      <c r="M315" s="18">
        <v>55574.0</v>
      </c>
      <c r="N315" s="18">
        <v>0.0</v>
      </c>
      <c r="O315" s="18">
        <v>2696.5</v>
      </c>
    </row>
    <row r="316">
      <c r="A316" s="8" t="s">
        <v>503</v>
      </c>
      <c r="B316" s="9">
        <v>25.0</v>
      </c>
      <c r="C316" s="9" t="s">
        <v>460</v>
      </c>
      <c r="D316" s="9">
        <v>75.0</v>
      </c>
      <c r="E316" s="10">
        <v>2.0</v>
      </c>
      <c r="F316" s="9">
        <v>4.0</v>
      </c>
      <c r="G316" s="9">
        <v>0.0</v>
      </c>
      <c r="H316" s="9">
        <v>1.0</v>
      </c>
      <c r="I316" s="9">
        <v>0.0</v>
      </c>
      <c r="J316" s="17">
        <v>62132.0</v>
      </c>
      <c r="K316" s="18">
        <v>26337.6</v>
      </c>
      <c r="L316" s="17">
        <v>61230.0</v>
      </c>
      <c r="M316" s="18">
        <v>53893.5</v>
      </c>
      <c r="N316" s="18">
        <v>11.9819</v>
      </c>
      <c r="O316" s="18">
        <v>3600.0</v>
      </c>
    </row>
    <row r="317">
      <c r="A317" s="8" t="s">
        <v>504</v>
      </c>
      <c r="B317" s="9">
        <v>25.0</v>
      </c>
      <c r="C317" s="9" t="s">
        <v>460</v>
      </c>
      <c r="D317" s="9">
        <v>75.0</v>
      </c>
      <c r="E317" s="10">
        <v>2.0</v>
      </c>
      <c r="F317" s="9">
        <v>5.0</v>
      </c>
      <c r="G317" s="9">
        <v>0.0</v>
      </c>
      <c r="H317" s="9">
        <v>1.0</v>
      </c>
      <c r="I317" s="9">
        <v>0.0</v>
      </c>
      <c r="J317" s="17">
        <v>57347.0</v>
      </c>
      <c r="K317" s="18">
        <v>24832.2</v>
      </c>
      <c r="L317" s="17">
        <v>56606.0</v>
      </c>
      <c r="M317" s="18">
        <v>56490.4</v>
      </c>
      <c r="N317" s="18">
        <v>0.204176</v>
      </c>
      <c r="O317" s="18">
        <v>3600.0</v>
      </c>
    </row>
    <row r="318">
      <c r="A318" s="8" t="s">
        <v>505</v>
      </c>
      <c r="B318" s="9">
        <v>30.0</v>
      </c>
      <c r="C318" s="9" t="s">
        <v>460</v>
      </c>
      <c r="D318" s="9">
        <v>25.0</v>
      </c>
      <c r="E318" s="10">
        <v>0.6</v>
      </c>
      <c r="F318" s="9">
        <v>1.0</v>
      </c>
      <c r="G318" s="9">
        <v>1.0</v>
      </c>
      <c r="H318" s="9">
        <v>0.0</v>
      </c>
      <c r="I318" s="9">
        <v>0.0</v>
      </c>
      <c r="J318" s="17">
        <v>-2520.0</v>
      </c>
      <c r="K318" s="18">
        <v>-3635.54</v>
      </c>
      <c r="L318" s="17">
        <v>-3074.0</v>
      </c>
      <c r="M318" s="18">
        <v>-3074.0</v>
      </c>
      <c r="N318" s="18">
        <v>0.0</v>
      </c>
      <c r="O318" s="18">
        <v>1203.01</v>
      </c>
    </row>
    <row r="319">
      <c r="A319" s="8" t="s">
        <v>506</v>
      </c>
      <c r="B319" s="9">
        <v>30.0</v>
      </c>
      <c r="C319" s="9" t="s">
        <v>460</v>
      </c>
      <c r="D319" s="9">
        <v>25.0</v>
      </c>
      <c r="E319" s="10">
        <v>0.6</v>
      </c>
      <c r="F319" s="9">
        <v>2.0</v>
      </c>
      <c r="G319" s="9">
        <v>1.0</v>
      </c>
      <c r="H319" s="9">
        <v>0.0</v>
      </c>
      <c r="I319" s="9">
        <v>0.0</v>
      </c>
      <c r="J319" s="17">
        <v>-2471.0</v>
      </c>
      <c r="K319" s="18">
        <v>-3744.3</v>
      </c>
      <c r="L319" s="17">
        <v>-3114.0</v>
      </c>
      <c r="M319" s="18">
        <v>-3114.0</v>
      </c>
      <c r="N319" s="18">
        <v>0.0</v>
      </c>
      <c r="O319" s="18">
        <v>1162.11</v>
      </c>
    </row>
    <row r="320">
      <c r="A320" s="8" t="s">
        <v>507</v>
      </c>
      <c r="B320" s="9">
        <v>30.0</v>
      </c>
      <c r="C320" s="9" t="s">
        <v>460</v>
      </c>
      <c r="D320" s="9">
        <v>25.0</v>
      </c>
      <c r="E320" s="10">
        <v>0.6</v>
      </c>
      <c r="F320" s="9">
        <v>3.0</v>
      </c>
      <c r="G320" s="9">
        <v>1.0</v>
      </c>
      <c r="H320" s="9">
        <v>0.0</v>
      </c>
      <c r="I320" s="9">
        <v>0.0</v>
      </c>
      <c r="J320" s="17">
        <v>-2509.0</v>
      </c>
      <c r="K320" s="18">
        <v>-3611.88</v>
      </c>
      <c r="L320" s="17">
        <v>-2944.0</v>
      </c>
      <c r="M320" s="18">
        <v>-2944.0</v>
      </c>
      <c r="N320" s="18">
        <v>0.0</v>
      </c>
      <c r="O320" s="18">
        <v>1788.07</v>
      </c>
    </row>
    <row r="321">
      <c r="A321" s="8" t="s">
        <v>508</v>
      </c>
      <c r="B321" s="9">
        <v>30.0</v>
      </c>
      <c r="C321" s="9" t="s">
        <v>460</v>
      </c>
      <c r="D321" s="9">
        <v>25.0</v>
      </c>
      <c r="E321" s="10">
        <v>0.6</v>
      </c>
      <c r="F321" s="9">
        <v>4.0</v>
      </c>
      <c r="G321" s="9">
        <v>0.0</v>
      </c>
      <c r="H321" s="9">
        <v>1.0</v>
      </c>
      <c r="I321" s="9">
        <v>0.0</v>
      </c>
      <c r="J321" s="17">
        <v>-2297.0</v>
      </c>
      <c r="K321" s="18">
        <v>-3555.39</v>
      </c>
      <c r="L321" s="17">
        <v>-2931.0</v>
      </c>
      <c r="M321" s="18">
        <v>-3043.31</v>
      </c>
      <c r="N321" s="18">
        <v>3.83179</v>
      </c>
      <c r="O321" s="18">
        <v>3600.0</v>
      </c>
    </row>
    <row r="322">
      <c r="A322" s="8" t="s">
        <v>509</v>
      </c>
      <c r="B322" s="9">
        <v>30.0</v>
      </c>
      <c r="C322" s="9" t="s">
        <v>460</v>
      </c>
      <c r="D322" s="9">
        <v>25.0</v>
      </c>
      <c r="E322" s="10">
        <v>0.6</v>
      </c>
      <c r="F322" s="9">
        <v>5.0</v>
      </c>
      <c r="G322" s="9">
        <v>1.0</v>
      </c>
      <c r="H322" s="9">
        <v>0.0</v>
      </c>
      <c r="I322" s="9">
        <v>0.0</v>
      </c>
      <c r="J322" s="17">
        <v>-2955.0</v>
      </c>
      <c r="K322" s="18">
        <v>-4092.98</v>
      </c>
      <c r="L322" s="17">
        <v>-3388.0</v>
      </c>
      <c r="M322" s="18">
        <v>-3388.0</v>
      </c>
      <c r="N322" s="18">
        <v>0.0</v>
      </c>
      <c r="O322" s="18">
        <v>2638.96</v>
      </c>
    </row>
    <row r="323">
      <c r="A323" s="8" t="s">
        <v>510</v>
      </c>
      <c r="B323" s="9">
        <v>30.0</v>
      </c>
      <c r="C323" s="9" t="s">
        <v>460</v>
      </c>
      <c r="D323" s="9">
        <v>25.0</v>
      </c>
      <c r="E323" s="10">
        <v>1.0</v>
      </c>
      <c r="F323" s="9">
        <v>1.0</v>
      </c>
      <c r="G323" s="9">
        <v>0.0</v>
      </c>
      <c r="H323" s="9">
        <v>1.0</v>
      </c>
      <c r="I323" s="9">
        <v>0.0</v>
      </c>
      <c r="J323" s="17">
        <v>-575.0</v>
      </c>
      <c r="K323" s="18">
        <v>-2546.73</v>
      </c>
      <c r="L323" s="17">
        <v>-1051.0</v>
      </c>
      <c r="M323" s="18">
        <v>-1854.5</v>
      </c>
      <c r="N323" s="18">
        <v>76.4512</v>
      </c>
      <c r="O323" s="18">
        <v>3600.0</v>
      </c>
    </row>
    <row r="324">
      <c r="A324" s="8" t="s">
        <v>511</v>
      </c>
      <c r="B324" s="9">
        <v>30.0</v>
      </c>
      <c r="C324" s="9" t="s">
        <v>460</v>
      </c>
      <c r="D324" s="9">
        <v>25.0</v>
      </c>
      <c r="E324" s="10">
        <v>1.0</v>
      </c>
      <c r="F324" s="9">
        <v>2.0</v>
      </c>
      <c r="G324" s="9">
        <v>0.0</v>
      </c>
      <c r="H324" s="9">
        <v>1.0</v>
      </c>
      <c r="I324" s="9">
        <v>0.0</v>
      </c>
      <c r="J324" s="17">
        <v>164.0</v>
      </c>
      <c r="K324" s="18">
        <v>-2531.1</v>
      </c>
      <c r="L324" s="17">
        <v>-990.0</v>
      </c>
      <c r="M324" s="18">
        <v>-1751.61</v>
      </c>
      <c r="N324" s="18">
        <v>76.9304</v>
      </c>
      <c r="O324" s="18">
        <v>3600.0</v>
      </c>
    </row>
    <row r="325">
      <c r="A325" s="8" t="s">
        <v>512</v>
      </c>
      <c r="B325" s="9">
        <v>30.0</v>
      </c>
      <c r="C325" s="9" t="s">
        <v>460</v>
      </c>
      <c r="D325" s="9">
        <v>25.0</v>
      </c>
      <c r="E325" s="10">
        <v>1.0</v>
      </c>
      <c r="F325" s="9">
        <v>3.0</v>
      </c>
      <c r="G325" s="9">
        <v>0.0</v>
      </c>
      <c r="H325" s="9">
        <v>1.0</v>
      </c>
      <c r="I325" s="9">
        <v>0.0</v>
      </c>
      <c r="J325" s="17">
        <v>-281.0</v>
      </c>
      <c r="K325" s="18">
        <v>-2609.81</v>
      </c>
      <c r="L325" s="17">
        <v>-933.0</v>
      </c>
      <c r="M325" s="18">
        <v>-1836.46</v>
      </c>
      <c r="N325" s="18">
        <v>96.8335</v>
      </c>
      <c r="O325" s="18">
        <v>3600.0</v>
      </c>
    </row>
    <row r="326">
      <c r="A326" s="8" t="s">
        <v>513</v>
      </c>
      <c r="B326" s="9">
        <v>30.0</v>
      </c>
      <c r="C326" s="9" t="s">
        <v>460</v>
      </c>
      <c r="D326" s="9">
        <v>25.0</v>
      </c>
      <c r="E326" s="10">
        <v>1.0</v>
      </c>
      <c r="F326" s="9">
        <v>4.0</v>
      </c>
      <c r="G326" s="9">
        <v>0.0</v>
      </c>
      <c r="H326" s="9">
        <v>1.0</v>
      </c>
      <c r="I326" s="9">
        <v>0.0</v>
      </c>
      <c r="J326" s="17">
        <v>3690.0</v>
      </c>
      <c r="K326" s="18">
        <v>-2510.81</v>
      </c>
      <c r="L326" s="17">
        <v>-961.0</v>
      </c>
      <c r="M326" s="18">
        <v>-1751.93</v>
      </c>
      <c r="N326" s="18">
        <v>82.3025</v>
      </c>
      <c r="O326" s="18">
        <v>3600.0</v>
      </c>
    </row>
    <row r="327">
      <c r="A327" s="8" t="s">
        <v>514</v>
      </c>
      <c r="B327" s="9">
        <v>30.0</v>
      </c>
      <c r="C327" s="9" t="s">
        <v>460</v>
      </c>
      <c r="D327" s="9">
        <v>25.0</v>
      </c>
      <c r="E327" s="10">
        <v>1.0</v>
      </c>
      <c r="F327" s="9">
        <v>5.0</v>
      </c>
      <c r="G327" s="9">
        <v>0.0</v>
      </c>
      <c r="H327" s="9">
        <v>1.0</v>
      </c>
      <c r="I327" s="9">
        <v>0.0</v>
      </c>
      <c r="J327" s="17">
        <v>-61.0</v>
      </c>
      <c r="K327" s="18">
        <v>-2841.8</v>
      </c>
      <c r="L327" s="17">
        <v>-989.0</v>
      </c>
      <c r="M327" s="18">
        <v>-2056.16</v>
      </c>
      <c r="N327" s="18">
        <v>107.903</v>
      </c>
      <c r="O327" s="18">
        <v>3600.0</v>
      </c>
    </row>
    <row r="328">
      <c r="A328" s="8" t="s">
        <v>515</v>
      </c>
      <c r="B328" s="9">
        <v>30.0</v>
      </c>
      <c r="C328" s="9" t="s">
        <v>460</v>
      </c>
      <c r="D328" s="9">
        <v>25.0</v>
      </c>
      <c r="E328" s="10">
        <v>2.0</v>
      </c>
      <c r="F328" s="9">
        <v>1.0</v>
      </c>
      <c r="G328" s="9">
        <v>0.0</v>
      </c>
      <c r="H328" s="9">
        <v>1.0</v>
      </c>
      <c r="I328" s="9">
        <v>0.0</v>
      </c>
      <c r="J328" s="17">
        <v>18257.0</v>
      </c>
      <c r="K328" s="18">
        <v>6623.86</v>
      </c>
      <c r="L328" s="17">
        <v>16344.0</v>
      </c>
      <c r="M328" s="18">
        <v>12519.5</v>
      </c>
      <c r="N328" s="18">
        <v>23.3999</v>
      </c>
      <c r="O328" s="18">
        <v>3600.0</v>
      </c>
    </row>
    <row r="329">
      <c r="A329" s="8" t="s">
        <v>516</v>
      </c>
      <c r="B329" s="9">
        <v>30.0</v>
      </c>
      <c r="C329" s="9" t="s">
        <v>460</v>
      </c>
      <c r="D329" s="9">
        <v>25.0</v>
      </c>
      <c r="E329" s="10">
        <v>2.0</v>
      </c>
      <c r="F329" s="9">
        <v>2.0</v>
      </c>
      <c r="G329" s="9">
        <v>0.0</v>
      </c>
      <c r="H329" s="9">
        <v>1.0</v>
      </c>
      <c r="I329" s="9">
        <v>0.0</v>
      </c>
      <c r="J329" s="17">
        <v>19658.0</v>
      </c>
      <c r="K329" s="18">
        <v>7562.35</v>
      </c>
      <c r="L329" s="17">
        <v>17698.0</v>
      </c>
      <c r="M329" s="18">
        <v>13313.8</v>
      </c>
      <c r="N329" s="18">
        <v>24.7721</v>
      </c>
      <c r="O329" s="18">
        <v>3600.0</v>
      </c>
    </row>
    <row r="330">
      <c r="A330" s="8" t="s">
        <v>517</v>
      </c>
      <c r="B330" s="9">
        <v>30.0</v>
      </c>
      <c r="C330" s="9" t="s">
        <v>460</v>
      </c>
      <c r="D330" s="9">
        <v>25.0</v>
      </c>
      <c r="E330" s="10">
        <v>2.0</v>
      </c>
      <c r="F330" s="9">
        <v>3.0</v>
      </c>
      <c r="G330" s="9">
        <v>0.0</v>
      </c>
      <c r="H330" s="9">
        <v>1.0</v>
      </c>
      <c r="I330" s="9">
        <v>0.0</v>
      </c>
      <c r="J330" s="17">
        <v>19377.0</v>
      </c>
      <c r="K330" s="18">
        <v>7440.32</v>
      </c>
      <c r="L330" s="17">
        <v>15887.0</v>
      </c>
      <c r="M330" s="18">
        <v>13811.8</v>
      </c>
      <c r="N330" s="18">
        <v>13.0623</v>
      </c>
      <c r="O330" s="18">
        <v>3600.0</v>
      </c>
    </row>
    <row r="331">
      <c r="A331" s="8" t="s">
        <v>518</v>
      </c>
      <c r="B331" s="9">
        <v>30.0</v>
      </c>
      <c r="C331" s="9" t="s">
        <v>460</v>
      </c>
      <c r="D331" s="9">
        <v>25.0</v>
      </c>
      <c r="E331" s="10">
        <v>2.0</v>
      </c>
      <c r="F331" s="9">
        <v>4.0</v>
      </c>
      <c r="G331" s="9">
        <v>0.0</v>
      </c>
      <c r="H331" s="9">
        <v>1.0</v>
      </c>
      <c r="I331" s="9">
        <v>0.0</v>
      </c>
      <c r="J331" s="17">
        <v>20476.0</v>
      </c>
      <c r="K331" s="18">
        <v>3989.31</v>
      </c>
      <c r="L331" s="17">
        <v>18117.0</v>
      </c>
      <c r="M331" s="18">
        <v>10965.5</v>
      </c>
      <c r="N331" s="18">
        <v>39.4738</v>
      </c>
      <c r="O331" s="18">
        <v>3600.0</v>
      </c>
    </row>
    <row r="332">
      <c r="A332" s="8" t="s">
        <v>519</v>
      </c>
      <c r="B332" s="9">
        <v>30.0</v>
      </c>
      <c r="C332" s="9" t="s">
        <v>460</v>
      </c>
      <c r="D332" s="9">
        <v>25.0</v>
      </c>
      <c r="E332" s="10">
        <v>2.0</v>
      </c>
      <c r="F332" s="9">
        <v>5.0</v>
      </c>
      <c r="G332" s="9">
        <v>0.0</v>
      </c>
      <c r="H332" s="9">
        <v>1.0</v>
      </c>
      <c r="I332" s="9">
        <v>0.0</v>
      </c>
      <c r="J332" s="17">
        <v>23479.0</v>
      </c>
      <c r="K332" s="18">
        <v>5173.25</v>
      </c>
      <c r="L332" s="17">
        <v>20663.0</v>
      </c>
      <c r="M332" s="18">
        <v>13529.8</v>
      </c>
      <c r="N332" s="18">
        <v>34.5217</v>
      </c>
      <c r="O332" s="18">
        <v>3600.0</v>
      </c>
    </row>
    <row r="333">
      <c r="A333" s="8" t="s">
        <v>520</v>
      </c>
      <c r="B333" s="9">
        <v>30.0</v>
      </c>
      <c r="C333" s="9" t="s">
        <v>460</v>
      </c>
      <c r="D333" s="9">
        <v>50.0</v>
      </c>
      <c r="E333" s="10">
        <v>0.6</v>
      </c>
      <c r="F333" s="9">
        <v>1.0</v>
      </c>
      <c r="G333" s="9">
        <v>0.0</v>
      </c>
      <c r="H333" s="9">
        <v>1.0</v>
      </c>
      <c r="I333" s="9">
        <v>0.0</v>
      </c>
      <c r="J333" s="17">
        <v>-3949.0</v>
      </c>
      <c r="K333" s="18">
        <v>-6647.13</v>
      </c>
      <c r="L333" s="17">
        <v>-5003.0</v>
      </c>
      <c r="M333" s="18">
        <v>-5724.6</v>
      </c>
      <c r="N333" s="18">
        <v>14.4234</v>
      </c>
      <c r="O333" s="18">
        <v>3600.0</v>
      </c>
    </row>
    <row r="334">
      <c r="A334" s="8" t="s">
        <v>521</v>
      </c>
      <c r="B334" s="9">
        <v>30.0</v>
      </c>
      <c r="C334" s="9" t="s">
        <v>460</v>
      </c>
      <c r="D334" s="9">
        <v>50.0</v>
      </c>
      <c r="E334" s="10">
        <v>0.6</v>
      </c>
      <c r="F334" s="9">
        <v>2.0</v>
      </c>
      <c r="G334" s="9">
        <v>1.0</v>
      </c>
      <c r="H334" s="9">
        <v>0.0</v>
      </c>
      <c r="I334" s="9">
        <v>0.0</v>
      </c>
      <c r="J334" s="17">
        <v>-4488.0</v>
      </c>
      <c r="K334" s="18">
        <v>-6851.86</v>
      </c>
      <c r="L334" s="17">
        <v>-5618.0</v>
      </c>
      <c r="M334" s="18">
        <v>-5618.0</v>
      </c>
      <c r="N334" s="18">
        <v>0.0</v>
      </c>
      <c r="O334" s="18">
        <v>1702.2</v>
      </c>
    </row>
    <row r="335">
      <c r="A335" s="8" t="s">
        <v>522</v>
      </c>
      <c r="B335" s="9">
        <v>30.0</v>
      </c>
      <c r="C335" s="9" t="s">
        <v>460</v>
      </c>
      <c r="D335" s="9">
        <v>50.0</v>
      </c>
      <c r="E335" s="10">
        <v>0.6</v>
      </c>
      <c r="F335" s="9">
        <v>3.0</v>
      </c>
      <c r="G335" s="9">
        <v>0.0</v>
      </c>
      <c r="H335" s="9">
        <v>1.0</v>
      </c>
      <c r="I335" s="9">
        <v>0.0</v>
      </c>
      <c r="J335" s="17">
        <v>-4937.0</v>
      </c>
      <c r="K335" s="18">
        <v>-6935.58</v>
      </c>
      <c r="L335" s="17">
        <v>-5026.0</v>
      </c>
      <c r="M335" s="18">
        <v>-6051.51</v>
      </c>
      <c r="N335" s="18">
        <v>20.4042</v>
      </c>
      <c r="O335" s="18">
        <v>3600.0</v>
      </c>
    </row>
    <row r="336">
      <c r="A336" s="8" t="s">
        <v>523</v>
      </c>
      <c r="B336" s="9">
        <v>30.0</v>
      </c>
      <c r="C336" s="9" t="s">
        <v>460</v>
      </c>
      <c r="D336" s="9">
        <v>50.0</v>
      </c>
      <c r="E336" s="10">
        <v>0.6</v>
      </c>
      <c r="F336" s="9">
        <v>4.0</v>
      </c>
      <c r="G336" s="9">
        <v>0.0</v>
      </c>
      <c r="H336" s="9">
        <v>1.0</v>
      </c>
      <c r="I336" s="9">
        <v>0.0</v>
      </c>
      <c r="J336" s="17">
        <v>-3984.0</v>
      </c>
      <c r="K336" s="18">
        <v>-6848.8</v>
      </c>
      <c r="L336" s="17">
        <v>-4830.0</v>
      </c>
      <c r="M336" s="18">
        <v>-5807.21</v>
      </c>
      <c r="N336" s="18">
        <v>20.232</v>
      </c>
      <c r="O336" s="18">
        <v>3600.0</v>
      </c>
    </row>
    <row r="337">
      <c r="A337" s="8" t="s">
        <v>524</v>
      </c>
      <c r="B337" s="9">
        <v>30.0</v>
      </c>
      <c r="C337" s="9" t="s">
        <v>460</v>
      </c>
      <c r="D337" s="9">
        <v>50.0</v>
      </c>
      <c r="E337" s="10">
        <v>0.6</v>
      </c>
      <c r="F337" s="9">
        <v>5.0</v>
      </c>
      <c r="G337" s="9">
        <v>0.0</v>
      </c>
      <c r="H337" s="9">
        <v>1.0</v>
      </c>
      <c r="I337" s="9">
        <v>0.0</v>
      </c>
      <c r="J337" s="17">
        <v>-3956.0</v>
      </c>
      <c r="K337" s="18">
        <v>-6699.55</v>
      </c>
      <c r="L337" s="17">
        <v>-4916.0</v>
      </c>
      <c r="M337" s="18">
        <v>-5708.19</v>
      </c>
      <c r="N337" s="18">
        <v>16.1146</v>
      </c>
      <c r="O337" s="18">
        <v>3600.0</v>
      </c>
    </row>
    <row r="338">
      <c r="A338" s="8" t="s">
        <v>525</v>
      </c>
      <c r="B338" s="9">
        <v>30.0</v>
      </c>
      <c r="C338" s="9" t="s">
        <v>460</v>
      </c>
      <c r="D338" s="9">
        <v>50.0</v>
      </c>
      <c r="E338" s="10">
        <v>1.0</v>
      </c>
      <c r="F338" s="9">
        <v>1.0</v>
      </c>
      <c r="G338" s="9">
        <v>0.0</v>
      </c>
      <c r="H338" s="9">
        <v>1.0</v>
      </c>
      <c r="I338" s="9">
        <v>0.0</v>
      </c>
      <c r="J338" s="17">
        <v>305.0</v>
      </c>
      <c r="K338" s="18">
        <v>-4189.16</v>
      </c>
      <c r="L338" s="17">
        <v>-444.0</v>
      </c>
      <c r="M338" s="18">
        <v>-2878.57</v>
      </c>
      <c r="N338" s="18">
        <v>548.326</v>
      </c>
      <c r="O338" s="18">
        <v>3600.0</v>
      </c>
    </row>
    <row r="339">
      <c r="A339" s="8" t="s">
        <v>526</v>
      </c>
      <c r="B339" s="9">
        <v>30.0</v>
      </c>
      <c r="C339" s="9" t="s">
        <v>460</v>
      </c>
      <c r="D339" s="9">
        <v>50.0</v>
      </c>
      <c r="E339" s="10">
        <v>1.0</v>
      </c>
      <c r="F339" s="9">
        <v>2.0</v>
      </c>
      <c r="G339" s="9">
        <v>0.0</v>
      </c>
      <c r="H339" s="9">
        <v>1.0</v>
      </c>
      <c r="I339" s="9">
        <v>0.0</v>
      </c>
      <c r="J339" s="17">
        <v>-829.0</v>
      </c>
      <c r="K339" s="18">
        <v>-4402.55</v>
      </c>
      <c r="L339" s="17">
        <v>-1951.0</v>
      </c>
      <c r="M339" s="18">
        <v>-3094.38</v>
      </c>
      <c r="N339" s="18">
        <v>58.605</v>
      </c>
      <c r="O339" s="18">
        <v>3600.0</v>
      </c>
    </row>
    <row r="340">
      <c r="A340" s="8" t="s">
        <v>527</v>
      </c>
      <c r="B340" s="9">
        <v>30.0</v>
      </c>
      <c r="C340" s="9" t="s">
        <v>460</v>
      </c>
      <c r="D340" s="9">
        <v>50.0</v>
      </c>
      <c r="E340" s="10">
        <v>1.0</v>
      </c>
      <c r="F340" s="9">
        <v>3.0</v>
      </c>
      <c r="G340" s="9">
        <v>0.0</v>
      </c>
      <c r="H340" s="9">
        <v>1.0</v>
      </c>
      <c r="I340" s="9">
        <v>0.0</v>
      </c>
      <c r="J340" s="17">
        <v>3427.0</v>
      </c>
      <c r="K340" s="18">
        <v>-4371.9</v>
      </c>
      <c r="L340" s="17">
        <v>-712.0</v>
      </c>
      <c r="M340" s="18">
        <v>-3116.23</v>
      </c>
      <c r="N340" s="18">
        <v>337.673</v>
      </c>
      <c r="O340" s="18">
        <v>3600.0</v>
      </c>
    </row>
    <row r="341">
      <c r="A341" s="8" t="s">
        <v>528</v>
      </c>
      <c r="B341" s="9">
        <v>30.0</v>
      </c>
      <c r="C341" s="9" t="s">
        <v>460</v>
      </c>
      <c r="D341" s="9">
        <v>50.0</v>
      </c>
      <c r="E341" s="10">
        <v>1.0</v>
      </c>
      <c r="F341" s="9">
        <v>4.0</v>
      </c>
      <c r="G341" s="9">
        <v>0.0</v>
      </c>
      <c r="H341" s="9">
        <v>1.0</v>
      </c>
      <c r="I341" s="9">
        <v>0.0</v>
      </c>
      <c r="J341" s="17">
        <v>943.0</v>
      </c>
      <c r="K341" s="18">
        <v>-4297.79</v>
      </c>
      <c r="L341" s="17">
        <v>-419.0</v>
      </c>
      <c r="M341" s="18">
        <v>-2988.32</v>
      </c>
      <c r="N341" s="18">
        <v>613.202</v>
      </c>
      <c r="O341" s="18">
        <v>3600.0</v>
      </c>
    </row>
    <row r="342">
      <c r="A342" s="8" t="s">
        <v>529</v>
      </c>
      <c r="B342" s="9">
        <v>30.0</v>
      </c>
      <c r="C342" s="9" t="s">
        <v>460</v>
      </c>
      <c r="D342" s="9">
        <v>50.0</v>
      </c>
      <c r="E342" s="10">
        <v>1.0</v>
      </c>
      <c r="F342" s="9">
        <v>5.0</v>
      </c>
      <c r="G342" s="9">
        <v>0.0</v>
      </c>
      <c r="H342" s="9">
        <v>1.0</v>
      </c>
      <c r="I342" s="9">
        <v>0.0</v>
      </c>
      <c r="J342" s="17">
        <v>-100.0</v>
      </c>
      <c r="K342" s="18">
        <v>-4293.74</v>
      </c>
      <c r="L342" s="17">
        <v>-778.0</v>
      </c>
      <c r="M342" s="18">
        <v>-2964.79</v>
      </c>
      <c r="N342" s="18">
        <v>281.078</v>
      </c>
      <c r="O342" s="18">
        <v>3600.0</v>
      </c>
    </row>
    <row r="343">
      <c r="A343" s="8" t="s">
        <v>530</v>
      </c>
      <c r="B343" s="9">
        <v>30.0</v>
      </c>
      <c r="C343" s="9" t="s">
        <v>460</v>
      </c>
      <c r="D343" s="9">
        <v>50.0</v>
      </c>
      <c r="E343" s="10">
        <v>2.0</v>
      </c>
      <c r="F343" s="9">
        <v>1.0</v>
      </c>
      <c r="G343" s="9">
        <v>0.0</v>
      </c>
      <c r="H343" s="9">
        <v>1.0</v>
      </c>
      <c r="I343" s="9">
        <v>0.0</v>
      </c>
      <c r="J343" s="17">
        <v>38837.0</v>
      </c>
      <c r="K343" s="18">
        <v>14087.1</v>
      </c>
      <c r="L343" s="17">
        <v>34459.0</v>
      </c>
      <c r="M343" s="18">
        <v>26139.9</v>
      </c>
      <c r="N343" s="18">
        <v>24.1421</v>
      </c>
      <c r="O343" s="18">
        <v>3600.0</v>
      </c>
    </row>
    <row r="344">
      <c r="A344" s="8" t="s">
        <v>531</v>
      </c>
      <c r="B344" s="9">
        <v>30.0</v>
      </c>
      <c r="C344" s="9" t="s">
        <v>460</v>
      </c>
      <c r="D344" s="9">
        <v>50.0</v>
      </c>
      <c r="E344" s="10">
        <v>2.0</v>
      </c>
      <c r="F344" s="9">
        <v>2.0</v>
      </c>
      <c r="G344" s="9">
        <v>0.0</v>
      </c>
      <c r="H344" s="9">
        <v>1.0</v>
      </c>
      <c r="I344" s="9">
        <v>0.0</v>
      </c>
      <c r="J344" s="17">
        <v>36359.0</v>
      </c>
      <c r="K344" s="18">
        <v>13867.4</v>
      </c>
      <c r="L344" s="17">
        <v>32786.0</v>
      </c>
      <c r="M344" s="18">
        <v>25306.8</v>
      </c>
      <c r="N344" s="18">
        <v>22.812</v>
      </c>
      <c r="O344" s="18">
        <v>3600.0</v>
      </c>
    </row>
    <row r="345">
      <c r="A345" s="8" t="s">
        <v>532</v>
      </c>
      <c r="B345" s="9">
        <v>30.0</v>
      </c>
      <c r="C345" s="9" t="s">
        <v>460</v>
      </c>
      <c r="D345" s="9">
        <v>50.0</v>
      </c>
      <c r="E345" s="10">
        <v>2.0</v>
      </c>
      <c r="F345" s="9">
        <v>3.0</v>
      </c>
      <c r="G345" s="9">
        <v>0.0</v>
      </c>
      <c r="H345" s="9">
        <v>1.0</v>
      </c>
      <c r="I345" s="9">
        <v>0.0</v>
      </c>
      <c r="J345" s="17">
        <v>41566.0</v>
      </c>
      <c r="K345" s="18">
        <v>8296.91</v>
      </c>
      <c r="L345" s="17">
        <v>40702.0</v>
      </c>
      <c r="M345" s="18">
        <v>23779.8</v>
      </c>
      <c r="N345" s="18">
        <v>41.5757</v>
      </c>
      <c r="O345" s="18">
        <v>3600.0</v>
      </c>
    </row>
    <row r="346">
      <c r="A346" s="8" t="s">
        <v>533</v>
      </c>
      <c r="B346" s="9">
        <v>30.0</v>
      </c>
      <c r="C346" s="9" t="s">
        <v>460</v>
      </c>
      <c r="D346" s="9">
        <v>50.0</v>
      </c>
      <c r="E346" s="10">
        <v>2.0</v>
      </c>
      <c r="F346" s="9">
        <v>4.0</v>
      </c>
      <c r="G346" s="9">
        <v>0.0</v>
      </c>
      <c r="H346" s="9">
        <v>1.0</v>
      </c>
      <c r="I346" s="9">
        <v>0.0</v>
      </c>
      <c r="J346" s="17">
        <v>40444.0</v>
      </c>
      <c r="K346" s="18">
        <v>12720.7</v>
      </c>
      <c r="L346" s="17">
        <v>36085.0</v>
      </c>
      <c r="M346" s="18">
        <v>26585.0</v>
      </c>
      <c r="N346" s="18">
        <v>26.3266</v>
      </c>
      <c r="O346" s="18">
        <v>3600.0</v>
      </c>
    </row>
    <row r="347">
      <c r="A347" s="8" t="s">
        <v>534</v>
      </c>
      <c r="B347" s="9">
        <v>30.0</v>
      </c>
      <c r="C347" s="9" t="s">
        <v>460</v>
      </c>
      <c r="D347" s="9">
        <v>50.0</v>
      </c>
      <c r="E347" s="10">
        <v>2.0</v>
      </c>
      <c r="F347" s="9">
        <v>5.0</v>
      </c>
      <c r="G347" s="9">
        <v>0.0</v>
      </c>
      <c r="H347" s="9">
        <v>1.0</v>
      </c>
      <c r="I347" s="9">
        <v>0.0</v>
      </c>
      <c r="J347" s="17">
        <v>39234.0</v>
      </c>
      <c r="K347" s="18">
        <v>14418.4</v>
      </c>
      <c r="L347" s="17">
        <v>38287.0</v>
      </c>
      <c r="M347" s="18">
        <v>24064.3</v>
      </c>
      <c r="N347" s="18">
        <v>37.1477</v>
      </c>
      <c r="O347" s="18">
        <v>3600.0</v>
      </c>
    </row>
    <row r="348">
      <c r="A348" s="8" t="s">
        <v>535</v>
      </c>
      <c r="B348" s="9">
        <v>30.0</v>
      </c>
      <c r="C348" s="9" t="s">
        <v>460</v>
      </c>
      <c r="D348" s="9">
        <v>75.0</v>
      </c>
      <c r="E348" s="10">
        <v>0.6</v>
      </c>
      <c r="F348" s="9">
        <v>1.0</v>
      </c>
      <c r="G348" s="9">
        <v>0.0</v>
      </c>
      <c r="H348" s="9">
        <v>1.0</v>
      </c>
      <c r="I348" s="9">
        <v>0.0</v>
      </c>
      <c r="J348" s="17">
        <v>-4593.0</v>
      </c>
      <c r="K348" s="18">
        <v>-9274.6</v>
      </c>
      <c r="L348" s="17">
        <v>-6515.0</v>
      </c>
      <c r="M348" s="18">
        <v>-8030.05</v>
      </c>
      <c r="N348" s="18">
        <v>23.2547</v>
      </c>
      <c r="O348" s="18">
        <v>3600.0</v>
      </c>
    </row>
    <row r="349">
      <c r="A349" s="8" t="s">
        <v>536</v>
      </c>
      <c r="B349" s="9">
        <v>30.0</v>
      </c>
      <c r="C349" s="9" t="s">
        <v>460</v>
      </c>
      <c r="D349" s="9">
        <v>75.0</v>
      </c>
      <c r="E349" s="10">
        <v>0.6</v>
      </c>
      <c r="F349" s="9">
        <v>2.0</v>
      </c>
      <c r="G349" s="9">
        <v>0.0</v>
      </c>
      <c r="H349" s="9">
        <v>1.0</v>
      </c>
      <c r="I349" s="9">
        <v>0.0</v>
      </c>
      <c r="J349" s="17">
        <v>-5823.0</v>
      </c>
      <c r="K349" s="18">
        <v>-9623.37</v>
      </c>
      <c r="L349" s="17">
        <v>-6623.0</v>
      </c>
      <c r="M349" s="18">
        <v>-8355.46</v>
      </c>
      <c r="N349" s="18">
        <v>26.1582</v>
      </c>
      <c r="O349" s="18">
        <v>3600.0</v>
      </c>
    </row>
    <row r="350">
      <c r="A350" s="8" t="s">
        <v>537</v>
      </c>
      <c r="B350" s="9">
        <v>30.0</v>
      </c>
      <c r="C350" s="9" t="s">
        <v>460</v>
      </c>
      <c r="D350" s="9">
        <v>75.0</v>
      </c>
      <c r="E350" s="10">
        <v>0.6</v>
      </c>
      <c r="F350" s="9">
        <v>3.0</v>
      </c>
      <c r="G350" s="9">
        <v>0.0</v>
      </c>
      <c r="H350" s="9">
        <v>1.0</v>
      </c>
      <c r="I350" s="9">
        <v>0.0</v>
      </c>
      <c r="J350" s="17">
        <v>-4782.0</v>
      </c>
      <c r="K350" s="18">
        <v>-8874.12</v>
      </c>
      <c r="L350" s="17">
        <v>-5833.0</v>
      </c>
      <c r="M350" s="18">
        <v>-7515.42</v>
      </c>
      <c r="N350" s="18">
        <v>28.8432</v>
      </c>
      <c r="O350" s="18">
        <v>3600.0</v>
      </c>
    </row>
    <row r="351">
      <c r="A351" s="8" t="s">
        <v>538</v>
      </c>
      <c r="B351" s="9">
        <v>30.0</v>
      </c>
      <c r="C351" s="9" t="s">
        <v>460</v>
      </c>
      <c r="D351" s="9">
        <v>75.0</v>
      </c>
      <c r="E351" s="10">
        <v>0.6</v>
      </c>
      <c r="F351" s="9">
        <v>4.0</v>
      </c>
      <c r="G351" s="9">
        <v>0.0</v>
      </c>
      <c r="H351" s="9">
        <v>1.0</v>
      </c>
      <c r="I351" s="9">
        <v>0.0</v>
      </c>
      <c r="J351" s="17">
        <v>-4899.0</v>
      </c>
      <c r="K351" s="18">
        <v>-9519.8</v>
      </c>
      <c r="L351" s="17">
        <v>-5978.0</v>
      </c>
      <c r="M351" s="18">
        <v>-8151.6</v>
      </c>
      <c r="N351" s="18">
        <v>36.36</v>
      </c>
      <c r="O351" s="18">
        <v>3600.0</v>
      </c>
    </row>
    <row r="352">
      <c r="A352" s="8" t="s">
        <v>539</v>
      </c>
      <c r="B352" s="9">
        <v>30.0</v>
      </c>
      <c r="C352" s="9" t="s">
        <v>460</v>
      </c>
      <c r="D352" s="9">
        <v>75.0</v>
      </c>
      <c r="E352" s="10">
        <v>0.6</v>
      </c>
      <c r="F352" s="9">
        <v>5.0</v>
      </c>
      <c r="G352" s="9">
        <v>0.0</v>
      </c>
      <c r="H352" s="9">
        <v>1.0</v>
      </c>
      <c r="I352" s="9">
        <v>0.0</v>
      </c>
      <c r="J352" s="17">
        <v>-5519.0</v>
      </c>
      <c r="K352" s="18">
        <v>-9160.19</v>
      </c>
      <c r="L352" s="17">
        <v>-6186.0</v>
      </c>
      <c r="M352" s="18">
        <v>-8105.25</v>
      </c>
      <c r="N352" s="18">
        <v>31.0257</v>
      </c>
      <c r="O352" s="18">
        <v>3600.0</v>
      </c>
    </row>
    <row r="353">
      <c r="A353" s="8" t="s">
        <v>540</v>
      </c>
      <c r="B353" s="9">
        <v>30.0</v>
      </c>
      <c r="C353" s="9" t="s">
        <v>460</v>
      </c>
      <c r="D353" s="9">
        <v>75.0</v>
      </c>
      <c r="E353" s="10">
        <v>1.0</v>
      </c>
      <c r="F353" s="9">
        <v>1.0</v>
      </c>
      <c r="G353" s="9">
        <v>0.0</v>
      </c>
      <c r="H353" s="9">
        <v>1.0</v>
      </c>
      <c r="I353" s="9">
        <v>0.0</v>
      </c>
      <c r="J353" s="17">
        <v>901.0</v>
      </c>
      <c r="K353" s="18">
        <v>-5508.45</v>
      </c>
      <c r="L353" s="17">
        <v>-164.0</v>
      </c>
      <c r="M353" s="18">
        <v>-3861.99</v>
      </c>
      <c r="N353" s="18">
        <v>2254.87</v>
      </c>
      <c r="O353" s="18">
        <v>3600.0</v>
      </c>
    </row>
    <row r="354">
      <c r="A354" s="8" t="s">
        <v>541</v>
      </c>
      <c r="B354" s="9">
        <v>30.0</v>
      </c>
      <c r="C354" s="9" t="s">
        <v>460</v>
      </c>
      <c r="D354" s="9">
        <v>75.0</v>
      </c>
      <c r="E354" s="10">
        <v>1.0</v>
      </c>
      <c r="F354" s="9">
        <v>2.0</v>
      </c>
      <c r="G354" s="9">
        <v>0.0</v>
      </c>
      <c r="H354" s="9">
        <v>1.0</v>
      </c>
      <c r="I354" s="9">
        <v>0.0</v>
      </c>
      <c r="J354" s="17">
        <v>1746.0</v>
      </c>
      <c r="K354" s="18">
        <v>-5661.03</v>
      </c>
      <c r="L354" s="17">
        <v>-320.0</v>
      </c>
      <c r="M354" s="18">
        <v>-3891.18</v>
      </c>
      <c r="N354" s="18">
        <v>1115.99</v>
      </c>
      <c r="O354" s="18">
        <v>3600.0</v>
      </c>
    </row>
    <row r="355">
      <c r="A355" s="8" t="s">
        <v>542</v>
      </c>
      <c r="B355" s="9">
        <v>30.0</v>
      </c>
      <c r="C355" s="9" t="s">
        <v>460</v>
      </c>
      <c r="D355" s="9">
        <v>75.0</v>
      </c>
      <c r="E355" s="10">
        <v>1.0</v>
      </c>
      <c r="F355" s="9">
        <v>3.0</v>
      </c>
      <c r="G355" s="9">
        <v>0.0</v>
      </c>
      <c r="H355" s="9">
        <v>1.0</v>
      </c>
      <c r="I355" s="9">
        <v>0.0</v>
      </c>
      <c r="J355" s="17">
        <v>896.0</v>
      </c>
      <c r="K355" s="18">
        <v>-5461.48</v>
      </c>
      <c r="L355" s="17">
        <v>-504.0</v>
      </c>
      <c r="M355" s="18">
        <v>-3794.35</v>
      </c>
      <c r="N355" s="18">
        <v>652.847</v>
      </c>
      <c r="O355" s="18">
        <v>3600.0</v>
      </c>
    </row>
    <row r="356">
      <c r="A356" s="8" t="s">
        <v>543</v>
      </c>
      <c r="B356" s="9">
        <v>30.0</v>
      </c>
      <c r="C356" s="9" t="s">
        <v>460</v>
      </c>
      <c r="D356" s="9">
        <v>75.0</v>
      </c>
      <c r="E356" s="10">
        <v>1.0</v>
      </c>
      <c r="F356" s="9">
        <v>4.0</v>
      </c>
      <c r="G356" s="9">
        <v>0.0</v>
      </c>
      <c r="H356" s="9">
        <v>1.0</v>
      </c>
      <c r="I356" s="9">
        <v>0.0</v>
      </c>
      <c r="J356" s="17">
        <v>2095.0</v>
      </c>
      <c r="K356" s="18">
        <v>-5455.0</v>
      </c>
      <c r="L356" s="17">
        <v>85.0</v>
      </c>
      <c r="M356" s="18">
        <v>-3840.98</v>
      </c>
      <c r="N356" s="18">
        <v>4618.8</v>
      </c>
      <c r="O356" s="18">
        <v>3600.0</v>
      </c>
    </row>
    <row r="357">
      <c r="A357" s="8" t="s">
        <v>544</v>
      </c>
      <c r="B357" s="9">
        <v>30.0</v>
      </c>
      <c r="C357" s="9" t="s">
        <v>460</v>
      </c>
      <c r="D357" s="9">
        <v>75.0</v>
      </c>
      <c r="E357" s="10">
        <v>1.0</v>
      </c>
      <c r="F357" s="9">
        <v>5.0</v>
      </c>
      <c r="G357" s="9">
        <v>0.0</v>
      </c>
      <c r="H357" s="9">
        <v>1.0</v>
      </c>
      <c r="I357" s="9">
        <v>0.0</v>
      </c>
      <c r="J357" s="17">
        <v>2611.0</v>
      </c>
      <c r="K357" s="18">
        <v>-5651.33</v>
      </c>
      <c r="L357" s="17">
        <v>-300.0</v>
      </c>
      <c r="M357" s="18">
        <v>-3999.39</v>
      </c>
      <c r="N357" s="18">
        <v>1233.13</v>
      </c>
      <c r="O357" s="18">
        <v>3600.0</v>
      </c>
    </row>
    <row r="358">
      <c r="A358" s="8" t="s">
        <v>545</v>
      </c>
      <c r="B358" s="9">
        <v>30.0</v>
      </c>
      <c r="C358" s="9" t="s">
        <v>460</v>
      </c>
      <c r="D358" s="9">
        <v>75.0</v>
      </c>
      <c r="E358" s="10">
        <v>2.0</v>
      </c>
      <c r="F358" s="9">
        <v>1.0</v>
      </c>
      <c r="G358" s="9">
        <v>0.0</v>
      </c>
      <c r="H358" s="9">
        <v>1.0</v>
      </c>
      <c r="I358" s="9">
        <v>0.0</v>
      </c>
      <c r="J358" s="17">
        <v>63438.0</v>
      </c>
      <c r="K358" s="18">
        <v>15294.5</v>
      </c>
      <c r="L358" s="17">
        <v>56995.0</v>
      </c>
      <c r="M358" s="18">
        <v>33585.7</v>
      </c>
      <c r="N358" s="18">
        <v>41.0725</v>
      </c>
      <c r="O358" s="18">
        <v>3600.0</v>
      </c>
    </row>
    <row r="359">
      <c r="A359" s="8" t="s">
        <v>546</v>
      </c>
      <c r="B359" s="9">
        <v>30.0</v>
      </c>
      <c r="C359" s="9" t="s">
        <v>460</v>
      </c>
      <c r="D359" s="9">
        <v>75.0</v>
      </c>
      <c r="E359" s="10">
        <v>2.0</v>
      </c>
      <c r="F359" s="9">
        <v>2.0</v>
      </c>
      <c r="G359" s="9">
        <v>0.0</v>
      </c>
      <c r="H359" s="9">
        <v>1.0</v>
      </c>
      <c r="I359" s="9">
        <v>0.0</v>
      </c>
      <c r="J359" s="17">
        <v>92587.0</v>
      </c>
      <c r="K359" s="18">
        <v>19528.3</v>
      </c>
      <c r="L359" s="17">
        <v>57763.0</v>
      </c>
      <c r="M359" s="18">
        <v>35512.7</v>
      </c>
      <c r="N359" s="18">
        <v>38.5201</v>
      </c>
      <c r="O359" s="18">
        <v>3600.0</v>
      </c>
    </row>
    <row r="360">
      <c r="A360" s="8" t="s">
        <v>547</v>
      </c>
      <c r="B360" s="9">
        <v>30.0</v>
      </c>
      <c r="C360" s="9" t="s">
        <v>460</v>
      </c>
      <c r="D360" s="9">
        <v>75.0</v>
      </c>
      <c r="E360" s="10">
        <v>2.0</v>
      </c>
      <c r="F360" s="9">
        <v>3.0</v>
      </c>
      <c r="G360" s="9">
        <v>0.0</v>
      </c>
      <c r="H360" s="9">
        <v>1.0</v>
      </c>
      <c r="I360" s="9">
        <v>0.0</v>
      </c>
      <c r="J360" s="17">
        <v>58620.0</v>
      </c>
      <c r="K360" s="18">
        <v>16661.1</v>
      </c>
      <c r="L360" s="17">
        <v>48432.0</v>
      </c>
      <c r="M360" s="18">
        <v>36726.7</v>
      </c>
      <c r="N360" s="18">
        <v>24.1685</v>
      </c>
      <c r="O360" s="18">
        <v>3600.0</v>
      </c>
    </row>
    <row r="361">
      <c r="A361" s="8" t="s">
        <v>548</v>
      </c>
      <c r="B361" s="9">
        <v>30.0</v>
      </c>
      <c r="C361" s="9" t="s">
        <v>460</v>
      </c>
      <c r="D361" s="9">
        <v>75.0</v>
      </c>
      <c r="E361" s="10">
        <v>2.0</v>
      </c>
      <c r="F361" s="9">
        <v>4.0</v>
      </c>
      <c r="G361" s="9">
        <v>0.0</v>
      </c>
      <c r="H361" s="9">
        <v>1.0</v>
      </c>
      <c r="I361" s="9">
        <v>0.0</v>
      </c>
      <c r="J361" s="17">
        <v>57465.0</v>
      </c>
      <c r="K361" s="18">
        <v>19425.3</v>
      </c>
      <c r="L361" s="17">
        <v>51539.0</v>
      </c>
      <c r="M361" s="18">
        <v>36115.0</v>
      </c>
      <c r="N361" s="18">
        <v>29.9268</v>
      </c>
      <c r="O361" s="18">
        <v>3600.0</v>
      </c>
    </row>
    <row r="362">
      <c r="A362" s="8" t="s">
        <v>549</v>
      </c>
      <c r="B362" s="9">
        <v>30.0</v>
      </c>
      <c r="C362" s="9" t="s">
        <v>460</v>
      </c>
      <c r="D362" s="9">
        <v>75.0</v>
      </c>
      <c r="E362" s="10">
        <v>2.0</v>
      </c>
      <c r="F362" s="9">
        <v>5.0</v>
      </c>
      <c r="G362" s="9">
        <v>0.0</v>
      </c>
      <c r="H362" s="9">
        <v>1.0</v>
      </c>
      <c r="I362" s="9">
        <v>0.0</v>
      </c>
      <c r="J362" s="17">
        <v>63552.0</v>
      </c>
      <c r="K362" s="18">
        <v>12996.7</v>
      </c>
      <c r="L362" s="17">
        <v>51794.0</v>
      </c>
      <c r="M362" s="18">
        <v>31231.5</v>
      </c>
      <c r="N362" s="18">
        <v>39.7005</v>
      </c>
      <c r="O362" s="18">
        <v>3600.0</v>
      </c>
    </row>
    <row r="363">
      <c r="A363" s="8" t="s">
        <v>550</v>
      </c>
      <c r="B363" s="9">
        <v>35.0</v>
      </c>
      <c r="C363" s="9" t="s">
        <v>460</v>
      </c>
      <c r="D363" s="9">
        <v>25.0</v>
      </c>
      <c r="E363" s="10">
        <v>0.6</v>
      </c>
      <c r="F363" s="9">
        <v>1.0</v>
      </c>
      <c r="G363" s="9">
        <v>0.0</v>
      </c>
      <c r="H363" s="9">
        <v>1.0</v>
      </c>
      <c r="I363" s="9">
        <v>0.0</v>
      </c>
      <c r="J363" s="17">
        <v>-3820.0</v>
      </c>
      <c r="K363" s="18">
        <v>-5053.88</v>
      </c>
      <c r="L363" s="17">
        <v>-4200.0</v>
      </c>
      <c r="M363" s="18">
        <v>-4532.6</v>
      </c>
      <c r="N363" s="18">
        <v>7.91908</v>
      </c>
      <c r="O363" s="18">
        <v>3600.0</v>
      </c>
    </row>
    <row r="364">
      <c r="A364" s="8" t="s">
        <v>551</v>
      </c>
      <c r="B364" s="9">
        <v>35.0</v>
      </c>
      <c r="C364" s="9" t="s">
        <v>460</v>
      </c>
      <c r="D364" s="9">
        <v>25.0</v>
      </c>
      <c r="E364" s="10">
        <v>0.6</v>
      </c>
      <c r="F364" s="9">
        <v>2.0</v>
      </c>
      <c r="G364" s="9">
        <v>0.0</v>
      </c>
      <c r="H364" s="9">
        <v>1.0</v>
      </c>
      <c r="I364" s="9">
        <v>0.0</v>
      </c>
      <c r="J364" s="17">
        <v>-3742.0</v>
      </c>
      <c r="K364" s="18">
        <v>-5423.41</v>
      </c>
      <c r="L364" s="17">
        <v>-4588.0</v>
      </c>
      <c r="M364" s="18">
        <v>-4834.22</v>
      </c>
      <c r="N364" s="18">
        <v>5.36655</v>
      </c>
      <c r="O364" s="18">
        <v>3600.0</v>
      </c>
    </row>
    <row r="365">
      <c r="A365" s="8" t="s">
        <v>552</v>
      </c>
      <c r="B365" s="9">
        <v>35.0</v>
      </c>
      <c r="C365" s="9" t="s">
        <v>460</v>
      </c>
      <c r="D365" s="9">
        <v>25.0</v>
      </c>
      <c r="E365" s="10">
        <v>0.6</v>
      </c>
      <c r="F365" s="9">
        <v>3.0</v>
      </c>
      <c r="G365" s="9">
        <v>1.0</v>
      </c>
      <c r="H365" s="9">
        <v>0.0</v>
      </c>
      <c r="I365" s="9">
        <v>0.0</v>
      </c>
      <c r="J365" s="17">
        <v>-3257.0</v>
      </c>
      <c r="K365" s="18">
        <v>-4617.56</v>
      </c>
      <c r="L365" s="17">
        <v>-4048.0</v>
      </c>
      <c r="M365" s="18">
        <v>-4048.0</v>
      </c>
      <c r="N365" s="18">
        <v>0.0</v>
      </c>
      <c r="O365" s="18">
        <v>2284.24</v>
      </c>
    </row>
    <row r="366">
      <c r="A366" s="8" t="s">
        <v>553</v>
      </c>
      <c r="B366" s="9">
        <v>35.0</v>
      </c>
      <c r="C366" s="9" t="s">
        <v>460</v>
      </c>
      <c r="D366" s="9">
        <v>25.0</v>
      </c>
      <c r="E366" s="10">
        <v>0.6</v>
      </c>
      <c r="F366" s="9">
        <v>4.0</v>
      </c>
      <c r="G366" s="9">
        <v>0.0</v>
      </c>
      <c r="H366" s="9">
        <v>1.0</v>
      </c>
      <c r="I366" s="9">
        <v>0.0</v>
      </c>
      <c r="J366" s="17">
        <v>-3401.0</v>
      </c>
      <c r="K366" s="18">
        <v>-5138.71</v>
      </c>
      <c r="L366" s="17">
        <v>-4320.0</v>
      </c>
      <c r="M366" s="18">
        <v>-4457.35</v>
      </c>
      <c r="N366" s="18">
        <v>3.1793</v>
      </c>
      <c r="O366" s="18">
        <v>3600.0</v>
      </c>
    </row>
    <row r="367">
      <c r="A367" s="8" t="s">
        <v>554</v>
      </c>
      <c r="B367" s="9">
        <v>35.0</v>
      </c>
      <c r="C367" s="9" t="s">
        <v>460</v>
      </c>
      <c r="D367" s="9">
        <v>25.0</v>
      </c>
      <c r="E367" s="10">
        <v>0.6</v>
      </c>
      <c r="F367" s="9">
        <v>5.0</v>
      </c>
      <c r="G367" s="9">
        <v>1.0</v>
      </c>
      <c r="H367" s="9">
        <v>0.0</v>
      </c>
      <c r="I367" s="9">
        <v>0.0</v>
      </c>
      <c r="J367" s="17">
        <v>-3980.0</v>
      </c>
      <c r="K367" s="18">
        <v>-5015.41</v>
      </c>
      <c r="L367" s="17">
        <v>-4487.0</v>
      </c>
      <c r="M367" s="18">
        <v>-4487.0</v>
      </c>
      <c r="N367" s="18">
        <v>0.0</v>
      </c>
      <c r="O367" s="18">
        <v>797.424</v>
      </c>
    </row>
    <row r="368">
      <c r="A368" s="8" t="s">
        <v>555</v>
      </c>
      <c r="B368" s="9">
        <v>35.0</v>
      </c>
      <c r="C368" s="9" t="s">
        <v>460</v>
      </c>
      <c r="D368" s="9">
        <v>25.0</v>
      </c>
      <c r="E368" s="10">
        <v>1.0</v>
      </c>
      <c r="F368" s="9">
        <v>1.0</v>
      </c>
      <c r="G368" s="9">
        <v>0.0</v>
      </c>
      <c r="H368" s="9">
        <v>1.0</v>
      </c>
      <c r="I368" s="9">
        <v>0.0</v>
      </c>
      <c r="J368" s="17">
        <v>-526.0</v>
      </c>
      <c r="K368" s="18">
        <v>-3806.95</v>
      </c>
      <c r="L368" s="17">
        <v>-1622.0</v>
      </c>
      <c r="M368" s="18">
        <v>-3293.2</v>
      </c>
      <c r="N368" s="18">
        <v>103.033</v>
      </c>
      <c r="O368" s="18">
        <v>3600.0</v>
      </c>
    </row>
    <row r="369">
      <c r="A369" s="8" t="s">
        <v>556</v>
      </c>
      <c r="B369" s="9">
        <v>35.0</v>
      </c>
      <c r="C369" s="9" t="s">
        <v>460</v>
      </c>
      <c r="D369" s="9">
        <v>25.0</v>
      </c>
      <c r="E369" s="10">
        <v>1.0</v>
      </c>
      <c r="F369" s="9">
        <v>2.0</v>
      </c>
      <c r="G369" s="9">
        <v>0.0</v>
      </c>
      <c r="H369" s="9">
        <v>1.0</v>
      </c>
      <c r="I369" s="9">
        <v>0.0</v>
      </c>
      <c r="J369" s="17">
        <v>6655.0</v>
      </c>
      <c r="K369" s="18">
        <v>-3947.01</v>
      </c>
      <c r="L369" s="17">
        <v>-1535.0</v>
      </c>
      <c r="M369" s="18">
        <v>-3238.39</v>
      </c>
      <c r="N369" s="18">
        <v>110.97</v>
      </c>
      <c r="O369" s="18">
        <v>3600.0</v>
      </c>
    </row>
    <row r="370">
      <c r="A370" s="8" t="s">
        <v>557</v>
      </c>
      <c r="B370" s="9">
        <v>35.0</v>
      </c>
      <c r="C370" s="9" t="s">
        <v>460</v>
      </c>
      <c r="D370" s="9">
        <v>25.0</v>
      </c>
      <c r="E370" s="10">
        <v>1.0</v>
      </c>
      <c r="F370" s="9">
        <v>3.0</v>
      </c>
      <c r="G370" s="9">
        <v>0.0</v>
      </c>
      <c r="H370" s="9">
        <v>1.0</v>
      </c>
      <c r="I370" s="9">
        <v>0.0</v>
      </c>
      <c r="J370" s="17">
        <v>-974.0</v>
      </c>
      <c r="K370" s="18">
        <v>-3489.7</v>
      </c>
      <c r="L370" s="17">
        <v>-1445.0</v>
      </c>
      <c r="M370" s="18">
        <v>-2954.24</v>
      </c>
      <c r="N370" s="18">
        <v>104.445</v>
      </c>
      <c r="O370" s="18">
        <v>3600.0</v>
      </c>
    </row>
    <row r="371">
      <c r="A371" s="8" t="s">
        <v>558</v>
      </c>
      <c r="B371" s="9">
        <v>35.0</v>
      </c>
      <c r="C371" s="9" t="s">
        <v>460</v>
      </c>
      <c r="D371" s="9">
        <v>25.0</v>
      </c>
      <c r="E371" s="10">
        <v>1.0</v>
      </c>
      <c r="F371" s="9">
        <v>4.0</v>
      </c>
      <c r="G371" s="9">
        <v>0.0</v>
      </c>
      <c r="H371" s="9">
        <v>1.0</v>
      </c>
      <c r="I371" s="9">
        <v>0.0</v>
      </c>
      <c r="J371" s="17">
        <v>-361.0</v>
      </c>
      <c r="K371" s="18">
        <v>-3793.74</v>
      </c>
      <c r="L371" s="17">
        <v>-1564.0</v>
      </c>
      <c r="M371" s="18">
        <v>-3142.61</v>
      </c>
      <c r="N371" s="18">
        <v>100.934</v>
      </c>
      <c r="O371" s="18">
        <v>3600.0</v>
      </c>
    </row>
    <row r="372">
      <c r="A372" s="8" t="s">
        <v>559</v>
      </c>
      <c r="B372" s="9">
        <v>35.0</v>
      </c>
      <c r="C372" s="9" t="s">
        <v>460</v>
      </c>
      <c r="D372" s="9">
        <v>25.0</v>
      </c>
      <c r="E372" s="10">
        <v>1.0</v>
      </c>
      <c r="F372" s="9">
        <v>5.0</v>
      </c>
      <c r="G372" s="9">
        <v>0.0</v>
      </c>
      <c r="H372" s="9">
        <v>1.0</v>
      </c>
      <c r="I372" s="9">
        <v>0.0</v>
      </c>
      <c r="J372" s="17">
        <v>-1556.0</v>
      </c>
      <c r="K372" s="18">
        <v>-3754.43</v>
      </c>
      <c r="L372" s="17">
        <v>-1807.0</v>
      </c>
      <c r="M372" s="18">
        <v>-3128.92</v>
      </c>
      <c r="N372" s="18">
        <v>73.1553</v>
      </c>
      <c r="O372" s="18">
        <v>3600.0</v>
      </c>
    </row>
    <row r="373">
      <c r="A373" s="8" t="s">
        <v>560</v>
      </c>
      <c r="B373" s="9">
        <v>35.0</v>
      </c>
      <c r="C373" s="9" t="s">
        <v>460</v>
      </c>
      <c r="D373" s="9">
        <v>25.0</v>
      </c>
      <c r="E373" s="10">
        <v>2.0</v>
      </c>
      <c r="F373" s="9">
        <v>1.0</v>
      </c>
      <c r="G373" s="9">
        <v>0.0</v>
      </c>
      <c r="H373" s="9">
        <v>1.0</v>
      </c>
      <c r="I373" s="9">
        <v>0.0</v>
      </c>
      <c r="J373" s="17">
        <v>20849.0</v>
      </c>
      <c r="K373" s="18">
        <v>1853.94</v>
      </c>
      <c r="L373" s="17">
        <v>18539.0</v>
      </c>
      <c r="M373" s="18">
        <v>6527.85</v>
      </c>
      <c r="N373" s="18">
        <v>64.7885</v>
      </c>
      <c r="O373" s="18">
        <v>3600.0</v>
      </c>
    </row>
    <row r="374">
      <c r="A374" s="8" t="s">
        <v>561</v>
      </c>
      <c r="B374" s="9">
        <v>35.0</v>
      </c>
      <c r="C374" s="9" t="s">
        <v>460</v>
      </c>
      <c r="D374" s="9">
        <v>25.0</v>
      </c>
      <c r="E374" s="10">
        <v>2.0</v>
      </c>
      <c r="F374" s="9">
        <v>2.0</v>
      </c>
      <c r="G374" s="9">
        <v>0.0</v>
      </c>
      <c r="H374" s="9">
        <v>1.0</v>
      </c>
      <c r="I374" s="9">
        <v>0.0</v>
      </c>
      <c r="J374" s="17">
        <v>23963.0</v>
      </c>
      <c r="K374" s="18">
        <v>3041.48</v>
      </c>
      <c r="L374" s="17">
        <v>21065.0</v>
      </c>
      <c r="M374" s="18">
        <v>8980.89</v>
      </c>
      <c r="N374" s="18">
        <v>57.3658</v>
      </c>
      <c r="O374" s="18">
        <v>3600.0</v>
      </c>
    </row>
    <row r="375">
      <c r="A375" s="8" t="s">
        <v>562</v>
      </c>
      <c r="B375" s="9">
        <v>35.0</v>
      </c>
      <c r="C375" s="9" t="s">
        <v>460</v>
      </c>
      <c r="D375" s="9">
        <v>25.0</v>
      </c>
      <c r="E375" s="10">
        <v>2.0</v>
      </c>
      <c r="F375" s="9">
        <v>3.0</v>
      </c>
      <c r="G375" s="9">
        <v>0.0</v>
      </c>
      <c r="H375" s="9">
        <v>1.0</v>
      </c>
      <c r="I375" s="9">
        <v>0.0</v>
      </c>
      <c r="J375" s="17">
        <v>18054.0</v>
      </c>
      <c r="K375" s="18">
        <v>1751.78</v>
      </c>
      <c r="L375" s="17">
        <v>17101.0</v>
      </c>
      <c r="M375" s="18">
        <v>6613.6</v>
      </c>
      <c r="N375" s="18">
        <v>61.3263</v>
      </c>
      <c r="O375" s="18">
        <v>3600.0</v>
      </c>
    </row>
    <row r="376">
      <c r="A376" s="8" t="s">
        <v>563</v>
      </c>
      <c r="B376" s="9">
        <v>35.0</v>
      </c>
      <c r="C376" s="9" t="s">
        <v>460</v>
      </c>
      <c r="D376" s="9">
        <v>25.0</v>
      </c>
      <c r="E376" s="10">
        <v>2.0</v>
      </c>
      <c r="F376" s="9">
        <v>4.0</v>
      </c>
      <c r="G376" s="9">
        <v>0.0</v>
      </c>
      <c r="H376" s="9">
        <v>1.0</v>
      </c>
      <c r="I376" s="9">
        <v>0.0</v>
      </c>
      <c r="J376" s="17">
        <v>20018.0</v>
      </c>
      <c r="K376" s="18">
        <v>2624.41</v>
      </c>
      <c r="L376" s="17">
        <v>18141.0</v>
      </c>
      <c r="M376" s="18">
        <v>7961.12</v>
      </c>
      <c r="N376" s="18">
        <v>56.1153</v>
      </c>
      <c r="O376" s="18">
        <v>3600.0</v>
      </c>
    </row>
    <row r="377">
      <c r="A377" s="8" t="s">
        <v>564</v>
      </c>
      <c r="B377" s="9">
        <v>35.0</v>
      </c>
      <c r="C377" s="9" t="s">
        <v>460</v>
      </c>
      <c r="D377" s="9">
        <v>25.0</v>
      </c>
      <c r="E377" s="10">
        <v>2.0</v>
      </c>
      <c r="F377" s="9">
        <v>5.0</v>
      </c>
      <c r="G377" s="9">
        <v>0.0</v>
      </c>
      <c r="H377" s="9">
        <v>1.0</v>
      </c>
      <c r="I377" s="9">
        <v>0.0</v>
      </c>
      <c r="J377" s="17">
        <v>18949.0</v>
      </c>
      <c r="K377" s="18">
        <v>2604.7</v>
      </c>
      <c r="L377" s="17">
        <v>16945.0</v>
      </c>
      <c r="M377" s="18">
        <v>7455.27</v>
      </c>
      <c r="N377" s="18">
        <v>56.0032</v>
      </c>
      <c r="O377" s="18">
        <v>3600.0</v>
      </c>
    </row>
    <row r="378">
      <c r="A378" s="8" t="s">
        <v>565</v>
      </c>
      <c r="B378" s="9">
        <v>35.0</v>
      </c>
      <c r="C378" s="9" t="s">
        <v>460</v>
      </c>
      <c r="D378" s="9">
        <v>50.0</v>
      </c>
      <c r="E378" s="10">
        <v>0.6</v>
      </c>
      <c r="F378" s="9">
        <v>1.0</v>
      </c>
      <c r="G378" s="9">
        <v>0.0</v>
      </c>
      <c r="H378" s="9">
        <v>1.0</v>
      </c>
      <c r="I378" s="9">
        <v>0.0</v>
      </c>
      <c r="J378" s="17">
        <v>-5530.0</v>
      </c>
      <c r="K378" s="18">
        <v>-9263.76</v>
      </c>
      <c r="L378" s="17">
        <v>-6273.0</v>
      </c>
      <c r="M378" s="18">
        <v>-8497.12</v>
      </c>
      <c r="N378" s="18">
        <v>35.4554</v>
      </c>
      <c r="O378" s="18">
        <v>3600.0</v>
      </c>
    </row>
    <row r="379">
      <c r="A379" s="8" t="s">
        <v>566</v>
      </c>
      <c r="B379" s="9">
        <v>35.0</v>
      </c>
      <c r="C379" s="9" t="s">
        <v>460</v>
      </c>
      <c r="D379" s="9">
        <v>50.0</v>
      </c>
      <c r="E379" s="10">
        <v>0.6</v>
      </c>
      <c r="F379" s="9">
        <v>2.0</v>
      </c>
      <c r="G379" s="9">
        <v>0.0</v>
      </c>
      <c r="H379" s="9">
        <v>1.0</v>
      </c>
      <c r="I379" s="9">
        <v>0.0</v>
      </c>
      <c r="J379" s="17">
        <v>-5200.0</v>
      </c>
      <c r="K379" s="18">
        <v>-8541.09</v>
      </c>
      <c r="L379" s="17">
        <v>-6011.0</v>
      </c>
      <c r="M379" s="18">
        <v>-7785.37</v>
      </c>
      <c r="N379" s="18">
        <v>29.5187</v>
      </c>
      <c r="O379" s="18">
        <v>3600.0</v>
      </c>
    </row>
    <row r="380">
      <c r="A380" s="8" t="s">
        <v>567</v>
      </c>
      <c r="B380" s="9">
        <v>35.0</v>
      </c>
      <c r="C380" s="9" t="s">
        <v>460</v>
      </c>
      <c r="D380" s="9">
        <v>50.0</v>
      </c>
      <c r="E380" s="10">
        <v>0.6</v>
      </c>
      <c r="F380" s="9">
        <v>3.0</v>
      </c>
      <c r="G380" s="9">
        <v>0.0</v>
      </c>
      <c r="H380" s="9">
        <v>1.0</v>
      </c>
      <c r="I380" s="9">
        <v>0.0</v>
      </c>
      <c r="J380" s="17">
        <v>-5043.0</v>
      </c>
      <c r="K380" s="18">
        <v>-9525.06</v>
      </c>
      <c r="L380" s="17">
        <v>-6704.0</v>
      </c>
      <c r="M380" s="18">
        <v>-8743.29</v>
      </c>
      <c r="N380" s="18">
        <v>30.419</v>
      </c>
      <c r="O380" s="18">
        <v>3600.0</v>
      </c>
    </row>
    <row r="381">
      <c r="A381" s="8" t="s">
        <v>568</v>
      </c>
      <c r="B381" s="9">
        <v>35.0</v>
      </c>
      <c r="C381" s="9" t="s">
        <v>460</v>
      </c>
      <c r="D381" s="9">
        <v>50.0</v>
      </c>
      <c r="E381" s="10">
        <v>0.6</v>
      </c>
      <c r="F381" s="9">
        <v>4.0</v>
      </c>
      <c r="G381" s="9">
        <v>0.0</v>
      </c>
      <c r="H381" s="9">
        <v>1.0</v>
      </c>
      <c r="I381" s="9">
        <v>0.0</v>
      </c>
      <c r="J381" s="17">
        <v>-5861.0</v>
      </c>
      <c r="K381" s="18">
        <v>-9245.06</v>
      </c>
      <c r="L381" s="17">
        <v>-6643.0</v>
      </c>
      <c r="M381" s="18">
        <v>-8462.67</v>
      </c>
      <c r="N381" s="18">
        <v>27.3923</v>
      </c>
      <c r="O381" s="18">
        <v>3600.0</v>
      </c>
    </row>
    <row r="382">
      <c r="A382" s="8" t="s">
        <v>569</v>
      </c>
      <c r="B382" s="9">
        <v>35.0</v>
      </c>
      <c r="C382" s="9" t="s">
        <v>460</v>
      </c>
      <c r="D382" s="9">
        <v>50.0</v>
      </c>
      <c r="E382" s="10">
        <v>0.6</v>
      </c>
      <c r="F382" s="9">
        <v>5.0</v>
      </c>
      <c r="G382" s="9">
        <v>0.0</v>
      </c>
      <c r="H382" s="9">
        <v>1.0</v>
      </c>
      <c r="I382" s="9">
        <v>0.0</v>
      </c>
      <c r="J382" s="17">
        <v>-5087.0</v>
      </c>
      <c r="K382" s="18">
        <v>-9882.12</v>
      </c>
      <c r="L382" s="17">
        <v>-6524.0</v>
      </c>
      <c r="M382" s="18">
        <v>-8907.23</v>
      </c>
      <c r="N382" s="18">
        <v>36.5303</v>
      </c>
      <c r="O382" s="18">
        <v>3600.0</v>
      </c>
    </row>
    <row r="383">
      <c r="A383" s="8" t="s">
        <v>570</v>
      </c>
      <c r="B383" s="9">
        <v>35.0</v>
      </c>
      <c r="C383" s="9" t="s">
        <v>460</v>
      </c>
      <c r="D383" s="9">
        <v>50.0</v>
      </c>
      <c r="E383" s="10">
        <v>1.0</v>
      </c>
      <c r="F383" s="9">
        <v>1.0</v>
      </c>
      <c r="G383" s="9">
        <v>0.0</v>
      </c>
      <c r="H383" s="9">
        <v>1.0</v>
      </c>
      <c r="I383" s="9">
        <v>0.0</v>
      </c>
      <c r="J383" s="17">
        <v>-299.0</v>
      </c>
      <c r="K383" s="18">
        <v>-6399.49</v>
      </c>
      <c r="L383" s="17">
        <v>-1627.0</v>
      </c>
      <c r="M383" s="18">
        <v>-5362.06</v>
      </c>
      <c r="N383" s="18">
        <v>229.567</v>
      </c>
      <c r="O383" s="18">
        <v>3600.0</v>
      </c>
    </row>
    <row r="384">
      <c r="A384" s="8" t="s">
        <v>571</v>
      </c>
      <c r="B384" s="9">
        <v>35.0</v>
      </c>
      <c r="C384" s="9" t="s">
        <v>460</v>
      </c>
      <c r="D384" s="9">
        <v>50.0</v>
      </c>
      <c r="E384" s="10">
        <v>1.0</v>
      </c>
      <c r="F384" s="9">
        <v>2.0</v>
      </c>
      <c r="G384" s="9">
        <v>0.0</v>
      </c>
      <c r="H384" s="9">
        <v>1.0</v>
      </c>
      <c r="I384" s="9">
        <v>0.0</v>
      </c>
      <c r="J384" s="17">
        <v>-635.0</v>
      </c>
      <c r="K384" s="18">
        <v>-5911.63</v>
      </c>
      <c r="L384" s="17">
        <v>-1468.0</v>
      </c>
      <c r="M384" s="18">
        <v>-5057.38</v>
      </c>
      <c r="N384" s="18">
        <v>244.508</v>
      </c>
      <c r="O384" s="18">
        <v>3600.0</v>
      </c>
    </row>
    <row r="385">
      <c r="A385" s="8" t="s">
        <v>572</v>
      </c>
      <c r="B385" s="9">
        <v>35.0</v>
      </c>
      <c r="C385" s="9" t="s">
        <v>460</v>
      </c>
      <c r="D385" s="9">
        <v>50.0</v>
      </c>
      <c r="E385" s="10">
        <v>1.0</v>
      </c>
      <c r="F385" s="9">
        <v>3.0</v>
      </c>
      <c r="G385" s="9">
        <v>0.0</v>
      </c>
      <c r="H385" s="9">
        <v>1.0</v>
      </c>
      <c r="I385" s="9">
        <v>0.0</v>
      </c>
      <c r="J385" s="17">
        <v>6996.0</v>
      </c>
      <c r="K385" s="18">
        <v>-6473.87</v>
      </c>
      <c r="L385" s="17">
        <v>-1653.0</v>
      </c>
      <c r="M385" s="18">
        <v>-5500.83</v>
      </c>
      <c r="N385" s="18">
        <v>232.778</v>
      </c>
      <c r="O385" s="18">
        <v>3600.0</v>
      </c>
    </row>
    <row r="386">
      <c r="A386" s="8" t="s">
        <v>573</v>
      </c>
      <c r="B386" s="9">
        <v>35.0</v>
      </c>
      <c r="C386" s="9" t="s">
        <v>460</v>
      </c>
      <c r="D386" s="9">
        <v>50.0</v>
      </c>
      <c r="E386" s="10">
        <v>1.0</v>
      </c>
      <c r="F386" s="9">
        <v>4.0</v>
      </c>
      <c r="G386" s="9">
        <v>0.0</v>
      </c>
      <c r="H386" s="9">
        <v>1.0</v>
      </c>
      <c r="I386" s="9">
        <v>0.0</v>
      </c>
      <c r="J386" s="17">
        <v>-823.0</v>
      </c>
      <c r="K386" s="18">
        <v>-6257.9</v>
      </c>
      <c r="L386" s="17">
        <v>-1691.0</v>
      </c>
      <c r="M386" s="18">
        <v>-5182.77</v>
      </c>
      <c r="N386" s="18">
        <v>206.491</v>
      </c>
      <c r="O386" s="18">
        <v>3600.0</v>
      </c>
    </row>
    <row r="387">
      <c r="A387" s="8" t="s">
        <v>574</v>
      </c>
      <c r="B387" s="9">
        <v>35.0</v>
      </c>
      <c r="C387" s="9" t="s">
        <v>460</v>
      </c>
      <c r="D387" s="9">
        <v>50.0</v>
      </c>
      <c r="E387" s="10">
        <v>1.0</v>
      </c>
      <c r="F387" s="9">
        <v>5.0</v>
      </c>
      <c r="G387" s="9">
        <v>0.0</v>
      </c>
      <c r="H387" s="9">
        <v>1.0</v>
      </c>
      <c r="I387" s="9">
        <v>0.0</v>
      </c>
      <c r="J387" s="17">
        <v>1990.0</v>
      </c>
      <c r="K387" s="18">
        <v>-6774.42</v>
      </c>
      <c r="L387" s="17">
        <v>-2066.0</v>
      </c>
      <c r="M387" s="18">
        <v>-5663.19</v>
      </c>
      <c r="N387" s="18">
        <v>174.114</v>
      </c>
      <c r="O387" s="18">
        <v>3600.0</v>
      </c>
    </row>
    <row r="388">
      <c r="A388" s="8" t="s">
        <v>575</v>
      </c>
      <c r="B388" s="9">
        <v>35.0</v>
      </c>
      <c r="C388" s="9" t="s">
        <v>460</v>
      </c>
      <c r="D388" s="9">
        <v>50.0</v>
      </c>
      <c r="E388" s="10">
        <v>2.0</v>
      </c>
      <c r="F388" s="9">
        <v>1.0</v>
      </c>
      <c r="G388" s="9">
        <v>0.0</v>
      </c>
      <c r="H388" s="9">
        <v>1.0</v>
      </c>
      <c r="I388" s="9">
        <v>0.0</v>
      </c>
      <c r="J388" s="17">
        <v>43669.0</v>
      </c>
      <c r="K388" s="18">
        <v>7196.4</v>
      </c>
      <c r="L388" s="17">
        <v>38803.0</v>
      </c>
      <c r="M388" s="18">
        <v>15049.3</v>
      </c>
      <c r="N388" s="18">
        <v>61.2162</v>
      </c>
      <c r="O388" s="18">
        <v>3600.0</v>
      </c>
    </row>
    <row r="389">
      <c r="A389" s="8" t="s">
        <v>576</v>
      </c>
      <c r="B389" s="9">
        <v>35.0</v>
      </c>
      <c r="C389" s="9" t="s">
        <v>460</v>
      </c>
      <c r="D389" s="9">
        <v>50.0</v>
      </c>
      <c r="E389" s="10">
        <v>2.0</v>
      </c>
      <c r="F389" s="9">
        <v>2.0</v>
      </c>
      <c r="G389" s="9">
        <v>0.0</v>
      </c>
      <c r="H389" s="9">
        <v>1.0</v>
      </c>
      <c r="I389" s="9">
        <v>0.0</v>
      </c>
      <c r="J389" s="17">
        <v>37519.0</v>
      </c>
      <c r="K389" s="18">
        <v>6388.87</v>
      </c>
      <c r="L389" s="17">
        <v>36855.0</v>
      </c>
      <c r="M389" s="18">
        <v>13700.3</v>
      </c>
      <c r="N389" s="18">
        <v>62.8266</v>
      </c>
      <c r="O389" s="18">
        <v>3600.0</v>
      </c>
    </row>
    <row r="390">
      <c r="A390" s="8" t="s">
        <v>577</v>
      </c>
      <c r="B390" s="9">
        <v>35.0</v>
      </c>
      <c r="C390" s="9" t="s">
        <v>460</v>
      </c>
      <c r="D390" s="9">
        <v>50.0</v>
      </c>
      <c r="E390" s="10">
        <v>2.0</v>
      </c>
      <c r="F390" s="9">
        <v>3.0</v>
      </c>
      <c r="G390" s="9">
        <v>0.0</v>
      </c>
      <c r="H390" s="9">
        <v>1.0</v>
      </c>
      <c r="I390" s="9">
        <v>0.0</v>
      </c>
      <c r="J390" s="17">
        <v>41540.0</v>
      </c>
      <c r="K390" s="18">
        <v>8609.89</v>
      </c>
      <c r="L390" s="17">
        <v>37399.0</v>
      </c>
      <c r="M390" s="18">
        <v>15294.3</v>
      </c>
      <c r="N390" s="18">
        <v>59.1052</v>
      </c>
      <c r="O390" s="18">
        <v>3600.0</v>
      </c>
    </row>
    <row r="391">
      <c r="A391" s="8" t="s">
        <v>578</v>
      </c>
      <c r="B391" s="9">
        <v>35.0</v>
      </c>
      <c r="C391" s="9" t="s">
        <v>460</v>
      </c>
      <c r="D391" s="9">
        <v>50.0</v>
      </c>
      <c r="E391" s="10">
        <v>2.0</v>
      </c>
      <c r="F391" s="9">
        <v>4.0</v>
      </c>
      <c r="G391" s="9">
        <v>0.0</v>
      </c>
      <c r="H391" s="9">
        <v>1.0</v>
      </c>
      <c r="I391" s="9">
        <v>0.0</v>
      </c>
      <c r="J391" s="17">
        <v>40731.0</v>
      </c>
      <c r="K391" s="18">
        <v>6637.74</v>
      </c>
      <c r="L391" s="17">
        <v>40117.0</v>
      </c>
      <c r="M391" s="18">
        <v>16221.8</v>
      </c>
      <c r="N391" s="18">
        <v>59.5639</v>
      </c>
      <c r="O391" s="18">
        <v>3600.0</v>
      </c>
    </row>
    <row r="392">
      <c r="A392" s="8" t="s">
        <v>579</v>
      </c>
      <c r="B392" s="9">
        <v>35.0</v>
      </c>
      <c r="C392" s="9" t="s">
        <v>460</v>
      </c>
      <c r="D392" s="9">
        <v>50.0</v>
      </c>
      <c r="E392" s="10">
        <v>2.0</v>
      </c>
      <c r="F392" s="9">
        <v>5.0</v>
      </c>
      <c r="G392" s="9">
        <v>0.0</v>
      </c>
      <c r="H392" s="9">
        <v>1.0</v>
      </c>
      <c r="I392" s="9">
        <v>0.0</v>
      </c>
      <c r="J392" s="17">
        <v>38231.0</v>
      </c>
      <c r="K392" s="18">
        <v>14939.7</v>
      </c>
      <c r="L392" s="17">
        <v>35417.0</v>
      </c>
      <c r="M392" s="18">
        <v>22143.1</v>
      </c>
      <c r="N392" s="18">
        <v>37.4788</v>
      </c>
      <c r="O392" s="18">
        <v>3600.0</v>
      </c>
    </row>
    <row r="393">
      <c r="A393" s="8" t="s">
        <v>580</v>
      </c>
      <c r="B393" s="9">
        <v>35.0</v>
      </c>
      <c r="C393" s="9" t="s">
        <v>460</v>
      </c>
      <c r="D393" s="9">
        <v>75.0</v>
      </c>
      <c r="E393" s="10">
        <v>0.6</v>
      </c>
      <c r="F393" s="9">
        <v>1.0</v>
      </c>
      <c r="G393" s="9">
        <v>0.0</v>
      </c>
      <c r="H393" s="9">
        <v>1.0</v>
      </c>
      <c r="I393" s="9">
        <v>0.0</v>
      </c>
      <c r="J393" s="17">
        <v>-7005.0</v>
      </c>
      <c r="K393" s="18">
        <v>-13164.7</v>
      </c>
      <c r="L393" s="17">
        <v>-8346.0</v>
      </c>
      <c r="M393" s="18">
        <v>-12297.8</v>
      </c>
      <c r="N393" s="18">
        <v>47.3498</v>
      </c>
      <c r="O393" s="18">
        <v>3600.0</v>
      </c>
    </row>
    <row r="394">
      <c r="A394" s="8" t="s">
        <v>581</v>
      </c>
      <c r="B394" s="9">
        <v>35.0</v>
      </c>
      <c r="C394" s="9" t="s">
        <v>460</v>
      </c>
      <c r="D394" s="9">
        <v>75.0</v>
      </c>
      <c r="E394" s="10">
        <v>0.6</v>
      </c>
      <c r="F394" s="9">
        <v>2.0</v>
      </c>
      <c r="G394" s="9">
        <v>0.0</v>
      </c>
      <c r="H394" s="9">
        <v>1.0</v>
      </c>
      <c r="I394" s="9">
        <v>0.0</v>
      </c>
      <c r="J394" s="17">
        <v>-7275.0</v>
      </c>
      <c r="K394" s="18">
        <v>-12921.0</v>
      </c>
      <c r="L394" s="17">
        <v>-8396.0</v>
      </c>
      <c r="M394" s="18">
        <v>-11766.5</v>
      </c>
      <c r="N394" s="18">
        <v>40.1439</v>
      </c>
      <c r="O394" s="18">
        <v>3600.0</v>
      </c>
    </row>
    <row r="395">
      <c r="A395" s="8" t="s">
        <v>582</v>
      </c>
      <c r="B395" s="9">
        <v>35.0</v>
      </c>
      <c r="C395" s="9" t="s">
        <v>460</v>
      </c>
      <c r="D395" s="9">
        <v>75.0</v>
      </c>
      <c r="E395" s="10">
        <v>0.6</v>
      </c>
      <c r="F395" s="9">
        <v>3.0</v>
      </c>
      <c r="G395" s="9">
        <v>0.0</v>
      </c>
      <c r="H395" s="9">
        <v>1.0</v>
      </c>
      <c r="I395" s="9">
        <v>0.0</v>
      </c>
      <c r="J395" s="17">
        <v>-7909.0</v>
      </c>
      <c r="K395" s="18">
        <v>-12284.5</v>
      </c>
      <c r="L395" s="17">
        <v>-8103.0</v>
      </c>
      <c r="M395" s="18">
        <v>-11246.2</v>
      </c>
      <c r="N395" s="18">
        <v>38.7911</v>
      </c>
      <c r="O395" s="18">
        <v>3600.0</v>
      </c>
    </row>
    <row r="396">
      <c r="A396" s="8" t="s">
        <v>583</v>
      </c>
      <c r="B396" s="9">
        <v>35.0</v>
      </c>
      <c r="C396" s="9" t="s">
        <v>460</v>
      </c>
      <c r="D396" s="9">
        <v>75.0</v>
      </c>
      <c r="E396" s="10">
        <v>0.6</v>
      </c>
      <c r="F396" s="9">
        <v>4.0</v>
      </c>
      <c r="G396" s="9">
        <v>0.0</v>
      </c>
      <c r="H396" s="9">
        <v>1.0</v>
      </c>
      <c r="I396" s="9">
        <v>0.0</v>
      </c>
      <c r="J396" s="17">
        <v>-7531.0</v>
      </c>
      <c r="K396" s="18">
        <v>-13309.6</v>
      </c>
      <c r="L396" s="17">
        <v>-8855.0</v>
      </c>
      <c r="M396" s="18">
        <v>-12152.7</v>
      </c>
      <c r="N396" s="18">
        <v>37.241</v>
      </c>
      <c r="O396" s="18">
        <v>3600.0</v>
      </c>
    </row>
    <row r="397">
      <c r="A397" s="8" t="s">
        <v>584</v>
      </c>
      <c r="B397" s="9">
        <v>35.0</v>
      </c>
      <c r="C397" s="9" t="s">
        <v>460</v>
      </c>
      <c r="D397" s="9">
        <v>75.0</v>
      </c>
      <c r="E397" s="10">
        <v>0.6</v>
      </c>
      <c r="F397" s="9">
        <v>5.0</v>
      </c>
      <c r="G397" s="9">
        <v>0.0</v>
      </c>
      <c r="H397" s="9">
        <v>1.0</v>
      </c>
      <c r="I397" s="9">
        <v>0.0</v>
      </c>
      <c r="J397" s="17">
        <v>-6816.0</v>
      </c>
      <c r="K397" s="18">
        <v>-13949.7</v>
      </c>
      <c r="L397" s="17">
        <v>-9189.0</v>
      </c>
      <c r="M397" s="18">
        <v>-12629.4</v>
      </c>
      <c r="N397" s="18">
        <v>37.4399</v>
      </c>
      <c r="O397" s="18">
        <v>3600.0</v>
      </c>
    </row>
    <row r="398">
      <c r="A398" s="8" t="s">
        <v>585</v>
      </c>
      <c r="B398" s="9">
        <v>35.0</v>
      </c>
      <c r="C398" s="9" t="s">
        <v>460</v>
      </c>
      <c r="D398" s="9">
        <v>75.0</v>
      </c>
      <c r="E398" s="10">
        <v>1.0</v>
      </c>
      <c r="F398" s="9">
        <v>1.0</v>
      </c>
      <c r="G398" s="9">
        <v>0.0</v>
      </c>
      <c r="H398" s="9">
        <v>1.0</v>
      </c>
      <c r="I398" s="9">
        <v>0.0</v>
      </c>
      <c r="J398" s="17">
        <v>8120.0</v>
      </c>
      <c r="K398" s="18">
        <v>-8500.65</v>
      </c>
      <c r="L398" s="17">
        <v>-1618.0</v>
      </c>
      <c r="M398" s="18">
        <v>-7341.32</v>
      </c>
      <c r="N398" s="18">
        <v>353.728</v>
      </c>
      <c r="O398" s="18">
        <v>3600.0</v>
      </c>
    </row>
    <row r="399">
      <c r="A399" s="8" t="s">
        <v>586</v>
      </c>
      <c r="B399" s="9">
        <v>35.0</v>
      </c>
      <c r="C399" s="9" t="s">
        <v>460</v>
      </c>
      <c r="D399" s="9">
        <v>75.0</v>
      </c>
      <c r="E399" s="10">
        <v>1.0</v>
      </c>
      <c r="F399" s="9">
        <v>2.0</v>
      </c>
      <c r="G399" s="9">
        <v>0.0</v>
      </c>
      <c r="H399" s="9">
        <v>1.0</v>
      </c>
      <c r="I399" s="9">
        <v>0.0</v>
      </c>
      <c r="J399" s="17">
        <v>4545.0</v>
      </c>
      <c r="K399" s="18">
        <v>-8304.64</v>
      </c>
      <c r="L399" s="17">
        <v>-942.0</v>
      </c>
      <c r="M399" s="18">
        <v>-7059.79</v>
      </c>
      <c r="N399" s="18">
        <v>649.447</v>
      </c>
      <c r="O399" s="18">
        <v>3600.0</v>
      </c>
    </row>
    <row r="400">
      <c r="A400" s="8" t="s">
        <v>587</v>
      </c>
      <c r="B400" s="9">
        <v>35.0</v>
      </c>
      <c r="C400" s="9" t="s">
        <v>460</v>
      </c>
      <c r="D400" s="9">
        <v>75.0</v>
      </c>
      <c r="E400" s="10">
        <v>1.0</v>
      </c>
      <c r="F400" s="9">
        <v>3.0</v>
      </c>
      <c r="G400" s="9">
        <v>0.0</v>
      </c>
      <c r="H400" s="9">
        <v>1.0</v>
      </c>
      <c r="I400" s="9">
        <v>0.0</v>
      </c>
      <c r="J400" s="17">
        <v>12296.0</v>
      </c>
      <c r="K400" s="18">
        <v>-7946.98</v>
      </c>
      <c r="L400" s="17">
        <v>-1590.0</v>
      </c>
      <c r="M400" s="18">
        <v>-6665.13</v>
      </c>
      <c r="N400" s="18">
        <v>319.191</v>
      </c>
      <c r="O400" s="18">
        <v>3600.0</v>
      </c>
    </row>
    <row r="401">
      <c r="A401" s="8" t="s">
        <v>588</v>
      </c>
      <c r="B401" s="9">
        <v>35.0</v>
      </c>
      <c r="C401" s="9" t="s">
        <v>460</v>
      </c>
      <c r="D401" s="9">
        <v>75.0</v>
      </c>
      <c r="E401" s="10">
        <v>1.0</v>
      </c>
      <c r="F401" s="9">
        <v>4.0</v>
      </c>
      <c r="G401" s="9">
        <v>0.0</v>
      </c>
      <c r="H401" s="9">
        <v>1.0</v>
      </c>
      <c r="I401" s="9">
        <v>0.0</v>
      </c>
      <c r="J401" s="17">
        <v>-230.0</v>
      </c>
      <c r="K401" s="18">
        <v>-8555.32</v>
      </c>
      <c r="L401" s="17">
        <v>-1284.0</v>
      </c>
      <c r="M401" s="18">
        <v>-7030.51</v>
      </c>
      <c r="N401" s="18">
        <v>447.547</v>
      </c>
      <c r="O401" s="18">
        <v>3600.0</v>
      </c>
    </row>
    <row r="402">
      <c r="A402" s="8" t="s">
        <v>589</v>
      </c>
      <c r="B402" s="9">
        <v>35.0</v>
      </c>
      <c r="C402" s="9" t="s">
        <v>460</v>
      </c>
      <c r="D402" s="9">
        <v>75.0</v>
      </c>
      <c r="E402" s="10">
        <v>1.0</v>
      </c>
      <c r="F402" s="9">
        <v>5.0</v>
      </c>
      <c r="G402" s="9">
        <v>0.0</v>
      </c>
      <c r="H402" s="9">
        <v>1.0</v>
      </c>
      <c r="I402" s="9">
        <v>0.0</v>
      </c>
      <c r="J402" s="17">
        <v>8568.0</v>
      </c>
      <c r="K402" s="18">
        <v>-8751.37</v>
      </c>
      <c r="L402" s="17">
        <v>-1478.0</v>
      </c>
      <c r="M402" s="18">
        <v>-7382.21</v>
      </c>
      <c r="N402" s="18">
        <v>399.473</v>
      </c>
      <c r="O402" s="18">
        <v>3600.0</v>
      </c>
    </row>
    <row r="403">
      <c r="A403" s="8" t="s">
        <v>590</v>
      </c>
      <c r="B403" s="9">
        <v>35.0</v>
      </c>
      <c r="C403" s="9" t="s">
        <v>460</v>
      </c>
      <c r="D403" s="9">
        <v>75.0</v>
      </c>
      <c r="E403" s="10">
        <v>2.0</v>
      </c>
      <c r="F403" s="9">
        <v>1.0</v>
      </c>
      <c r="G403" s="9">
        <v>0.0</v>
      </c>
      <c r="H403" s="9">
        <v>1.0</v>
      </c>
      <c r="I403" s="9">
        <v>0.0</v>
      </c>
      <c r="J403" s="17">
        <v>61776.0</v>
      </c>
      <c r="K403" s="18">
        <v>12160.3</v>
      </c>
      <c r="L403" s="17">
        <v>60680.0</v>
      </c>
      <c r="M403" s="18">
        <v>24689.9</v>
      </c>
      <c r="N403" s="18">
        <v>59.3113</v>
      </c>
      <c r="O403" s="18">
        <v>3600.0</v>
      </c>
    </row>
    <row r="404">
      <c r="A404" s="8" t="s">
        <v>591</v>
      </c>
      <c r="B404" s="9">
        <v>35.0</v>
      </c>
      <c r="C404" s="9" t="s">
        <v>460</v>
      </c>
      <c r="D404" s="9">
        <v>75.0</v>
      </c>
      <c r="E404" s="10">
        <v>2.0</v>
      </c>
      <c r="F404" s="9">
        <v>2.0</v>
      </c>
      <c r="G404" s="9">
        <v>0.0</v>
      </c>
      <c r="H404" s="9">
        <v>1.0</v>
      </c>
      <c r="I404" s="9">
        <v>0.0</v>
      </c>
      <c r="J404" s="17">
        <v>60704.0</v>
      </c>
      <c r="K404" s="18">
        <v>9055.01</v>
      </c>
      <c r="L404" s="17">
        <v>59960.0</v>
      </c>
      <c r="M404" s="18">
        <v>19703.1</v>
      </c>
      <c r="N404" s="18">
        <v>67.1396</v>
      </c>
      <c r="O404" s="18">
        <v>3600.0</v>
      </c>
    </row>
    <row r="405">
      <c r="A405" s="8" t="s">
        <v>592</v>
      </c>
      <c r="B405" s="9">
        <v>35.0</v>
      </c>
      <c r="C405" s="9" t="s">
        <v>460</v>
      </c>
      <c r="D405" s="9">
        <v>75.0</v>
      </c>
      <c r="E405" s="10">
        <v>2.0</v>
      </c>
      <c r="F405" s="9">
        <v>3.0</v>
      </c>
      <c r="G405" s="9">
        <v>0.0</v>
      </c>
      <c r="H405" s="9">
        <v>1.0</v>
      </c>
      <c r="I405" s="9">
        <v>0.0</v>
      </c>
      <c r="J405" s="17">
        <v>56319.0</v>
      </c>
      <c r="K405" s="18">
        <v>8364.44</v>
      </c>
      <c r="L405" s="17">
        <v>55520.0</v>
      </c>
      <c r="M405" s="18">
        <v>22047.7</v>
      </c>
      <c r="N405" s="18">
        <v>60.2887</v>
      </c>
      <c r="O405" s="18">
        <v>3600.0</v>
      </c>
    </row>
    <row r="406">
      <c r="A406" s="8" t="s">
        <v>593</v>
      </c>
      <c r="B406" s="9">
        <v>35.0</v>
      </c>
      <c r="C406" s="9" t="s">
        <v>460</v>
      </c>
      <c r="D406" s="9">
        <v>75.0</v>
      </c>
      <c r="E406" s="10">
        <v>2.0</v>
      </c>
      <c r="F406" s="9">
        <v>4.0</v>
      </c>
      <c r="G406" s="9">
        <v>0.0</v>
      </c>
      <c r="H406" s="9">
        <v>1.0</v>
      </c>
      <c r="I406" s="9">
        <v>0.0</v>
      </c>
      <c r="J406" s="17">
        <v>61462.0</v>
      </c>
      <c r="K406" s="18">
        <v>10031.3</v>
      </c>
      <c r="L406" s="17">
        <v>60902.0</v>
      </c>
      <c r="M406" s="18">
        <v>21860.7</v>
      </c>
      <c r="N406" s="18">
        <v>64.1052</v>
      </c>
      <c r="O406" s="18">
        <v>3600.0</v>
      </c>
    </row>
    <row r="407" ht="15.75" customHeight="1">
      <c r="A407" s="8" t="s">
        <v>594</v>
      </c>
      <c r="B407" s="9">
        <v>35.0</v>
      </c>
      <c r="C407" s="9" t="s">
        <v>460</v>
      </c>
      <c r="D407" s="9">
        <v>75.0</v>
      </c>
      <c r="E407" s="10">
        <v>2.0</v>
      </c>
      <c r="F407" s="9">
        <v>5.0</v>
      </c>
      <c r="G407" s="9">
        <v>0.0</v>
      </c>
      <c r="H407" s="9">
        <v>1.0</v>
      </c>
      <c r="I407" s="9">
        <v>0.0</v>
      </c>
      <c r="J407" s="17">
        <v>63773.0</v>
      </c>
      <c r="K407" s="18">
        <v>9251.91</v>
      </c>
      <c r="L407" s="17">
        <v>58247.0</v>
      </c>
      <c r="M407" s="18">
        <v>24713.3</v>
      </c>
      <c r="N407" s="18">
        <v>57.5716</v>
      </c>
      <c r="O407" s="18">
        <v>3600.0</v>
      </c>
    </row>
    <row r="408">
      <c r="B408" s="11"/>
      <c r="C408" s="11"/>
      <c r="D408" s="11"/>
      <c r="E408" s="15"/>
      <c r="F408" s="11"/>
      <c r="G408" s="11"/>
      <c r="H408" s="11"/>
      <c r="I408" s="11"/>
      <c r="J408" s="12"/>
      <c r="K408" s="13"/>
      <c r="L408" s="12"/>
      <c r="M408" s="13"/>
      <c r="N408" s="13"/>
      <c r="O408" s="13"/>
    </row>
    <row r="409">
      <c r="B409" s="11"/>
      <c r="C409" s="11"/>
      <c r="D409" s="11"/>
      <c r="E409" s="15"/>
      <c r="F409" s="11"/>
      <c r="G409" s="11"/>
      <c r="H409" s="11"/>
      <c r="I409" s="11"/>
      <c r="J409" s="12"/>
      <c r="K409" s="13"/>
      <c r="L409" s="12"/>
      <c r="M409" s="13"/>
      <c r="N409" s="13"/>
      <c r="O409" s="13"/>
    </row>
    <row r="410">
      <c r="B410" s="11"/>
      <c r="C410" s="11"/>
      <c r="D410" s="11"/>
      <c r="E410" s="15"/>
      <c r="F410" s="11"/>
      <c r="G410" s="11"/>
      <c r="H410" s="11"/>
      <c r="I410" s="11"/>
      <c r="J410" s="12"/>
      <c r="K410" s="13"/>
      <c r="L410" s="12"/>
      <c r="M410" s="13"/>
      <c r="N410" s="13"/>
      <c r="O410" s="13"/>
    </row>
    <row r="411">
      <c r="B411" s="11"/>
      <c r="C411" s="11"/>
      <c r="D411" s="11"/>
      <c r="E411" s="15"/>
      <c r="F411" s="11"/>
      <c r="G411" s="11"/>
      <c r="H411" s="11"/>
      <c r="I411" s="11"/>
      <c r="J411" s="12"/>
      <c r="K411" s="13"/>
      <c r="L411" s="12"/>
      <c r="M411" s="13"/>
      <c r="N411" s="13"/>
      <c r="O411" s="13"/>
    </row>
    <row r="412">
      <c r="B412" s="11"/>
      <c r="C412" s="11"/>
      <c r="D412" s="11"/>
      <c r="E412" s="15"/>
      <c r="F412" s="11"/>
      <c r="G412" s="11"/>
      <c r="H412" s="11"/>
      <c r="I412" s="11"/>
      <c r="J412" s="12"/>
      <c r="K412" s="13"/>
      <c r="L412" s="12"/>
      <c r="M412" s="13"/>
      <c r="N412" s="13"/>
      <c r="O412" s="13"/>
    </row>
    <row r="413">
      <c r="B413" s="11"/>
      <c r="C413" s="11"/>
      <c r="D413" s="11"/>
      <c r="E413" s="15"/>
      <c r="F413" s="11"/>
      <c r="G413" s="11"/>
      <c r="H413" s="11"/>
      <c r="I413" s="11"/>
      <c r="J413" s="12"/>
      <c r="K413" s="13"/>
      <c r="L413" s="12"/>
      <c r="M413" s="13"/>
      <c r="N413" s="13"/>
      <c r="O413" s="13"/>
    </row>
    <row r="414">
      <c r="B414" s="11"/>
      <c r="C414" s="11"/>
      <c r="D414" s="11"/>
      <c r="E414" s="15"/>
      <c r="F414" s="11"/>
      <c r="G414" s="11"/>
      <c r="H414" s="11"/>
      <c r="I414" s="11"/>
      <c r="J414" s="12"/>
      <c r="K414" s="13"/>
      <c r="L414" s="12"/>
      <c r="M414" s="13"/>
      <c r="N414" s="13"/>
      <c r="O414" s="13"/>
    </row>
    <row r="415">
      <c r="B415" s="11"/>
      <c r="C415" s="11"/>
      <c r="D415" s="11"/>
      <c r="E415" s="15"/>
      <c r="F415" s="11"/>
      <c r="G415" s="11"/>
      <c r="H415" s="11"/>
      <c r="I415" s="11"/>
      <c r="J415" s="12"/>
      <c r="K415" s="13"/>
      <c r="L415" s="12"/>
      <c r="M415" s="13"/>
      <c r="N415" s="13"/>
      <c r="O415" s="13"/>
    </row>
    <row r="416">
      <c r="B416" s="11"/>
      <c r="C416" s="11"/>
      <c r="D416" s="11"/>
      <c r="E416" s="15"/>
      <c r="F416" s="11"/>
      <c r="G416" s="11"/>
      <c r="H416" s="11"/>
      <c r="I416" s="11"/>
      <c r="J416" s="12"/>
      <c r="K416" s="13"/>
      <c r="L416" s="12"/>
      <c r="M416" s="13"/>
      <c r="N416" s="13"/>
      <c r="O416" s="13"/>
    </row>
    <row r="417">
      <c r="B417" s="11"/>
      <c r="C417" s="11"/>
      <c r="D417" s="11"/>
      <c r="E417" s="15"/>
      <c r="F417" s="11"/>
      <c r="G417" s="11"/>
      <c r="H417" s="11"/>
      <c r="I417" s="11"/>
      <c r="J417" s="12"/>
      <c r="K417" s="13"/>
      <c r="L417" s="12"/>
      <c r="M417" s="13"/>
      <c r="N417" s="13"/>
      <c r="O417" s="13"/>
    </row>
    <row r="418">
      <c r="B418" s="11"/>
      <c r="C418" s="11"/>
      <c r="D418" s="11"/>
      <c r="E418" s="15"/>
      <c r="F418" s="11"/>
      <c r="G418" s="11"/>
      <c r="H418" s="11"/>
      <c r="I418" s="11"/>
      <c r="J418" s="12"/>
      <c r="K418" s="13"/>
      <c r="L418" s="12"/>
      <c r="M418" s="13"/>
      <c r="N418" s="13"/>
      <c r="O418" s="13"/>
    </row>
    <row r="419">
      <c r="B419" s="11"/>
      <c r="C419" s="11"/>
      <c r="D419" s="11"/>
      <c r="E419" s="15"/>
      <c r="F419" s="11"/>
      <c r="G419" s="11"/>
      <c r="H419" s="11"/>
      <c r="I419" s="11"/>
      <c r="J419" s="12"/>
      <c r="K419" s="13"/>
      <c r="L419" s="12"/>
      <c r="M419" s="13"/>
      <c r="N419" s="13"/>
      <c r="O419" s="13"/>
    </row>
    <row r="420">
      <c r="B420" s="11"/>
      <c r="C420" s="11"/>
      <c r="D420" s="11"/>
      <c r="E420" s="15"/>
      <c r="F420" s="11"/>
      <c r="G420" s="11"/>
      <c r="H420" s="11"/>
      <c r="I420" s="11"/>
      <c r="J420" s="12"/>
      <c r="K420" s="13"/>
      <c r="L420" s="12"/>
      <c r="M420" s="13"/>
      <c r="N420" s="13"/>
      <c r="O420" s="13"/>
    </row>
    <row r="421">
      <c r="B421" s="11"/>
      <c r="C421" s="11"/>
      <c r="D421" s="11"/>
      <c r="E421" s="15"/>
      <c r="F421" s="11"/>
      <c r="G421" s="11"/>
      <c r="H421" s="11"/>
      <c r="I421" s="11"/>
      <c r="J421" s="12"/>
      <c r="K421" s="13"/>
      <c r="L421" s="12"/>
      <c r="M421" s="13"/>
      <c r="N421" s="13"/>
      <c r="O421" s="13"/>
    </row>
    <row r="422">
      <c r="B422" s="11"/>
      <c r="C422" s="11"/>
      <c r="D422" s="11"/>
      <c r="E422" s="15"/>
      <c r="F422" s="11"/>
      <c r="G422" s="11"/>
      <c r="H422" s="11"/>
      <c r="I422" s="11"/>
      <c r="J422" s="12"/>
      <c r="K422" s="13"/>
      <c r="L422" s="12"/>
      <c r="M422" s="13"/>
      <c r="N422" s="13"/>
      <c r="O422" s="13"/>
    </row>
    <row r="423">
      <c r="B423" s="11"/>
      <c r="C423" s="11"/>
      <c r="D423" s="11"/>
      <c r="E423" s="15"/>
      <c r="F423" s="11"/>
      <c r="G423" s="11"/>
      <c r="H423" s="11"/>
      <c r="I423" s="11"/>
      <c r="J423" s="12"/>
      <c r="K423" s="13"/>
      <c r="L423" s="12"/>
      <c r="M423" s="13"/>
      <c r="N423" s="13"/>
      <c r="O423" s="13"/>
    </row>
    <row r="424">
      <c r="B424" s="11"/>
      <c r="C424" s="11"/>
      <c r="D424" s="11"/>
      <c r="E424" s="15"/>
      <c r="F424" s="11"/>
      <c r="G424" s="11"/>
      <c r="H424" s="11"/>
      <c r="I424" s="11"/>
      <c r="J424" s="12"/>
      <c r="K424" s="13"/>
      <c r="L424" s="12"/>
      <c r="M424" s="13"/>
      <c r="N424" s="13"/>
      <c r="O424" s="13"/>
    </row>
    <row r="425">
      <c r="B425" s="11"/>
      <c r="C425" s="11"/>
      <c r="D425" s="11"/>
      <c r="E425" s="15"/>
      <c r="F425" s="11"/>
      <c r="G425" s="11"/>
      <c r="H425" s="11"/>
      <c r="I425" s="11"/>
      <c r="J425" s="12"/>
      <c r="K425" s="13"/>
      <c r="L425" s="12"/>
      <c r="M425" s="13"/>
      <c r="N425" s="13"/>
      <c r="O425" s="13"/>
    </row>
    <row r="426">
      <c r="B426" s="11"/>
      <c r="C426" s="11"/>
      <c r="D426" s="11"/>
      <c r="E426" s="15"/>
      <c r="F426" s="11"/>
      <c r="G426" s="11"/>
      <c r="H426" s="11"/>
      <c r="I426" s="11"/>
      <c r="J426" s="12"/>
      <c r="K426" s="13"/>
      <c r="L426" s="12"/>
      <c r="M426" s="13"/>
      <c r="N426" s="13"/>
      <c r="O426" s="13"/>
    </row>
    <row r="427">
      <c r="B427" s="11"/>
      <c r="C427" s="11"/>
      <c r="D427" s="11"/>
      <c r="E427" s="15"/>
      <c r="F427" s="11"/>
      <c r="G427" s="11"/>
      <c r="H427" s="11"/>
      <c r="I427" s="11"/>
      <c r="J427" s="12"/>
      <c r="K427" s="13"/>
      <c r="L427" s="12"/>
      <c r="M427" s="13"/>
      <c r="N427" s="13"/>
      <c r="O427" s="13"/>
    </row>
    <row r="428">
      <c r="B428" s="11"/>
      <c r="C428" s="11"/>
      <c r="D428" s="11"/>
      <c r="E428" s="15"/>
      <c r="F428" s="11"/>
      <c r="G428" s="11"/>
      <c r="H428" s="11"/>
      <c r="I428" s="11"/>
      <c r="J428" s="12"/>
      <c r="K428" s="13"/>
      <c r="L428" s="12"/>
      <c r="M428" s="13"/>
      <c r="N428" s="13"/>
      <c r="O428" s="13"/>
    </row>
    <row r="429">
      <c r="B429" s="11"/>
      <c r="C429" s="11"/>
      <c r="D429" s="11"/>
      <c r="E429" s="15"/>
      <c r="F429" s="11"/>
      <c r="G429" s="11"/>
      <c r="H429" s="11"/>
      <c r="I429" s="11"/>
      <c r="J429" s="12"/>
      <c r="K429" s="13"/>
      <c r="L429" s="12"/>
      <c r="M429" s="13"/>
      <c r="N429" s="13"/>
      <c r="O429" s="13"/>
    </row>
    <row r="430">
      <c r="B430" s="11"/>
      <c r="C430" s="11"/>
      <c r="D430" s="11"/>
      <c r="E430" s="15"/>
      <c r="F430" s="11"/>
      <c r="G430" s="11"/>
      <c r="H430" s="11"/>
      <c r="I430" s="11"/>
      <c r="J430" s="12"/>
      <c r="K430" s="13"/>
      <c r="L430" s="12"/>
      <c r="M430" s="13"/>
      <c r="N430" s="13"/>
      <c r="O430" s="13"/>
    </row>
    <row r="431">
      <c r="B431" s="11"/>
      <c r="C431" s="11"/>
      <c r="D431" s="11"/>
      <c r="E431" s="15"/>
      <c r="F431" s="11"/>
      <c r="G431" s="11"/>
      <c r="H431" s="11"/>
      <c r="I431" s="11"/>
      <c r="J431" s="12"/>
      <c r="K431" s="13"/>
      <c r="L431" s="12"/>
      <c r="M431" s="13"/>
      <c r="N431" s="13"/>
      <c r="O431" s="13"/>
    </row>
    <row r="432">
      <c r="B432" s="11"/>
      <c r="C432" s="11"/>
      <c r="D432" s="11"/>
      <c r="E432" s="15"/>
      <c r="F432" s="11"/>
      <c r="G432" s="11"/>
      <c r="H432" s="11"/>
      <c r="I432" s="11"/>
      <c r="J432" s="12"/>
      <c r="K432" s="13"/>
      <c r="L432" s="12"/>
      <c r="M432" s="13"/>
      <c r="N432" s="13"/>
      <c r="O432" s="13"/>
    </row>
    <row r="433">
      <c r="B433" s="11"/>
      <c r="C433" s="11"/>
      <c r="D433" s="11"/>
      <c r="E433" s="15"/>
      <c r="F433" s="11"/>
      <c r="G433" s="11"/>
      <c r="H433" s="11"/>
      <c r="I433" s="11"/>
      <c r="J433" s="12"/>
      <c r="K433" s="13"/>
      <c r="L433" s="12"/>
      <c r="M433" s="13"/>
      <c r="N433" s="13"/>
      <c r="O433" s="13"/>
    </row>
    <row r="434">
      <c r="B434" s="11"/>
      <c r="C434" s="11"/>
      <c r="D434" s="11"/>
      <c r="E434" s="15"/>
      <c r="F434" s="11"/>
      <c r="G434" s="11"/>
      <c r="H434" s="11"/>
      <c r="I434" s="11"/>
      <c r="J434" s="12"/>
      <c r="K434" s="13"/>
      <c r="L434" s="12"/>
      <c r="M434" s="13"/>
      <c r="N434" s="13"/>
      <c r="O434" s="13"/>
    </row>
    <row r="435">
      <c r="B435" s="11"/>
      <c r="C435" s="11"/>
      <c r="D435" s="11"/>
      <c r="E435" s="15"/>
      <c r="F435" s="11"/>
      <c r="G435" s="11"/>
      <c r="H435" s="11"/>
      <c r="I435" s="11"/>
      <c r="J435" s="12"/>
      <c r="K435" s="13"/>
      <c r="L435" s="12"/>
      <c r="M435" s="13"/>
      <c r="N435" s="13"/>
      <c r="O435" s="13"/>
    </row>
    <row r="436">
      <c r="B436" s="11"/>
      <c r="C436" s="11"/>
      <c r="D436" s="11"/>
      <c r="E436" s="15"/>
      <c r="F436" s="11"/>
      <c r="G436" s="11"/>
      <c r="H436" s="11"/>
      <c r="I436" s="11"/>
      <c r="J436" s="12"/>
      <c r="K436" s="13"/>
      <c r="L436" s="12"/>
      <c r="M436" s="13"/>
      <c r="N436" s="13"/>
      <c r="O436" s="13"/>
    </row>
    <row r="437">
      <c r="B437" s="11"/>
      <c r="C437" s="11"/>
      <c r="D437" s="11"/>
      <c r="E437" s="15"/>
      <c r="F437" s="11"/>
      <c r="G437" s="11"/>
      <c r="H437" s="11"/>
      <c r="I437" s="11"/>
      <c r="J437" s="12"/>
      <c r="K437" s="13"/>
      <c r="L437" s="12"/>
      <c r="M437" s="13"/>
      <c r="N437" s="13"/>
      <c r="O437" s="13"/>
    </row>
    <row r="438">
      <c r="B438" s="11"/>
      <c r="C438" s="11"/>
      <c r="D438" s="11"/>
      <c r="E438" s="15"/>
      <c r="F438" s="11"/>
      <c r="G438" s="11"/>
      <c r="H438" s="11"/>
      <c r="I438" s="11"/>
      <c r="J438" s="12"/>
      <c r="K438" s="13"/>
      <c r="L438" s="12"/>
      <c r="M438" s="13"/>
      <c r="N438" s="13"/>
      <c r="O438" s="13"/>
    </row>
    <row r="439">
      <c r="B439" s="11"/>
      <c r="C439" s="11"/>
      <c r="D439" s="11"/>
      <c r="E439" s="15"/>
      <c r="F439" s="11"/>
      <c r="G439" s="11"/>
      <c r="H439" s="11"/>
      <c r="I439" s="11"/>
      <c r="J439" s="12"/>
      <c r="K439" s="13"/>
      <c r="L439" s="12"/>
      <c r="M439" s="13"/>
      <c r="N439" s="13"/>
      <c r="O439" s="13"/>
    </row>
    <row r="440">
      <c r="B440" s="11"/>
      <c r="C440" s="11"/>
      <c r="D440" s="11"/>
      <c r="E440" s="15"/>
      <c r="F440" s="11"/>
      <c r="G440" s="11"/>
      <c r="H440" s="11"/>
      <c r="I440" s="11"/>
      <c r="J440" s="12"/>
      <c r="K440" s="13"/>
      <c r="L440" s="12"/>
      <c r="M440" s="13"/>
      <c r="N440" s="13"/>
      <c r="O440" s="13"/>
    </row>
    <row r="441">
      <c r="B441" s="11"/>
      <c r="C441" s="11"/>
      <c r="D441" s="11"/>
      <c r="E441" s="15"/>
      <c r="F441" s="11"/>
      <c r="G441" s="11"/>
      <c r="H441" s="11"/>
      <c r="I441" s="11"/>
      <c r="J441" s="12"/>
      <c r="K441" s="13"/>
      <c r="L441" s="12"/>
      <c r="M441" s="13"/>
      <c r="N441" s="13"/>
      <c r="O441" s="13"/>
    </row>
    <row r="442">
      <c r="B442" s="11"/>
      <c r="C442" s="11"/>
      <c r="D442" s="11"/>
      <c r="E442" s="15"/>
      <c r="F442" s="11"/>
      <c r="G442" s="11"/>
      <c r="H442" s="11"/>
      <c r="I442" s="11"/>
      <c r="J442" s="12"/>
      <c r="K442" s="13"/>
      <c r="L442" s="12"/>
      <c r="M442" s="13"/>
      <c r="N442" s="13"/>
      <c r="O442" s="13"/>
    </row>
    <row r="443">
      <c r="B443" s="11"/>
      <c r="C443" s="11"/>
      <c r="D443" s="11"/>
      <c r="E443" s="15"/>
      <c r="F443" s="11"/>
      <c r="G443" s="11"/>
      <c r="H443" s="11"/>
      <c r="I443" s="11"/>
      <c r="J443" s="12"/>
      <c r="K443" s="13"/>
      <c r="L443" s="12"/>
      <c r="M443" s="13"/>
      <c r="N443" s="13"/>
      <c r="O443" s="13"/>
    </row>
    <row r="444">
      <c r="B444" s="11"/>
      <c r="C444" s="11"/>
      <c r="D444" s="11"/>
      <c r="E444" s="15"/>
      <c r="F444" s="11"/>
      <c r="G444" s="11"/>
      <c r="H444" s="11"/>
      <c r="I444" s="11"/>
      <c r="J444" s="12"/>
      <c r="K444" s="13"/>
      <c r="L444" s="12"/>
      <c r="M444" s="13"/>
      <c r="N444" s="13"/>
      <c r="O444" s="13"/>
    </row>
    <row r="445">
      <c r="B445" s="11"/>
      <c r="C445" s="11"/>
      <c r="D445" s="11"/>
      <c r="E445" s="15"/>
      <c r="F445" s="11"/>
      <c r="G445" s="11"/>
      <c r="H445" s="11"/>
      <c r="I445" s="11"/>
      <c r="J445" s="12"/>
      <c r="K445" s="13"/>
      <c r="L445" s="12"/>
      <c r="M445" s="13"/>
      <c r="N445" s="13"/>
      <c r="O445" s="13"/>
    </row>
    <row r="446">
      <c r="B446" s="11"/>
      <c r="C446" s="11"/>
      <c r="D446" s="11"/>
      <c r="E446" s="15"/>
      <c r="F446" s="11"/>
      <c r="G446" s="11"/>
      <c r="H446" s="11"/>
      <c r="I446" s="11"/>
      <c r="J446" s="12"/>
      <c r="K446" s="13"/>
      <c r="L446" s="12"/>
      <c r="M446" s="13"/>
      <c r="N446" s="13"/>
      <c r="O446" s="13"/>
    </row>
    <row r="447">
      <c r="B447" s="11"/>
      <c r="C447" s="11"/>
      <c r="D447" s="11"/>
      <c r="E447" s="15"/>
      <c r="F447" s="11"/>
      <c r="G447" s="11"/>
      <c r="H447" s="11"/>
      <c r="I447" s="11"/>
      <c r="J447" s="12"/>
      <c r="K447" s="13"/>
      <c r="L447" s="12"/>
      <c r="M447" s="13"/>
      <c r="N447" s="13"/>
      <c r="O447" s="13"/>
    </row>
    <row r="448">
      <c r="B448" s="11"/>
      <c r="C448" s="11"/>
      <c r="D448" s="11"/>
      <c r="E448" s="15"/>
      <c r="F448" s="11"/>
      <c r="G448" s="11"/>
      <c r="H448" s="11"/>
      <c r="I448" s="11"/>
      <c r="J448" s="12"/>
      <c r="K448" s="13"/>
      <c r="L448" s="12"/>
      <c r="M448" s="13"/>
      <c r="N448" s="13"/>
      <c r="O448" s="13"/>
    </row>
    <row r="449">
      <c r="B449" s="11"/>
      <c r="C449" s="11"/>
      <c r="D449" s="11"/>
      <c r="E449" s="15"/>
      <c r="F449" s="11"/>
      <c r="G449" s="11"/>
      <c r="H449" s="11"/>
      <c r="I449" s="11"/>
      <c r="J449" s="12"/>
      <c r="K449" s="13"/>
      <c r="L449" s="12"/>
      <c r="M449" s="13"/>
      <c r="N449" s="13"/>
      <c r="O449" s="13"/>
    </row>
    <row r="450">
      <c r="B450" s="11"/>
      <c r="C450" s="11"/>
      <c r="D450" s="11"/>
      <c r="E450" s="15"/>
      <c r="F450" s="11"/>
      <c r="G450" s="11"/>
      <c r="H450" s="11"/>
      <c r="I450" s="11"/>
      <c r="J450" s="12"/>
      <c r="K450" s="13"/>
      <c r="L450" s="12"/>
      <c r="M450" s="13"/>
      <c r="N450" s="13"/>
      <c r="O450" s="13"/>
    </row>
    <row r="451">
      <c r="B451" s="11"/>
      <c r="C451" s="11"/>
      <c r="D451" s="11"/>
      <c r="E451" s="15"/>
      <c r="F451" s="11"/>
      <c r="G451" s="11"/>
      <c r="H451" s="11"/>
      <c r="I451" s="11"/>
      <c r="J451" s="12"/>
      <c r="K451" s="13"/>
      <c r="L451" s="12"/>
      <c r="M451" s="13"/>
      <c r="N451" s="13"/>
      <c r="O451" s="13"/>
    </row>
    <row r="452">
      <c r="B452" s="11"/>
      <c r="C452" s="11"/>
      <c r="D452" s="11"/>
      <c r="E452" s="15"/>
      <c r="F452" s="11"/>
      <c r="G452" s="11"/>
      <c r="H452" s="11"/>
      <c r="I452" s="11"/>
      <c r="J452" s="12"/>
      <c r="K452" s="13"/>
      <c r="L452" s="12"/>
      <c r="M452" s="13"/>
      <c r="N452" s="13"/>
      <c r="O452" s="13"/>
    </row>
    <row r="453">
      <c r="B453" s="11"/>
      <c r="C453" s="11"/>
      <c r="D453" s="11"/>
      <c r="E453" s="15"/>
      <c r="F453" s="11"/>
      <c r="G453" s="11"/>
      <c r="H453" s="11"/>
      <c r="I453" s="11"/>
      <c r="J453" s="12"/>
      <c r="K453" s="13"/>
      <c r="L453" s="12"/>
      <c r="M453" s="13"/>
      <c r="N453" s="13"/>
      <c r="O453" s="13"/>
    </row>
    <row r="454">
      <c r="B454" s="11"/>
      <c r="C454" s="11"/>
      <c r="D454" s="11"/>
      <c r="E454" s="15"/>
      <c r="F454" s="11"/>
      <c r="G454" s="11"/>
      <c r="H454" s="11"/>
      <c r="I454" s="11"/>
      <c r="J454" s="12"/>
      <c r="K454" s="13"/>
      <c r="L454" s="12"/>
      <c r="M454" s="13"/>
      <c r="N454" s="13"/>
      <c r="O454" s="13"/>
    </row>
    <row r="455">
      <c r="B455" s="11"/>
      <c r="C455" s="11"/>
      <c r="D455" s="11"/>
      <c r="E455" s="15"/>
      <c r="F455" s="11"/>
      <c r="G455" s="11"/>
      <c r="H455" s="11"/>
      <c r="I455" s="11"/>
      <c r="J455" s="12"/>
      <c r="K455" s="13"/>
      <c r="L455" s="12"/>
      <c r="M455" s="13"/>
      <c r="N455" s="13"/>
      <c r="O455" s="13"/>
    </row>
    <row r="456">
      <c r="B456" s="11"/>
      <c r="C456" s="11"/>
      <c r="D456" s="11"/>
      <c r="E456" s="15"/>
      <c r="F456" s="11"/>
      <c r="G456" s="11"/>
      <c r="H456" s="11"/>
      <c r="I456" s="11"/>
      <c r="J456" s="12"/>
      <c r="K456" s="13"/>
      <c r="L456" s="12"/>
      <c r="M456" s="13"/>
      <c r="N456" s="13"/>
      <c r="O456" s="13"/>
    </row>
    <row r="457">
      <c r="B457" s="11"/>
      <c r="C457" s="11"/>
      <c r="D457" s="11"/>
      <c r="E457" s="15"/>
      <c r="F457" s="11"/>
      <c r="G457" s="11"/>
      <c r="H457" s="11"/>
      <c r="I457" s="11"/>
      <c r="J457" s="12"/>
      <c r="K457" s="13"/>
      <c r="L457" s="12"/>
      <c r="M457" s="13"/>
      <c r="N457" s="13"/>
      <c r="O457" s="13"/>
    </row>
    <row r="458">
      <c r="B458" s="11"/>
      <c r="C458" s="11"/>
      <c r="D458" s="11"/>
      <c r="E458" s="15"/>
      <c r="F458" s="11"/>
      <c r="G458" s="11"/>
      <c r="H458" s="11"/>
      <c r="I458" s="11"/>
      <c r="J458" s="12"/>
      <c r="K458" s="13"/>
      <c r="L458" s="12"/>
      <c r="M458" s="13"/>
      <c r="N458" s="13"/>
      <c r="O458" s="13"/>
    </row>
    <row r="459">
      <c r="B459" s="11"/>
      <c r="C459" s="11"/>
      <c r="D459" s="11"/>
      <c r="E459" s="15"/>
      <c r="F459" s="11"/>
      <c r="G459" s="11"/>
      <c r="H459" s="11"/>
      <c r="I459" s="11"/>
      <c r="J459" s="12"/>
      <c r="K459" s="13"/>
      <c r="L459" s="12"/>
      <c r="M459" s="13"/>
      <c r="N459" s="13"/>
      <c r="O459" s="13"/>
    </row>
    <row r="460">
      <c r="B460" s="11"/>
      <c r="C460" s="11"/>
      <c r="D460" s="11"/>
      <c r="E460" s="15"/>
      <c r="F460" s="11"/>
      <c r="G460" s="11"/>
      <c r="H460" s="11"/>
      <c r="I460" s="11"/>
      <c r="J460" s="12"/>
      <c r="K460" s="13"/>
      <c r="L460" s="12"/>
      <c r="M460" s="13"/>
      <c r="N460" s="13"/>
      <c r="O460" s="13"/>
    </row>
    <row r="461">
      <c r="B461" s="11"/>
      <c r="C461" s="11"/>
      <c r="D461" s="11"/>
      <c r="E461" s="15"/>
      <c r="F461" s="11"/>
      <c r="G461" s="11"/>
      <c r="H461" s="11"/>
      <c r="I461" s="11"/>
      <c r="J461" s="12"/>
      <c r="K461" s="13"/>
      <c r="L461" s="12"/>
      <c r="M461" s="13"/>
      <c r="N461" s="13"/>
      <c r="O461" s="13"/>
    </row>
    <row r="462">
      <c r="B462" s="11"/>
      <c r="C462" s="11"/>
      <c r="D462" s="11"/>
      <c r="E462" s="15"/>
      <c r="F462" s="11"/>
      <c r="G462" s="11"/>
      <c r="H462" s="11"/>
      <c r="I462" s="11"/>
      <c r="J462" s="12"/>
      <c r="K462" s="13"/>
      <c r="L462" s="12"/>
      <c r="M462" s="13"/>
      <c r="N462" s="13"/>
      <c r="O462" s="13"/>
    </row>
    <row r="463">
      <c r="B463" s="11"/>
      <c r="C463" s="11"/>
      <c r="D463" s="11"/>
      <c r="E463" s="15"/>
      <c r="F463" s="11"/>
      <c r="G463" s="11"/>
      <c r="H463" s="11"/>
      <c r="I463" s="11"/>
      <c r="J463" s="12"/>
      <c r="K463" s="13"/>
      <c r="L463" s="12"/>
      <c r="M463" s="13"/>
      <c r="N463" s="13"/>
      <c r="O463" s="13"/>
    </row>
    <row r="464">
      <c r="B464" s="11"/>
      <c r="C464" s="11"/>
      <c r="D464" s="11"/>
      <c r="E464" s="15"/>
      <c r="F464" s="11"/>
      <c r="G464" s="11"/>
      <c r="H464" s="11"/>
      <c r="I464" s="11"/>
      <c r="J464" s="12"/>
      <c r="K464" s="13"/>
      <c r="L464" s="12"/>
      <c r="M464" s="13"/>
      <c r="N464" s="13"/>
      <c r="O464" s="13"/>
    </row>
    <row r="465">
      <c r="B465" s="11"/>
      <c r="C465" s="11"/>
      <c r="D465" s="11"/>
      <c r="E465" s="15"/>
      <c r="F465" s="11"/>
      <c r="G465" s="11"/>
      <c r="H465" s="11"/>
      <c r="I465" s="11"/>
      <c r="J465" s="12"/>
      <c r="K465" s="13"/>
      <c r="L465" s="12"/>
      <c r="M465" s="13"/>
      <c r="N465" s="13"/>
      <c r="O465" s="13"/>
    </row>
    <row r="466">
      <c r="B466" s="11"/>
      <c r="C466" s="11"/>
      <c r="D466" s="11"/>
      <c r="E466" s="15"/>
      <c r="F466" s="11"/>
      <c r="G466" s="11"/>
      <c r="H466" s="11"/>
      <c r="I466" s="11"/>
      <c r="J466" s="12"/>
      <c r="K466" s="13"/>
      <c r="L466" s="12"/>
      <c r="M466" s="13"/>
      <c r="N466" s="13"/>
      <c r="O466" s="13"/>
    </row>
    <row r="467">
      <c r="B467" s="11"/>
      <c r="C467" s="11"/>
      <c r="D467" s="11"/>
      <c r="E467" s="15"/>
      <c r="F467" s="11"/>
      <c r="G467" s="11"/>
      <c r="H467" s="11"/>
      <c r="I467" s="11"/>
      <c r="J467" s="12"/>
      <c r="K467" s="13"/>
      <c r="L467" s="12"/>
      <c r="M467" s="13"/>
      <c r="N467" s="13"/>
      <c r="O467" s="13"/>
    </row>
    <row r="468">
      <c r="B468" s="11"/>
      <c r="C468" s="11"/>
      <c r="D468" s="11"/>
      <c r="E468" s="15"/>
      <c r="F468" s="11"/>
      <c r="G468" s="11"/>
      <c r="H468" s="11"/>
      <c r="I468" s="11"/>
      <c r="J468" s="12"/>
      <c r="K468" s="13"/>
      <c r="L468" s="12"/>
      <c r="M468" s="13"/>
      <c r="N468" s="13"/>
      <c r="O468" s="13"/>
    </row>
    <row r="469">
      <c r="B469" s="11"/>
      <c r="C469" s="11"/>
      <c r="D469" s="11"/>
      <c r="E469" s="15"/>
      <c r="F469" s="11"/>
      <c r="G469" s="11"/>
      <c r="H469" s="11"/>
      <c r="I469" s="11"/>
      <c r="J469" s="12"/>
      <c r="K469" s="13"/>
      <c r="L469" s="12"/>
      <c r="M469" s="13"/>
      <c r="N469" s="13"/>
      <c r="O469" s="13"/>
    </row>
    <row r="470">
      <c r="B470" s="11"/>
      <c r="C470" s="11"/>
      <c r="D470" s="11"/>
      <c r="E470" s="15"/>
      <c r="F470" s="11"/>
      <c r="G470" s="11"/>
      <c r="H470" s="11"/>
      <c r="I470" s="11"/>
      <c r="J470" s="12"/>
      <c r="K470" s="13"/>
      <c r="L470" s="12"/>
      <c r="M470" s="13"/>
      <c r="N470" s="13"/>
      <c r="O470" s="13"/>
    </row>
    <row r="471">
      <c r="B471" s="11"/>
      <c r="C471" s="11"/>
      <c r="D471" s="11"/>
      <c r="E471" s="15"/>
      <c r="F471" s="11"/>
      <c r="G471" s="11"/>
      <c r="H471" s="11"/>
      <c r="I471" s="11"/>
      <c r="J471" s="12"/>
      <c r="K471" s="13"/>
      <c r="L471" s="12"/>
      <c r="M471" s="13"/>
      <c r="N471" s="13"/>
      <c r="O471" s="13"/>
    </row>
    <row r="472">
      <c r="B472" s="11"/>
      <c r="C472" s="11"/>
      <c r="D472" s="11"/>
      <c r="E472" s="15"/>
      <c r="F472" s="11"/>
      <c r="G472" s="11"/>
      <c r="H472" s="11"/>
      <c r="I472" s="11"/>
      <c r="J472" s="12"/>
      <c r="K472" s="13"/>
      <c r="L472" s="12"/>
      <c r="M472" s="13"/>
      <c r="N472" s="13"/>
      <c r="O472" s="13"/>
    </row>
    <row r="473">
      <c r="B473" s="11"/>
      <c r="C473" s="11"/>
      <c r="D473" s="11"/>
      <c r="E473" s="15"/>
      <c r="F473" s="11"/>
      <c r="G473" s="11"/>
      <c r="H473" s="11"/>
      <c r="I473" s="11"/>
      <c r="J473" s="12"/>
      <c r="K473" s="13"/>
      <c r="L473" s="12"/>
      <c r="M473" s="13"/>
      <c r="N473" s="13"/>
      <c r="O473" s="13"/>
    </row>
    <row r="474">
      <c r="B474" s="11"/>
      <c r="C474" s="11"/>
      <c r="D474" s="11"/>
      <c r="E474" s="15"/>
      <c r="F474" s="11"/>
      <c r="G474" s="11"/>
      <c r="H474" s="11"/>
      <c r="I474" s="11"/>
      <c r="J474" s="12"/>
      <c r="K474" s="13"/>
      <c r="L474" s="12"/>
      <c r="M474" s="13"/>
      <c r="N474" s="13"/>
      <c r="O474" s="13"/>
    </row>
    <row r="475">
      <c r="B475" s="11"/>
      <c r="C475" s="11"/>
      <c r="D475" s="11"/>
      <c r="E475" s="15"/>
      <c r="F475" s="11"/>
      <c r="G475" s="11"/>
      <c r="H475" s="11"/>
      <c r="I475" s="11"/>
      <c r="J475" s="12"/>
      <c r="K475" s="13"/>
      <c r="L475" s="12"/>
      <c r="M475" s="13"/>
      <c r="N475" s="13"/>
      <c r="O475" s="13"/>
    </row>
    <row r="476">
      <c r="B476" s="11"/>
      <c r="C476" s="11"/>
      <c r="D476" s="11"/>
      <c r="E476" s="15"/>
      <c r="F476" s="11"/>
      <c r="G476" s="11"/>
      <c r="H476" s="11"/>
      <c r="I476" s="11"/>
      <c r="J476" s="12"/>
      <c r="K476" s="13"/>
      <c r="L476" s="12"/>
      <c r="M476" s="13"/>
      <c r="N476" s="13"/>
      <c r="O476" s="13"/>
    </row>
    <row r="477">
      <c r="B477" s="11"/>
      <c r="C477" s="11"/>
      <c r="D477" s="11"/>
      <c r="E477" s="15"/>
      <c r="F477" s="11"/>
      <c r="G477" s="11"/>
      <c r="H477" s="11"/>
      <c r="I477" s="11"/>
      <c r="J477" s="12"/>
      <c r="K477" s="13"/>
      <c r="L477" s="12"/>
      <c r="M477" s="13"/>
      <c r="N477" s="13"/>
      <c r="O477" s="13"/>
    </row>
    <row r="478">
      <c r="B478" s="11"/>
      <c r="C478" s="11"/>
      <c r="D478" s="11"/>
      <c r="E478" s="15"/>
      <c r="F478" s="11"/>
      <c r="G478" s="11"/>
      <c r="H478" s="11"/>
      <c r="I478" s="11"/>
      <c r="J478" s="12"/>
      <c r="K478" s="13"/>
      <c r="L478" s="12"/>
      <c r="M478" s="13"/>
      <c r="N478" s="13"/>
      <c r="O478" s="13"/>
    </row>
    <row r="479">
      <c r="B479" s="11"/>
      <c r="C479" s="11"/>
      <c r="D479" s="11"/>
      <c r="E479" s="15"/>
      <c r="F479" s="11"/>
      <c r="G479" s="11"/>
      <c r="H479" s="11"/>
      <c r="I479" s="11"/>
      <c r="J479" s="12"/>
      <c r="K479" s="13"/>
      <c r="L479" s="12"/>
      <c r="M479" s="13"/>
      <c r="N479" s="13"/>
      <c r="O479" s="13"/>
    </row>
    <row r="480">
      <c r="B480" s="11"/>
      <c r="C480" s="11"/>
      <c r="D480" s="11"/>
      <c r="E480" s="15"/>
      <c r="F480" s="11"/>
      <c r="G480" s="11"/>
      <c r="H480" s="11"/>
      <c r="I480" s="11"/>
      <c r="J480" s="12"/>
      <c r="K480" s="13"/>
      <c r="L480" s="12"/>
      <c r="M480" s="13"/>
      <c r="N480" s="13"/>
      <c r="O480" s="13"/>
    </row>
    <row r="481">
      <c r="B481" s="11"/>
      <c r="C481" s="11"/>
      <c r="D481" s="11"/>
      <c r="E481" s="15"/>
      <c r="F481" s="11"/>
      <c r="G481" s="11"/>
      <c r="H481" s="11"/>
      <c r="I481" s="11"/>
      <c r="J481" s="12"/>
      <c r="K481" s="13"/>
      <c r="L481" s="12"/>
      <c r="M481" s="13"/>
      <c r="N481" s="13"/>
      <c r="O481" s="13"/>
    </row>
    <row r="482">
      <c r="B482" s="11"/>
      <c r="C482" s="11"/>
      <c r="D482" s="11"/>
      <c r="E482" s="15"/>
      <c r="F482" s="11"/>
      <c r="G482" s="11"/>
      <c r="H482" s="11"/>
      <c r="I482" s="11"/>
      <c r="J482" s="12"/>
      <c r="K482" s="13"/>
      <c r="L482" s="12"/>
      <c r="M482" s="13"/>
      <c r="N482" s="13"/>
      <c r="O482" s="13"/>
    </row>
    <row r="483">
      <c r="B483" s="11"/>
      <c r="C483" s="11"/>
      <c r="D483" s="11"/>
      <c r="E483" s="15"/>
      <c r="F483" s="11"/>
      <c r="G483" s="11"/>
      <c r="H483" s="11"/>
      <c r="I483" s="11"/>
      <c r="J483" s="12"/>
      <c r="K483" s="13"/>
      <c r="L483" s="12"/>
      <c r="M483" s="13"/>
      <c r="N483" s="13"/>
      <c r="O483" s="13"/>
    </row>
    <row r="484">
      <c r="B484" s="11"/>
      <c r="C484" s="11"/>
      <c r="D484" s="11"/>
      <c r="E484" s="15"/>
      <c r="F484" s="11"/>
      <c r="G484" s="11"/>
      <c r="H484" s="11"/>
      <c r="I484" s="11"/>
      <c r="J484" s="12"/>
      <c r="K484" s="13"/>
      <c r="L484" s="12"/>
      <c r="M484" s="13"/>
      <c r="N484" s="13"/>
      <c r="O484" s="13"/>
    </row>
    <row r="485">
      <c r="B485" s="11"/>
      <c r="C485" s="11"/>
      <c r="D485" s="11"/>
      <c r="E485" s="15"/>
      <c r="F485" s="11"/>
      <c r="G485" s="11"/>
      <c r="H485" s="11"/>
      <c r="I485" s="11"/>
      <c r="J485" s="12"/>
      <c r="K485" s="13"/>
      <c r="L485" s="12"/>
      <c r="M485" s="13"/>
      <c r="N485" s="13"/>
      <c r="O485" s="13"/>
    </row>
    <row r="486">
      <c r="B486" s="11"/>
      <c r="C486" s="11"/>
      <c r="D486" s="11"/>
      <c r="E486" s="15"/>
      <c r="F486" s="11"/>
      <c r="G486" s="11"/>
      <c r="H486" s="11"/>
      <c r="I486" s="11"/>
      <c r="J486" s="12"/>
      <c r="K486" s="13"/>
      <c r="L486" s="12"/>
      <c r="M486" s="13"/>
      <c r="N486" s="13"/>
      <c r="O486" s="13"/>
    </row>
    <row r="487">
      <c r="B487" s="11"/>
      <c r="C487" s="11"/>
      <c r="D487" s="11"/>
      <c r="E487" s="15"/>
      <c r="F487" s="11"/>
      <c r="G487" s="11"/>
      <c r="H487" s="11"/>
      <c r="I487" s="11"/>
      <c r="J487" s="12"/>
      <c r="K487" s="13"/>
      <c r="L487" s="12"/>
      <c r="M487" s="13"/>
      <c r="N487" s="13"/>
      <c r="O487" s="13"/>
    </row>
    <row r="488">
      <c r="B488" s="11"/>
      <c r="C488" s="11"/>
      <c r="D488" s="11"/>
      <c r="E488" s="15"/>
      <c r="F488" s="11"/>
      <c r="G488" s="11"/>
      <c r="H488" s="11"/>
      <c r="I488" s="11"/>
      <c r="J488" s="12"/>
      <c r="K488" s="13"/>
      <c r="L488" s="12"/>
      <c r="M488" s="13"/>
      <c r="N488" s="13"/>
      <c r="O488" s="13"/>
    </row>
    <row r="489">
      <c r="B489" s="11"/>
      <c r="C489" s="11"/>
      <c r="D489" s="11"/>
      <c r="E489" s="15"/>
      <c r="F489" s="11"/>
      <c r="G489" s="11"/>
      <c r="H489" s="11"/>
      <c r="I489" s="11"/>
      <c r="J489" s="12"/>
      <c r="K489" s="13"/>
      <c r="L489" s="12"/>
      <c r="M489" s="13"/>
      <c r="N489" s="13"/>
      <c r="O489" s="13"/>
    </row>
    <row r="490">
      <c r="B490" s="11"/>
      <c r="C490" s="11"/>
      <c r="D490" s="11"/>
      <c r="E490" s="15"/>
      <c r="F490" s="11"/>
      <c r="G490" s="11"/>
      <c r="H490" s="11"/>
      <c r="I490" s="11"/>
      <c r="J490" s="12"/>
      <c r="K490" s="13"/>
      <c r="L490" s="12"/>
      <c r="M490" s="13"/>
      <c r="N490" s="13"/>
      <c r="O490" s="13"/>
    </row>
    <row r="491">
      <c r="B491" s="11"/>
      <c r="C491" s="11"/>
      <c r="D491" s="11"/>
      <c r="E491" s="15"/>
      <c r="F491" s="11"/>
      <c r="G491" s="11"/>
      <c r="H491" s="11"/>
      <c r="I491" s="11"/>
      <c r="J491" s="12"/>
      <c r="K491" s="13"/>
      <c r="L491" s="12"/>
      <c r="M491" s="13"/>
      <c r="N491" s="13"/>
      <c r="O491" s="13"/>
    </row>
    <row r="492">
      <c r="B492" s="11"/>
      <c r="C492" s="11"/>
      <c r="D492" s="11"/>
      <c r="E492" s="15"/>
      <c r="F492" s="11"/>
      <c r="G492" s="11"/>
      <c r="H492" s="11"/>
      <c r="I492" s="11"/>
      <c r="J492" s="12"/>
      <c r="K492" s="13"/>
      <c r="L492" s="12"/>
      <c r="M492" s="13"/>
      <c r="N492" s="13"/>
      <c r="O492" s="13"/>
    </row>
    <row r="493">
      <c r="B493" s="11"/>
      <c r="C493" s="11"/>
      <c r="D493" s="11"/>
      <c r="E493" s="15"/>
      <c r="F493" s="11"/>
      <c r="G493" s="11"/>
      <c r="H493" s="11"/>
      <c r="I493" s="11"/>
      <c r="J493" s="12"/>
      <c r="K493" s="13"/>
      <c r="L493" s="12"/>
      <c r="M493" s="13"/>
      <c r="N493" s="13"/>
      <c r="O493" s="13"/>
    </row>
    <row r="494">
      <c r="B494" s="11"/>
      <c r="C494" s="11"/>
      <c r="D494" s="11"/>
      <c r="E494" s="15"/>
      <c r="F494" s="11"/>
      <c r="G494" s="11"/>
      <c r="H494" s="11"/>
      <c r="I494" s="11"/>
      <c r="J494" s="12"/>
      <c r="K494" s="13"/>
      <c r="L494" s="12"/>
      <c r="M494" s="13"/>
      <c r="N494" s="13"/>
      <c r="O494" s="13"/>
    </row>
    <row r="495">
      <c r="B495" s="11"/>
      <c r="C495" s="11"/>
      <c r="D495" s="11"/>
      <c r="E495" s="15"/>
      <c r="F495" s="11"/>
      <c r="G495" s="11"/>
      <c r="H495" s="11"/>
      <c r="I495" s="11"/>
      <c r="J495" s="12"/>
      <c r="K495" s="13"/>
      <c r="L495" s="12"/>
      <c r="M495" s="13"/>
      <c r="N495" s="13"/>
      <c r="O495" s="13"/>
    </row>
    <row r="496">
      <c r="B496" s="11"/>
      <c r="C496" s="11"/>
      <c r="D496" s="11"/>
      <c r="E496" s="15"/>
      <c r="F496" s="11"/>
      <c r="G496" s="11"/>
      <c r="H496" s="11"/>
      <c r="I496" s="11"/>
      <c r="J496" s="12"/>
      <c r="K496" s="13"/>
      <c r="L496" s="12"/>
      <c r="M496" s="13"/>
      <c r="N496" s="13"/>
      <c r="O496" s="13"/>
    </row>
    <row r="497">
      <c r="B497" s="11"/>
      <c r="C497" s="11"/>
      <c r="D497" s="11"/>
      <c r="E497" s="15"/>
      <c r="F497" s="11"/>
      <c r="G497" s="11"/>
      <c r="H497" s="11"/>
      <c r="I497" s="11"/>
      <c r="J497" s="12"/>
      <c r="K497" s="13"/>
      <c r="L497" s="12"/>
      <c r="M497" s="13"/>
      <c r="N497" s="13"/>
      <c r="O497" s="13"/>
    </row>
    <row r="498">
      <c r="B498" s="11"/>
      <c r="C498" s="11"/>
      <c r="D498" s="11"/>
      <c r="E498" s="15"/>
      <c r="F498" s="11"/>
      <c r="G498" s="11"/>
      <c r="H498" s="11"/>
      <c r="I498" s="11"/>
      <c r="J498" s="12"/>
      <c r="K498" s="13"/>
      <c r="L498" s="12"/>
      <c r="M498" s="13"/>
      <c r="N498" s="13"/>
      <c r="O498" s="13"/>
    </row>
    <row r="499">
      <c r="B499" s="11"/>
      <c r="C499" s="11"/>
      <c r="D499" s="11"/>
      <c r="E499" s="15"/>
      <c r="F499" s="11"/>
      <c r="G499" s="11"/>
      <c r="H499" s="11"/>
      <c r="I499" s="11"/>
      <c r="J499" s="12"/>
      <c r="K499" s="13"/>
      <c r="L499" s="12"/>
      <c r="M499" s="13"/>
      <c r="N499" s="13"/>
      <c r="O499" s="13"/>
    </row>
    <row r="500">
      <c r="B500" s="11"/>
      <c r="C500" s="11"/>
      <c r="D500" s="11"/>
      <c r="E500" s="15"/>
      <c r="F500" s="11"/>
      <c r="G500" s="11"/>
      <c r="H500" s="11"/>
      <c r="I500" s="11"/>
      <c r="J500" s="12"/>
      <c r="K500" s="13"/>
      <c r="L500" s="12"/>
      <c r="M500" s="13"/>
      <c r="N500" s="13"/>
      <c r="O500" s="13"/>
    </row>
    <row r="501">
      <c r="B501" s="11"/>
      <c r="C501" s="11"/>
      <c r="D501" s="11"/>
      <c r="E501" s="15"/>
      <c r="F501" s="11"/>
      <c r="G501" s="11"/>
      <c r="H501" s="11"/>
      <c r="I501" s="11"/>
      <c r="J501" s="12"/>
      <c r="K501" s="13"/>
      <c r="L501" s="12"/>
      <c r="M501" s="13"/>
      <c r="N501" s="13"/>
      <c r="O501" s="13"/>
    </row>
    <row r="502">
      <c r="B502" s="11"/>
      <c r="C502" s="11"/>
      <c r="D502" s="11"/>
      <c r="E502" s="15"/>
      <c r="F502" s="11"/>
      <c r="G502" s="11"/>
      <c r="H502" s="11"/>
      <c r="I502" s="11"/>
      <c r="J502" s="12"/>
      <c r="K502" s="13"/>
      <c r="L502" s="12"/>
      <c r="M502" s="13"/>
      <c r="N502" s="13"/>
      <c r="O502" s="13"/>
    </row>
    <row r="503">
      <c r="B503" s="11"/>
      <c r="C503" s="11"/>
      <c r="D503" s="11"/>
      <c r="E503" s="15"/>
      <c r="F503" s="11"/>
      <c r="G503" s="11"/>
      <c r="H503" s="11"/>
      <c r="I503" s="11"/>
      <c r="J503" s="12"/>
      <c r="K503" s="13"/>
      <c r="L503" s="12"/>
      <c r="M503" s="13"/>
      <c r="N503" s="13"/>
      <c r="O503" s="13"/>
    </row>
    <row r="504">
      <c r="B504" s="11"/>
      <c r="C504" s="11"/>
      <c r="D504" s="11"/>
      <c r="E504" s="15"/>
      <c r="F504" s="11"/>
      <c r="G504" s="11"/>
      <c r="H504" s="11"/>
      <c r="I504" s="11"/>
      <c r="J504" s="12"/>
      <c r="K504" s="13"/>
      <c r="L504" s="12"/>
      <c r="M504" s="13"/>
      <c r="N504" s="13"/>
      <c r="O504" s="13"/>
    </row>
    <row r="505">
      <c r="B505" s="11"/>
      <c r="C505" s="11"/>
      <c r="D505" s="11"/>
      <c r="E505" s="15"/>
      <c r="F505" s="11"/>
      <c r="G505" s="11"/>
      <c r="H505" s="11"/>
      <c r="I505" s="11"/>
      <c r="J505" s="12"/>
      <c r="K505" s="13"/>
      <c r="L505" s="12"/>
      <c r="M505" s="13"/>
      <c r="N505" s="13"/>
      <c r="O505" s="13"/>
    </row>
    <row r="506">
      <c r="B506" s="11"/>
      <c r="C506" s="11"/>
      <c r="D506" s="11"/>
      <c r="E506" s="15"/>
      <c r="F506" s="11"/>
      <c r="G506" s="11"/>
      <c r="H506" s="11"/>
      <c r="I506" s="11"/>
      <c r="J506" s="12"/>
      <c r="K506" s="13"/>
      <c r="L506" s="12"/>
      <c r="M506" s="13"/>
      <c r="N506" s="13"/>
      <c r="O506" s="13"/>
    </row>
    <row r="507">
      <c r="B507" s="11"/>
      <c r="C507" s="11"/>
      <c r="D507" s="11"/>
      <c r="E507" s="15"/>
      <c r="F507" s="11"/>
      <c r="G507" s="11"/>
      <c r="H507" s="11"/>
      <c r="I507" s="11"/>
      <c r="J507" s="12"/>
      <c r="K507" s="13"/>
      <c r="L507" s="12"/>
      <c r="M507" s="13"/>
      <c r="N507" s="13"/>
      <c r="O507" s="13"/>
    </row>
    <row r="508">
      <c r="B508" s="11"/>
      <c r="C508" s="11"/>
      <c r="D508" s="11"/>
      <c r="E508" s="15"/>
      <c r="F508" s="11"/>
      <c r="G508" s="11"/>
      <c r="H508" s="11"/>
      <c r="I508" s="11"/>
      <c r="J508" s="12"/>
      <c r="K508" s="13"/>
      <c r="L508" s="12"/>
      <c r="M508" s="13"/>
      <c r="N508" s="13"/>
      <c r="O508" s="13"/>
    </row>
    <row r="509">
      <c r="B509" s="11"/>
      <c r="C509" s="11"/>
      <c r="D509" s="11"/>
      <c r="E509" s="15"/>
      <c r="F509" s="11"/>
      <c r="G509" s="11"/>
      <c r="H509" s="11"/>
      <c r="I509" s="11"/>
      <c r="J509" s="12"/>
      <c r="K509" s="13"/>
      <c r="L509" s="12"/>
      <c r="M509" s="13"/>
      <c r="N509" s="13"/>
      <c r="O509" s="13"/>
    </row>
    <row r="510">
      <c r="B510" s="11"/>
      <c r="C510" s="11"/>
      <c r="D510" s="11"/>
      <c r="E510" s="15"/>
      <c r="F510" s="11"/>
      <c r="G510" s="11"/>
      <c r="H510" s="11"/>
      <c r="I510" s="11"/>
      <c r="J510" s="12"/>
      <c r="K510" s="13"/>
      <c r="L510" s="12"/>
      <c r="M510" s="13"/>
      <c r="N510" s="13"/>
      <c r="O510" s="13"/>
    </row>
    <row r="511">
      <c r="B511" s="11"/>
      <c r="C511" s="11"/>
      <c r="D511" s="11"/>
      <c r="E511" s="15"/>
      <c r="F511" s="11"/>
      <c r="G511" s="11"/>
      <c r="H511" s="11"/>
      <c r="I511" s="11"/>
      <c r="J511" s="12"/>
      <c r="K511" s="13"/>
      <c r="L511" s="12"/>
      <c r="M511" s="13"/>
      <c r="N511" s="13"/>
      <c r="O511" s="13"/>
    </row>
    <row r="512">
      <c r="B512" s="11"/>
      <c r="C512" s="11"/>
      <c r="D512" s="11"/>
      <c r="E512" s="15"/>
      <c r="F512" s="11"/>
      <c r="G512" s="11"/>
      <c r="H512" s="11"/>
      <c r="I512" s="11"/>
      <c r="J512" s="12"/>
      <c r="K512" s="13"/>
      <c r="L512" s="12"/>
      <c r="M512" s="13"/>
      <c r="N512" s="13"/>
      <c r="O512" s="13"/>
    </row>
    <row r="513">
      <c r="B513" s="11"/>
      <c r="C513" s="11"/>
      <c r="D513" s="11"/>
      <c r="E513" s="15"/>
      <c r="F513" s="11"/>
      <c r="G513" s="11"/>
      <c r="H513" s="11"/>
      <c r="I513" s="11"/>
      <c r="J513" s="12"/>
      <c r="K513" s="13"/>
      <c r="L513" s="12"/>
      <c r="M513" s="13"/>
      <c r="N513" s="13"/>
      <c r="O513" s="13"/>
    </row>
    <row r="514">
      <c r="B514" s="11"/>
      <c r="C514" s="11"/>
      <c r="D514" s="11"/>
      <c r="E514" s="15"/>
      <c r="F514" s="11"/>
      <c r="G514" s="11"/>
      <c r="H514" s="11"/>
      <c r="I514" s="11"/>
      <c r="J514" s="12"/>
      <c r="K514" s="13"/>
      <c r="L514" s="12"/>
      <c r="M514" s="13"/>
      <c r="N514" s="13"/>
      <c r="O514" s="13"/>
    </row>
    <row r="515">
      <c r="B515" s="11"/>
      <c r="C515" s="11"/>
      <c r="D515" s="11"/>
      <c r="E515" s="15"/>
      <c r="F515" s="11"/>
      <c r="G515" s="11"/>
      <c r="H515" s="11"/>
      <c r="I515" s="11"/>
      <c r="J515" s="12"/>
      <c r="K515" s="13"/>
      <c r="L515" s="12"/>
      <c r="M515" s="13"/>
      <c r="N515" s="13"/>
      <c r="O515" s="13"/>
    </row>
    <row r="516">
      <c r="B516" s="11"/>
      <c r="C516" s="11"/>
      <c r="D516" s="11"/>
      <c r="E516" s="15"/>
      <c r="F516" s="11"/>
      <c r="G516" s="11"/>
      <c r="H516" s="11"/>
      <c r="I516" s="11"/>
      <c r="J516" s="12"/>
      <c r="K516" s="13"/>
      <c r="L516" s="12"/>
      <c r="M516" s="13"/>
      <c r="N516" s="13"/>
      <c r="O516" s="13"/>
    </row>
    <row r="517">
      <c r="B517" s="11"/>
      <c r="C517" s="11"/>
      <c r="D517" s="11"/>
      <c r="E517" s="15"/>
      <c r="F517" s="11"/>
      <c r="G517" s="11"/>
      <c r="H517" s="11"/>
      <c r="I517" s="11"/>
      <c r="J517" s="12"/>
      <c r="K517" s="13"/>
      <c r="L517" s="12"/>
      <c r="M517" s="13"/>
      <c r="N517" s="13"/>
      <c r="O517" s="13"/>
    </row>
    <row r="518">
      <c r="B518" s="11"/>
      <c r="C518" s="11"/>
      <c r="D518" s="11"/>
      <c r="E518" s="15"/>
      <c r="F518" s="11"/>
      <c r="G518" s="11"/>
      <c r="H518" s="11"/>
      <c r="I518" s="11"/>
      <c r="J518" s="12"/>
      <c r="K518" s="13"/>
      <c r="L518" s="12"/>
      <c r="M518" s="13"/>
      <c r="N518" s="13"/>
      <c r="O518" s="13"/>
    </row>
    <row r="519">
      <c r="B519" s="11"/>
      <c r="C519" s="11"/>
      <c r="D519" s="11"/>
      <c r="E519" s="15"/>
      <c r="F519" s="11"/>
      <c r="G519" s="11"/>
      <c r="H519" s="11"/>
      <c r="I519" s="11"/>
      <c r="J519" s="12"/>
      <c r="K519" s="13"/>
      <c r="L519" s="12"/>
      <c r="M519" s="13"/>
      <c r="N519" s="13"/>
      <c r="O519" s="13"/>
    </row>
    <row r="520">
      <c r="B520" s="11"/>
      <c r="C520" s="11"/>
      <c r="D520" s="11"/>
      <c r="E520" s="15"/>
      <c r="F520" s="11"/>
      <c r="G520" s="11"/>
      <c r="H520" s="11"/>
      <c r="I520" s="11"/>
      <c r="J520" s="12"/>
      <c r="K520" s="13"/>
      <c r="L520" s="12"/>
      <c r="M520" s="13"/>
      <c r="N520" s="13"/>
      <c r="O520" s="13"/>
    </row>
    <row r="521">
      <c r="B521" s="11"/>
      <c r="C521" s="11"/>
      <c r="D521" s="11"/>
      <c r="E521" s="15"/>
      <c r="F521" s="11"/>
      <c r="G521" s="11"/>
      <c r="H521" s="11"/>
      <c r="I521" s="11"/>
      <c r="J521" s="12"/>
      <c r="K521" s="13"/>
      <c r="L521" s="12"/>
      <c r="M521" s="13"/>
      <c r="N521" s="13"/>
      <c r="O521" s="13"/>
    </row>
    <row r="522">
      <c r="B522" s="11"/>
      <c r="C522" s="11"/>
      <c r="D522" s="11"/>
      <c r="E522" s="15"/>
      <c r="F522" s="11"/>
      <c r="G522" s="11"/>
      <c r="H522" s="11"/>
      <c r="I522" s="11"/>
      <c r="J522" s="12"/>
      <c r="K522" s="13"/>
      <c r="L522" s="12"/>
      <c r="M522" s="13"/>
      <c r="N522" s="13"/>
      <c r="O522" s="13"/>
    </row>
    <row r="523">
      <c r="B523" s="11"/>
      <c r="C523" s="11"/>
      <c r="D523" s="11"/>
      <c r="E523" s="15"/>
      <c r="F523" s="11"/>
      <c r="G523" s="11"/>
      <c r="H523" s="11"/>
      <c r="I523" s="11"/>
      <c r="J523" s="12"/>
      <c r="K523" s="13"/>
      <c r="L523" s="12"/>
      <c r="M523" s="13"/>
      <c r="N523" s="13"/>
      <c r="O523" s="13"/>
    </row>
    <row r="524">
      <c r="B524" s="11"/>
      <c r="C524" s="11"/>
      <c r="D524" s="11"/>
      <c r="E524" s="15"/>
      <c r="F524" s="11"/>
      <c r="G524" s="11"/>
      <c r="H524" s="11"/>
      <c r="I524" s="11"/>
      <c r="J524" s="12"/>
      <c r="K524" s="13"/>
      <c r="L524" s="12"/>
      <c r="M524" s="13"/>
      <c r="N524" s="13"/>
      <c r="O524" s="13"/>
    </row>
    <row r="525">
      <c r="B525" s="11"/>
      <c r="C525" s="11"/>
      <c r="D525" s="11"/>
      <c r="E525" s="15"/>
      <c r="F525" s="11"/>
      <c r="G525" s="11"/>
      <c r="H525" s="11"/>
      <c r="I525" s="11"/>
      <c r="J525" s="12"/>
      <c r="K525" s="13"/>
      <c r="L525" s="12"/>
      <c r="M525" s="13"/>
      <c r="N525" s="13"/>
      <c r="O525" s="13"/>
    </row>
    <row r="526">
      <c r="B526" s="11"/>
      <c r="C526" s="11"/>
      <c r="D526" s="11"/>
      <c r="E526" s="15"/>
      <c r="F526" s="11"/>
      <c r="G526" s="11"/>
      <c r="H526" s="11"/>
      <c r="I526" s="11"/>
      <c r="J526" s="12"/>
      <c r="K526" s="13"/>
      <c r="L526" s="12"/>
      <c r="M526" s="13"/>
      <c r="N526" s="13"/>
      <c r="O526" s="13"/>
    </row>
    <row r="527">
      <c r="B527" s="11"/>
      <c r="C527" s="11"/>
      <c r="D527" s="11"/>
      <c r="E527" s="15"/>
      <c r="F527" s="11"/>
      <c r="G527" s="11"/>
      <c r="H527" s="11"/>
      <c r="I527" s="11"/>
      <c r="J527" s="12"/>
      <c r="K527" s="13"/>
      <c r="L527" s="12"/>
      <c r="M527" s="13"/>
      <c r="N527" s="13"/>
      <c r="O527" s="13"/>
    </row>
    <row r="528">
      <c r="B528" s="11"/>
      <c r="C528" s="11"/>
      <c r="D528" s="11"/>
      <c r="E528" s="15"/>
      <c r="F528" s="11"/>
      <c r="G528" s="11"/>
      <c r="H528" s="11"/>
      <c r="I528" s="11"/>
      <c r="J528" s="12"/>
      <c r="K528" s="13"/>
      <c r="L528" s="12"/>
      <c r="M528" s="13"/>
      <c r="N528" s="13"/>
      <c r="O528" s="13"/>
    </row>
    <row r="529">
      <c r="B529" s="11"/>
      <c r="C529" s="11"/>
      <c r="D529" s="11"/>
      <c r="E529" s="15"/>
      <c r="F529" s="11"/>
      <c r="G529" s="11"/>
      <c r="H529" s="11"/>
      <c r="I529" s="11"/>
      <c r="J529" s="12"/>
      <c r="K529" s="13"/>
      <c r="L529" s="12"/>
      <c r="M529" s="13"/>
      <c r="N529" s="13"/>
      <c r="O529" s="13"/>
    </row>
    <row r="530">
      <c r="B530" s="11"/>
      <c r="C530" s="11"/>
      <c r="D530" s="11"/>
      <c r="E530" s="15"/>
      <c r="F530" s="11"/>
      <c r="G530" s="11"/>
      <c r="H530" s="11"/>
      <c r="I530" s="11"/>
      <c r="J530" s="12"/>
      <c r="K530" s="13"/>
      <c r="L530" s="12"/>
      <c r="M530" s="13"/>
      <c r="N530" s="13"/>
      <c r="O530" s="13"/>
    </row>
    <row r="531">
      <c r="B531" s="11"/>
      <c r="C531" s="11"/>
      <c r="D531" s="11"/>
      <c r="E531" s="15"/>
      <c r="F531" s="11"/>
      <c r="G531" s="11"/>
      <c r="H531" s="11"/>
      <c r="I531" s="11"/>
      <c r="J531" s="12"/>
      <c r="K531" s="13"/>
      <c r="L531" s="12"/>
      <c r="M531" s="13"/>
      <c r="N531" s="13"/>
      <c r="O531" s="13"/>
    </row>
    <row r="532">
      <c r="B532" s="11"/>
      <c r="C532" s="11"/>
      <c r="D532" s="11"/>
      <c r="E532" s="15"/>
      <c r="F532" s="11"/>
      <c r="G532" s="11"/>
      <c r="H532" s="11"/>
      <c r="I532" s="11"/>
      <c r="J532" s="12"/>
      <c r="K532" s="13"/>
      <c r="L532" s="12"/>
      <c r="M532" s="13"/>
      <c r="N532" s="13"/>
      <c r="O532" s="13"/>
    </row>
    <row r="533">
      <c r="B533" s="11"/>
      <c r="C533" s="11"/>
      <c r="D533" s="11"/>
      <c r="E533" s="15"/>
      <c r="F533" s="11"/>
      <c r="G533" s="11"/>
      <c r="H533" s="11"/>
      <c r="I533" s="11"/>
      <c r="J533" s="12"/>
      <c r="K533" s="13"/>
      <c r="L533" s="12"/>
      <c r="M533" s="13"/>
      <c r="N533" s="13"/>
      <c r="O533" s="13"/>
    </row>
    <row r="534">
      <c r="B534" s="11"/>
      <c r="C534" s="11"/>
      <c r="D534" s="11"/>
      <c r="E534" s="15"/>
      <c r="F534" s="11"/>
      <c r="G534" s="11"/>
      <c r="H534" s="11"/>
      <c r="I534" s="11"/>
      <c r="J534" s="12"/>
      <c r="K534" s="13"/>
      <c r="L534" s="12"/>
      <c r="M534" s="13"/>
      <c r="N534" s="13"/>
      <c r="O534" s="13"/>
    </row>
    <row r="535">
      <c r="B535" s="11"/>
      <c r="C535" s="11"/>
      <c r="D535" s="11"/>
      <c r="E535" s="15"/>
      <c r="F535" s="11"/>
      <c r="G535" s="11"/>
      <c r="H535" s="11"/>
      <c r="I535" s="11"/>
      <c r="J535" s="12"/>
      <c r="K535" s="13"/>
      <c r="L535" s="12"/>
      <c r="M535" s="13"/>
      <c r="N535" s="13"/>
      <c r="O535" s="13"/>
    </row>
    <row r="536">
      <c r="B536" s="11"/>
      <c r="C536" s="11"/>
      <c r="D536" s="11"/>
      <c r="E536" s="15"/>
      <c r="F536" s="11"/>
      <c r="G536" s="11"/>
      <c r="H536" s="11"/>
      <c r="I536" s="11"/>
      <c r="J536" s="12"/>
      <c r="K536" s="13"/>
      <c r="L536" s="12"/>
      <c r="M536" s="13"/>
      <c r="N536" s="13"/>
      <c r="O536" s="13"/>
    </row>
    <row r="537">
      <c r="B537" s="11"/>
      <c r="C537" s="11"/>
      <c r="D537" s="11"/>
      <c r="E537" s="15"/>
      <c r="F537" s="11"/>
      <c r="G537" s="11"/>
      <c r="H537" s="11"/>
      <c r="I537" s="11"/>
      <c r="J537" s="12"/>
      <c r="K537" s="13"/>
      <c r="L537" s="12"/>
      <c r="M537" s="13"/>
      <c r="N537" s="13"/>
      <c r="O537" s="13"/>
    </row>
    <row r="538">
      <c r="B538" s="11"/>
      <c r="C538" s="11"/>
      <c r="D538" s="11"/>
      <c r="E538" s="15"/>
      <c r="F538" s="11"/>
      <c r="G538" s="11"/>
      <c r="H538" s="11"/>
      <c r="I538" s="11"/>
      <c r="J538" s="12"/>
      <c r="K538" s="13"/>
      <c r="L538" s="12"/>
      <c r="M538" s="13"/>
      <c r="N538" s="13"/>
      <c r="O538" s="13"/>
    </row>
    <row r="539">
      <c r="B539" s="11"/>
      <c r="C539" s="11"/>
      <c r="D539" s="11"/>
      <c r="E539" s="15"/>
      <c r="F539" s="11"/>
      <c r="G539" s="11"/>
      <c r="H539" s="11"/>
      <c r="I539" s="11"/>
      <c r="J539" s="12"/>
      <c r="K539" s="13"/>
      <c r="L539" s="12"/>
      <c r="M539" s="13"/>
      <c r="N539" s="13"/>
      <c r="O539" s="13"/>
    </row>
    <row r="540">
      <c r="B540" s="11"/>
      <c r="C540" s="11"/>
      <c r="D540" s="11"/>
      <c r="E540" s="15"/>
      <c r="F540" s="11"/>
      <c r="G540" s="11"/>
      <c r="H540" s="11"/>
      <c r="I540" s="11"/>
      <c r="J540" s="12"/>
      <c r="K540" s="13"/>
      <c r="L540" s="12"/>
      <c r="M540" s="13"/>
      <c r="N540" s="13"/>
      <c r="O540" s="13"/>
    </row>
    <row r="541">
      <c r="B541" s="11"/>
      <c r="C541" s="11"/>
      <c r="D541" s="11"/>
      <c r="E541" s="15"/>
      <c r="F541" s="11"/>
      <c r="G541" s="11"/>
      <c r="H541" s="11"/>
      <c r="I541" s="11"/>
      <c r="J541" s="12"/>
      <c r="K541" s="13"/>
      <c r="L541" s="12"/>
      <c r="M541" s="13"/>
      <c r="N541" s="13"/>
      <c r="O541" s="13"/>
    </row>
    <row r="542">
      <c r="B542" s="11"/>
      <c r="C542" s="11"/>
      <c r="D542" s="11"/>
      <c r="E542" s="15"/>
      <c r="F542" s="11"/>
      <c r="G542" s="11"/>
      <c r="H542" s="11"/>
      <c r="I542" s="11"/>
      <c r="J542" s="12"/>
      <c r="K542" s="13"/>
      <c r="L542" s="12"/>
      <c r="M542" s="13"/>
      <c r="N542" s="13"/>
      <c r="O542" s="13"/>
    </row>
    <row r="543">
      <c r="B543" s="11"/>
      <c r="C543" s="11"/>
      <c r="D543" s="11"/>
      <c r="E543" s="15"/>
      <c r="F543" s="11"/>
      <c r="G543" s="11"/>
      <c r="H543" s="11"/>
      <c r="I543" s="11"/>
      <c r="J543" s="12"/>
      <c r="K543" s="13"/>
      <c r="L543" s="12"/>
      <c r="M543" s="13"/>
      <c r="N543" s="13"/>
      <c r="O543" s="13"/>
    </row>
    <row r="544">
      <c r="B544" s="11"/>
      <c r="C544" s="11"/>
      <c r="D544" s="11"/>
      <c r="E544" s="15"/>
      <c r="F544" s="11"/>
      <c r="G544" s="11"/>
      <c r="H544" s="11"/>
      <c r="I544" s="11"/>
      <c r="J544" s="12"/>
      <c r="K544" s="13"/>
      <c r="L544" s="12"/>
      <c r="M544" s="13"/>
      <c r="N544" s="13"/>
      <c r="O544" s="13"/>
    </row>
    <row r="545">
      <c r="B545" s="11"/>
      <c r="C545" s="11"/>
      <c r="D545" s="11"/>
      <c r="E545" s="15"/>
      <c r="F545" s="11"/>
      <c r="G545" s="11"/>
      <c r="H545" s="11"/>
      <c r="I545" s="11"/>
      <c r="J545" s="12"/>
      <c r="K545" s="13"/>
      <c r="L545" s="12"/>
      <c r="M545" s="13"/>
      <c r="N545" s="13"/>
      <c r="O545" s="13"/>
    </row>
    <row r="546">
      <c r="B546" s="11"/>
      <c r="C546" s="11"/>
      <c r="D546" s="11"/>
      <c r="E546" s="15"/>
      <c r="F546" s="11"/>
      <c r="G546" s="11"/>
      <c r="H546" s="11"/>
      <c r="I546" s="11"/>
      <c r="J546" s="12"/>
      <c r="K546" s="13"/>
      <c r="L546" s="12"/>
      <c r="M546" s="13"/>
      <c r="N546" s="13"/>
      <c r="O546" s="13"/>
    </row>
    <row r="547">
      <c r="B547" s="11"/>
      <c r="C547" s="11"/>
      <c r="D547" s="11"/>
      <c r="E547" s="15"/>
      <c r="F547" s="11"/>
      <c r="G547" s="11"/>
      <c r="H547" s="11"/>
      <c r="I547" s="11"/>
      <c r="J547" s="12"/>
      <c r="K547" s="13"/>
      <c r="L547" s="12"/>
      <c r="M547" s="13"/>
      <c r="N547" s="13"/>
      <c r="O547" s="13"/>
    </row>
    <row r="548">
      <c r="B548" s="11"/>
      <c r="C548" s="11"/>
      <c r="D548" s="11"/>
      <c r="E548" s="15"/>
      <c r="F548" s="11"/>
      <c r="G548" s="11"/>
      <c r="H548" s="11"/>
      <c r="I548" s="11"/>
      <c r="J548" s="12"/>
      <c r="K548" s="13"/>
      <c r="L548" s="12"/>
      <c r="M548" s="13"/>
      <c r="N548" s="13"/>
      <c r="O548" s="13"/>
    </row>
    <row r="549">
      <c r="B549" s="11"/>
      <c r="C549" s="11"/>
      <c r="D549" s="11"/>
      <c r="E549" s="15"/>
      <c r="F549" s="11"/>
      <c r="G549" s="11"/>
      <c r="H549" s="11"/>
      <c r="I549" s="11"/>
      <c r="J549" s="12"/>
      <c r="K549" s="13"/>
      <c r="L549" s="12"/>
      <c r="M549" s="13"/>
      <c r="N549" s="13"/>
      <c r="O549" s="13"/>
    </row>
    <row r="550">
      <c r="B550" s="11"/>
      <c r="C550" s="11"/>
      <c r="D550" s="11"/>
      <c r="E550" s="15"/>
      <c r="F550" s="11"/>
      <c r="G550" s="11"/>
      <c r="H550" s="11"/>
      <c r="I550" s="11"/>
      <c r="J550" s="12"/>
      <c r="K550" s="13"/>
      <c r="L550" s="12"/>
      <c r="M550" s="13"/>
      <c r="N550" s="13"/>
      <c r="O550" s="13"/>
    </row>
    <row r="551">
      <c r="B551" s="11"/>
      <c r="C551" s="11"/>
      <c r="D551" s="11"/>
      <c r="E551" s="15"/>
      <c r="F551" s="11"/>
      <c r="G551" s="11"/>
      <c r="H551" s="11"/>
      <c r="I551" s="11"/>
      <c r="J551" s="12"/>
      <c r="K551" s="13"/>
      <c r="L551" s="12"/>
      <c r="M551" s="13"/>
      <c r="N551" s="13"/>
      <c r="O551" s="13"/>
    </row>
    <row r="552">
      <c r="B552" s="11"/>
      <c r="C552" s="11"/>
      <c r="D552" s="11"/>
      <c r="E552" s="15"/>
      <c r="F552" s="11"/>
      <c r="G552" s="11"/>
      <c r="H552" s="11"/>
      <c r="I552" s="11"/>
      <c r="J552" s="12"/>
      <c r="K552" s="13"/>
      <c r="L552" s="12"/>
      <c r="M552" s="13"/>
      <c r="N552" s="13"/>
      <c r="O552" s="13"/>
    </row>
    <row r="553">
      <c r="B553" s="11"/>
      <c r="C553" s="11"/>
      <c r="D553" s="11"/>
      <c r="E553" s="15"/>
      <c r="F553" s="11"/>
      <c r="G553" s="11"/>
      <c r="H553" s="11"/>
      <c r="I553" s="11"/>
      <c r="J553" s="12"/>
      <c r="K553" s="13"/>
      <c r="L553" s="12"/>
      <c r="M553" s="13"/>
      <c r="N553" s="13"/>
      <c r="O553" s="13"/>
    </row>
    <row r="554">
      <c r="B554" s="11"/>
      <c r="C554" s="11"/>
      <c r="D554" s="11"/>
      <c r="E554" s="15"/>
      <c r="F554" s="11"/>
      <c r="G554" s="11"/>
      <c r="H554" s="11"/>
      <c r="I554" s="11"/>
      <c r="J554" s="12"/>
      <c r="K554" s="13"/>
      <c r="L554" s="12"/>
      <c r="M554" s="13"/>
      <c r="N554" s="13"/>
      <c r="O554" s="13"/>
    </row>
    <row r="555">
      <c r="B555" s="11"/>
      <c r="C555" s="11"/>
      <c r="D555" s="11"/>
      <c r="E555" s="15"/>
      <c r="F555" s="11"/>
      <c r="G555" s="11"/>
      <c r="H555" s="11"/>
      <c r="I555" s="11"/>
      <c r="J555" s="12"/>
      <c r="K555" s="13"/>
      <c r="L555" s="12"/>
      <c r="M555" s="13"/>
      <c r="N555" s="13"/>
      <c r="O555" s="13"/>
    </row>
    <row r="556">
      <c r="B556" s="11"/>
      <c r="C556" s="11"/>
      <c r="D556" s="11"/>
      <c r="E556" s="15"/>
      <c r="F556" s="11"/>
      <c r="G556" s="11"/>
      <c r="H556" s="11"/>
      <c r="I556" s="11"/>
      <c r="J556" s="12"/>
      <c r="K556" s="13"/>
      <c r="L556" s="12"/>
      <c r="M556" s="13"/>
      <c r="N556" s="13"/>
      <c r="O556" s="13"/>
    </row>
    <row r="557">
      <c r="B557" s="11"/>
      <c r="C557" s="11"/>
      <c r="D557" s="11"/>
      <c r="E557" s="15"/>
      <c r="F557" s="11"/>
      <c r="G557" s="11"/>
      <c r="H557" s="11"/>
      <c r="I557" s="11"/>
      <c r="J557" s="12"/>
      <c r="K557" s="13"/>
      <c r="L557" s="12"/>
      <c r="M557" s="13"/>
      <c r="N557" s="13"/>
      <c r="O557" s="13"/>
    </row>
    <row r="558">
      <c r="B558" s="11"/>
      <c r="C558" s="11"/>
      <c r="D558" s="11"/>
      <c r="E558" s="15"/>
      <c r="F558" s="11"/>
      <c r="G558" s="11"/>
      <c r="H558" s="11"/>
      <c r="I558" s="11"/>
      <c r="J558" s="12"/>
      <c r="K558" s="13"/>
      <c r="L558" s="12"/>
      <c r="M558" s="13"/>
      <c r="N558" s="13"/>
      <c r="O558" s="13"/>
    </row>
    <row r="559">
      <c r="B559" s="11"/>
      <c r="C559" s="11"/>
      <c r="D559" s="11"/>
      <c r="E559" s="15"/>
      <c r="F559" s="11"/>
      <c r="G559" s="11"/>
      <c r="H559" s="11"/>
      <c r="I559" s="11"/>
      <c r="J559" s="12"/>
      <c r="K559" s="13"/>
      <c r="L559" s="12"/>
      <c r="M559" s="13"/>
      <c r="N559" s="13"/>
      <c r="O559" s="13"/>
    </row>
    <row r="560">
      <c r="B560" s="11"/>
      <c r="C560" s="11"/>
      <c r="D560" s="11"/>
      <c r="E560" s="15"/>
      <c r="F560" s="11"/>
      <c r="G560" s="11"/>
      <c r="H560" s="11"/>
      <c r="I560" s="11"/>
      <c r="J560" s="12"/>
      <c r="K560" s="13"/>
      <c r="L560" s="12"/>
      <c r="M560" s="13"/>
      <c r="N560" s="13"/>
      <c r="O560" s="13"/>
    </row>
    <row r="561">
      <c r="B561" s="11"/>
      <c r="C561" s="11"/>
      <c r="D561" s="11"/>
      <c r="E561" s="15"/>
      <c r="F561" s="11"/>
      <c r="G561" s="11"/>
      <c r="H561" s="11"/>
      <c r="I561" s="11"/>
      <c r="J561" s="12"/>
      <c r="K561" s="13"/>
      <c r="L561" s="12"/>
      <c r="M561" s="13"/>
      <c r="N561" s="13"/>
      <c r="O561" s="13"/>
    </row>
    <row r="562">
      <c r="B562" s="11"/>
      <c r="C562" s="11"/>
      <c r="D562" s="11"/>
      <c r="E562" s="15"/>
      <c r="F562" s="11"/>
      <c r="G562" s="11"/>
      <c r="H562" s="11"/>
      <c r="I562" s="11"/>
      <c r="J562" s="12"/>
      <c r="K562" s="13"/>
      <c r="L562" s="12"/>
      <c r="M562" s="13"/>
      <c r="N562" s="13"/>
      <c r="O562" s="13"/>
    </row>
    <row r="563">
      <c r="B563" s="11"/>
      <c r="C563" s="11"/>
      <c r="D563" s="11"/>
      <c r="E563" s="15"/>
      <c r="F563" s="11"/>
      <c r="G563" s="11"/>
      <c r="H563" s="11"/>
      <c r="I563" s="11"/>
      <c r="J563" s="12"/>
      <c r="K563" s="13"/>
      <c r="L563" s="12"/>
      <c r="M563" s="13"/>
      <c r="N563" s="13"/>
      <c r="O563" s="13"/>
    </row>
    <row r="564">
      <c r="B564" s="11"/>
      <c r="C564" s="11"/>
      <c r="D564" s="11"/>
      <c r="E564" s="15"/>
      <c r="F564" s="11"/>
      <c r="G564" s="11"/>
      <c r="H564" s="11"/>
      <c r="I564" s="11"/>
      <c r="J564" s="12"/>
      <c r="K564" s="13"/>
      <c r="L564" s="12"/>
      <c r="M564" s="13"/>
      <c r="N564" s="13"/>
      <c r="O564" s="13"/>
    </row>
    <row r="565">
      <c r="B565" s="11"/>
      <c r="C565" s="11"/>
      <c r="D565" s="11"/>
      <c r="E565" s="15"/>
      <c r="F565" s="11"/>
      <c r="G565" s="11"/>
      <c r="H565" s="11"/>
      <c r="I565" s="11"/>
      <c r="J565" s="12"/>
      <c r="K565" s="13"/>
      <c r="L565" s="12"/>
      <c r="M565" s="13"/>
      <c r="N565" s="13"/>
      <c r="O565" s="13"/>
    </row>
    <row r="566">
      <c r="B566" s="11"/>
      <c r="C566" s="11"/>
      <c r="D566" s="11"/>
      <c r="E566" s="15"/>
      <c r="F566" s="11"/>
      <c r="G566" s="11"/>
      <c r="H566" s="11"/>
      <c r="I566" s="11"/>
      <c r="J566" s="12"/>
      <c r="K566" s="13"/>
      <c r="L566" s="12"/>
      <c r="M566" s="13"/>
      <c r="N566" s="13"/>
      <c r="O566" s="13"/>
    </row>
    <row r="567">
      <c r="B567" s="11"/>
      <c r="C567" s="11"/>
      <c r="D567" s="11"/>
      <c r="E567" s="15"/>
      <c r="F567" s="11"/>
      <c r="G567" s="11"/>
      <c r="H567" s="11"/>
      <c r="I567" s="11"/>
      <c r="J567" s="12"/>
      <c r="K567" s="13"/>
      <c r="L567" s="12"/>
      <c r="M567" s="13"/>
      <c r="N567" s="13"/>
      <c r="O567" s="13"/>
    </row>
    <row r="568">
      <c r="B568" s="11"/>
      <c r="C568" s="11"/>
      <c r="D568" s="11"/>
      <c r="E568" s="15"/>
      <c r="F568" s="11"/>
      <c r="G568" s="11"/>
      <c r="H568" s="11"/>
      <c r="I568" s="11"/>
      <c r="J568" s="12"/>
      <c r="K568" s="13"/>
      <c r="L568" s="12"/>
      <c r="M568" s="13"/>
      <c r="N568" s="13"/>
      <c r="O568" s="13"/>
    </row>
    <row r="569">
      <c r="B569" s="11"/>
      <c r="C569" s="11"/>
      <c r="D569" s="11"/>
      <c r="E569" s="15"/>
      <c r="F569" s="11"/>
      <c r="G569" s="11"/>
      <c r="H569" s="11"/>
      <c r="I569" s="11"/>
      <c r="J569" s="12"/>
      <c r="K569" s="13"/>
      <c r="L569" s="12"/>
      <c r="M569" s="13"/>
      <c r="N569" s="13"/>
      <c r="O569" s="13"/>
    </row>
    <row r="570">
      <c r="B570" s="11"/>
      <c r="C570" s="11"/>
      <c r="D570" s="11"/>
      <c r="E570" s="15"/>
      <c r="F570" s="11"/>
      <c r="G570" s="11"/>
      <c r="H570" s="11"/>
      <c r="I570" s="11"/>
      <c r="J570" s="12"/>
      <c r="K570" s="13"/>
      <c r="L570" s="12"/>
      <c r="M570" s="13"/>
      <c r="N570" s="13"/>
      <c r="O570" s="13"/>
    </row>
    <row r="571">
      <c r="B571" s="11"/>
      <c r="C571" s="11"/>
      <c r="D571" s="11"/>
      <c r="E571" s="15"/>
      <c r="F571" s="11"/>
      <c r="G571" s="11"/>
      <c r="H571" s="11"/>
      <c r="I571" s="11"/>
      <c r="J571" s="12"/>
      <c r="K571" s="13"/>
      <c r="L571" s="12"/>
      <c r="M571" s="13"/>
      <c r="N571" s="13"/>
      <c r="O571" s="13"/>
    </row>
    <row r="572">
      <c r="B572" s="11"/>
      <c r="C572" s="11"/>
      <c r="D572" s="11"/>
      <c r="E572" s="15"/>
      <c r="F572" s="11"/>
      <c r="G572" s="11"/>
      <c r="H572" s="11"/>
      <c r="I572" s="11"/>
      <c r="J572" s="12"/>
      <c r="K572" s="13"/>
      <c r="L572" s="12"/>
      <c r="M572" s="13"/>
      <c r="N572" s="13"/>
      <c r="O572" s="13"/>
    </row>
    <row r="573">
      <c r="B573" s="11"/>
      <c r="C573" s="11"/>
      <c r="D573" s="11"/>
      <c r="E573" s="15"/>
      <c r="F573" s="11"/>
      <c r="G573" s="11"/>
      <c r="H573" s="11"/>
      <c r="I573" s="11"/>
      <c r="J573" s="12"/>
      <c r="K573" s="13"/>
      <c r="L573" s="12"/>
      <c r="M573" s="13"/>
      <c r="N573" s="13"/>
      <c r="O573" s="13"/>
    </row>
    <row r="574">
      <c r="B574" s="11"/>
      <c r="C574" s="11"/>
      <c r="D574" s="11"/>
      <c r="E574" s="15"/>
      <c r="F574" s="11"/>
      <c r="G574" s="11"/>
      <c r="H574" s="11"/>
      <c r="I574" s="11"/>
      <c r="J574" s="12"/>
      <c r="K574" s="13"/>
      <c r="L574" s="12"/>
      <c r="M574" s="13"/>
      <c r="N574" s="13"/>
      <c r="O574" s="13"/>
    </row>
    <row r="575">
      <c r="B575" s="11"/>
      <c r="C575" s="11"/>
      <c r="D575" s="11"/>
      <c r="E575" s="15"/>
      <c r="F575" s="11"/>
      <c r="G575" s="11"/>
      <c r="H575" s="11"/>
      <c r="I575" s="11"/>
      <c r="J575" s="12"/>
      <c r="K575" s="13"/>
      <c r="L575" s="12"/>
      <c r="M575" s="13"/>
      <c r="N575" s="13"/>
      <c r="O575" s="13"/>
    </row>
    <row r="576">
      <c r="B576" s="11"/>
      <c r="C576" s="11"/>
      <c r="D576" s="11"/>
      <c r="E576" s="15"/>
      <c r="F576" s="11"/>
      <c r="G576" s="11"/>
      <c r="H576" s="11"/>
      <c r="I576" s="11"/>
      <c r="J576" s="12"/>
      <c r="K576" s="13"/>
      <c r="L576" s="12"/>
      <c r="M576" s="13"/>
      <c r="N576" s="13"/>
      <c r="O576" s="13"/>
    </row>
    <row r="577">
      <c r="B577" s="11"/>
      <c r="C577" s="11"/>
      <c r="D577" s="11"/>
      <c r="E577" s="15"/>
      <c r="F577" s="11"/>
      <c r="G577" s="11"/>
      <c r="H577" s="11"/>
      <c r="I577" s="11"/>
      <c r="J577" s="12"/>
      <c r="K577" s="13"/>
      <c r="L577" s="12"/>
      <c r="M577" s="13"/>
      <c r="N577" s="13"/>
      <c r="O577" s="13"/>
    </row>
    <row r="578">
      <c r="B578" s="11"/>
      <c r="C578" s="11"/>
      <c r="D578" s="11"/>
      <c r="E578" s="15"/>
      <c r="F578" s="11"/>
      <c r="G578" s="11"/>
      <c r="H578" s="11"/>
      <c r="I578" s="11"/>
      <c r="J578" s="12"/>
      <c r="K578" s="13"/>
      <c r="L578" s="12"/>
      <c r="M578" s="13"/>
      <c r="N578" s="13"/>
      <c r="O578" s="13"/>
    </row>
    <row r="579">
      <c r="B579" s="11"/>
      <c r="C579" s="11"/>
      <c r="D579" s="11"/>
      <c r="E579" s="15"/>
      <c r="F579" s="11"/>
      <c r="G579" s="11"/>
      <c r="H579" s="11"/>
      <c r="I579" s="11"/>
      <c r="J579" s="12"/>
      <c r="K579" s="13"/>
      <c r="L579" s="12"/>
      <c r="M579" s="13"/>
      <c r="N579" s="13"/>
      <c r="O579" s="13"/>
    </row>
    <row r="580">
      <c r="B580" s="11"/>
      <c r="C580" s="11"/>
      <c r="D580" s="11"/>
      <c r="E580" s="15"/>
      <c r="F580" s="11"/>
      <c r="G580" s="11"/>
      <c r="H580" s="11"/>
      <c r="I580" s="11"/>
      <c r="J580" s="12"/>
      <c r="K580" s="13"/>
      <c r="L580" s="12"/>
      <c r="M580" s="13"/>
      <c r="N580" s="13"/>
      <c r="O580" s="13"/>
    </row>
    <row r="581">
      <c r="B581" s="11"/>
      <c r="C581" s="11"/>
      <c r="D581" s="11"/>
      <c r="E581" s="15"/>
      <c r="F581" s="11"/>
      <c r="G581" s="11"/>
      <c r="H581" s="11"/>
      <c r="I581" s="11"/>
      <c r="J581" s="12"/>
      <c r="K581" s="13"/>
      <c r="L581" s="12"/>
      <c r="M581" s="13"/>
      <c r="N581" s="13"/>
      <c r="O581" s="13"/>
    </row>
    <row r="582">
      <c r="B582" s="11"/>
      <c r="C582" s="11"/>
      <c r="D582" s="11"/>
      <c r="E582" s="15"/>
      <c r="F582" s="11"/>
      <c r="G582" s="11"/>
      <c r="H582" s="11"/>
      <c r="I582" s="11"/>
      <c r="J582" s="12"/>
      <c r="K582" s="13"/>
      <c r="L582" s="12"/>
      <c r="M582" s="13"/>
      <c r="N582" s="13"/>
      <c r="O582" s="13"/>
    </row>
    <row r="583">
      <c r="B583" s="11"/>
      <c r="C583" s="11"/>
      <c r="D583" s="11"/>
      <c r="E583" s="15"/>
      <c r="F583" s="11"/>
      <c r="G583" s="11"/>
      <c r="H583" s="11"/>
      <c r="I583" s="11"/>
      <c r="J583" s="12"/>
      <c r="K583" s="13"/>
      <c r="L583" s="12"/>
      <c r="M583" s="13"/>
      <c r="N583" s="13"/>
      <c r="O583" s="13"/>
    </row>
    <row r="584">
      <c r="B584" s="11"/>
      <c r="C584" s="11"/>
      <c r="D584" s="11"/>
      <c r="E584" s="15"/>
      <c r="F584" s="11"/>
      <c r="G584" s="11"/>
      <c r="H584" s="11"/>
      <c r="I584" s="11"/>
      <c r="J584" s="12"/>
      <c r="K584" s="13"/>
      <c r="L584" s="12"/>
      <c r="M584" s="13"/>
      <c r="N584" s="13"/>
      <c r="O584" s="13"/>
    </row>
    <row r="585">
      <c r="B585" s="11"/>
      <c r="C585" s="11"/>
      <c r="D585" s="11"/>
      <c r="E585" s="15"/>
      <c r="F585" s="11"/>
      <c r="G585" s="11"/>
      <c r="H585" s="11"/>
      <c r="I585" s="11"/>
      <c r="J585" s="12"/>
      <c r="K585" s="13"/>
      <c r="L585" s="12"/>
      <c r="M585" s="13"/>
      <c r="N585" s="13"/>
      <c r="O585" s="13"/>
    </row>
    <row r="586">
      <c r="B586" s="11"/>
      <c r="C586" s="11"/>
      <c r="D586" s="11"/>
      <c r="E586" s="15"/>
      <c r="F586" s="11"/>
      <c r="G586" s="11"/>
      <c r="H586" s="11"/>
      <c r="I586" s="11"/>
      <c r="J586" s="12"/>
      <c r="K586" s="13"/>
      <c r="L586" s="12"/>
      <c r="M586" s="13"/>
      <c r="N586" s="13"/>
      <c r="O586" s="13"/>
    </row>
    <row r="587">
      <c r="B587" s="11"/>
      <c r="C587" s="11"/>
      <c r="D587" s="11"/>
      <c r="E587" s="15"/>
      <c r="F587" s="11"/>
      <c r="G587" s="11"/>
      <c r="H587" s="11"/>
      <c r="I587" s="11"/>
      <c r="J587" s="12"/>
      <c r="K587" s="13"/>
      <c r="L587" s="12"/>
      <c r="M587" s="13"/>
      <c r="N587" s="13"/>
      <c r="O587" s="13"/>
    </row>
    <row r="588">
      <c r="B588" s="11"/>
      <c r="C588" s="11"/>
      <c r="D588" s="11"/>
      <c r="E588" s="15"/>
      <c r="F588" s="11"/>
      <c r="G588" s="11"/>
      <c r="H588" s="11"/>
      <c r="I588" s="11"/>
      <c r="J588" s="12"/>
      <c r="K588" s="13"/>
      <c r="L588" s="12"/>
      <c r="M588" s="13"/>
      <c r="N588" s="13"/>
      <c r="O588" s="13"/>
    </row>
    <row r="589">
      <c r="B589" s="11"/>
      <c r="C589" s="11"/>
      <c r="D589" s="11"/>
      <c r="E589" s="15"/>
      <c r="F589" s="11"/>
      <c r="G589" s="11"/>
      <c r="H589" s="11"/>
      <c r="I589" s="11"/>
      <c r="J589" s="12"/>
      <c r="K589" s="13"/>
      <c r="L589" s="12"/>
      <c r="M589" s="13"/>
      <c r="N589" s="13"/>
      <c r="O589" s="13"/>
    </row>
    <row r="590">
      <c r="B590" s="11"/>
      <c r="C590" s="11"/>
      <c r="D590" s="11"/>
      <c r="E590" s="15"/>
      <c r="F590" s="11"/>
      <c r="G590" s="11"/>
      <c r="H590" s="11"/>
      <c r="I590" s="11"/>
      <c r="J590" s="12"/>
      <c r="K590" s="13"/>
      <c r="L590" s="12"/>
      <c r="M590" s="13"/>
      <c r="N590" s="13"/>
      <c r="O590" s="13"/>
    </row>
    <row r="591">
      <c r="B591" s="11"/>
      <c r="C591" s="11"/>
      <c r="D591" s="11"/>
      <c r="E591" s="15"/>
      <c r="F591" s="11"/>
      <c r="G591" s="11"/>
      <c r="H591" s="11"/>
      <c r="I591" s="11"/>
      <c r="J591" s="12"/>
      <c r="K591" s="13"/>
      <c r="L591" s="12"/>
      <c r="M591" s="13"/>
      <c r="N591" s="13"/>
      <c r="O591" s="13"/>
    </row>
    <row r="592">
      <c r="B592" s="11"/>
      <c r="C592" s="11"/>
      <c r="D592" s="11"/>
      <c r="E592" s="15"/>
      <c r="F592" s="11"/>
      <c r="G592" s="11"/>
      <c r="H592" s="11"/>
      <c r="I592" s="11"/>
      <c r="J592" s="12"/>
      <c r="K592" s="13"/>
      <c r="L592" s="12"/>
      <c r="M592" s="13"/>
      <c r="N592" s="13"/>
      <c r="O592" s="13"/>
    </row>
    <row r="593">
      <c r="B593" s="11"/>
      <c r="C593" s="11"/>
      <c r="D593" s="11"/>
      <c r="E593" s="15"/>
      <c r="F593" s="11"/>
      <c r="G593" s="11"/>
      <c r="H593" s="11"/>
      <c r="I593" s="11"/>
      <c r="J593" s="12"/>
      <c r="K593" s="13"/>
      <c r="L593" s="12"/>
      <c r="M593" s="13"/>
      <c r="N593" s="13"/>
      <c r="O593" s="13"/>
    </row>
    <row r="594">
      <c r="B594" s="11"/>
      <c r="C594" s="11"/>
      <c r="D594" s="11"/>
      <c r="E594" s="15"/>
      <c r="F594" s="11"/>
      <c r="G594" s="11"/>
      <c r="H594" s="11"/>
      <c r="I594" s="11"/>
      <c r="J594" s="12"/>
      <c r="K594" s="13"/>
      <c r="L594" s="12"/>
      <c r="M594" s="13"/>
      <c r="N594" s="13"/>
      <c r="O594" s="13"/>
    </row>
    <row r="595">
      <c r="B595" s="11"/>
      <c r="C595" s="11"/>
      <c r="D595" s="11"/>
      <c r="E595" s="15"/>
      <c r="F595" s="11"/>
      <c r="G595" s="11"/>
      <c r="H595" s="11"/>
      <c r="I595" s="11"/>
      <c r="J595" s="12"/>
      <c r="K595" s="13"/>
      <c r="L595" s="12"/>
      <c r="M595" s="13"/>
      <c r="N595" s="13"/>
      <c r="O595" s="13"/>
    </row>
    <row r="596">
      <c r="B596" s="11"/>
      <c r="C596" s="11"/>
      <c r="D596" s="11"/>
      <c r="E596" s="15"/>
      <c r="F596" s="11"/>
      <c r="G596" s="11"/>
      <c r="H596" s="11"/>
      <c r="I596" s="11"/>
      <c r="J596" s="12"/>
      <c r="K596" s="13"/>
      <c r="L596" s="12"/>
      <c r="M596" s="13"/>
      <c r="N596" s="13"/>
      <c r="O596" s="13"/>
    </row>
    <row r="597">
      <c r="B597" s="11"/>
      <c r="C597" s="11"/>
      <c r="D597" s="11"/>
      <c r="E597" s="15"/>
      <c r="F597" s="11"/>
      <c r="G597" s="11"/>
      <c r="H597" s="11"/>
      <c r="I597" s="11"/>
      <c r="J597" s="12"/>
      <c r="K597" s="13"/>
      <c r="L597" s="12"/>
      <c r="M597" s="13"/>
      <c r="N597" s="13"/>
      <c r="O597" s="13"/>
    </row>
    <row r="598">
      <c r="B598" s="11"/>
      <c r="C598" s="11"/>
      <c r="D598" s="11"/>
      <c r="E598" s="15"/>
      <c r="F598" s="11"/>
      <c r="G598" s="11"/>
      <c r="H598" s="11"/>
      <c r="I598" s="11"/>
      <c r="J598" s="12"/>
      <c r="K598" s="13"/>
      <c r="L598" s="12"/>
      <c r="M598" s="13"/>
      <c r="N598" s="13"/>
      <c r="O598" s="13"/>
    </row>
    <row r="599">
      <c r="B599" s="11"/>
      <c r="C599" s="11"/>
      <c r="D599" s="11"/>
      <c r="E599" s="15"/>
      <c r="F599" s="11"/>
      <c r="G599" s="11"/>
      <c r="H599" s="11"/>
      <c r="I599" s="11"/>
      <c r="J599" s="12"/>
      <c r="K599" s="13"/>
      <c r="L599" s="12"/>
      <c r="M599" s="13"/>
      <c r="N599" s="13"/>
      <c r="O599" s="13"/>
    </row>
    <row r="600">
      <c r="B600" s="11"/>
      <c r="C600" s="11"/>
      <c r="D600" s="11"/>
      <c r="E600" s="15"/>
      <c r="F600" s="11"/>
      <c r="G600" s="11"/>
      <c r="H600" s="11"/>
      <c r="I600" s="11"/>
      <c r="J600" s="12"/>
      <c r="K600" s="13"/>
      <c r="L600" s="12"/>
      <c r="M600" s="13"/>
      <c r="N600" s="13"/>
      <c r="O600" s="13"/>
    </row>
    <row r="601">
      <c r="B601" s="11"/>
      <c r="C601" s="11"/>
      <c r="D601" s="11"/>
      <c r="E601" s="15"/>
      <c r="F601" s="11"/>
      <c r="G601" s="11"/>
      <c r="H601" s="11"/>
      <c r="I601" s="11"/>
      <c r="J601" s="12"/>
      <c r="K601" s="13"/>
      <c r="L601" s="12"/>
      <c r="M601" s="13"/>
      <c r="N601" s="13"/>
      <c r="O601" s="13"/>
    </row>
    <row r="602">
      <c r="B602" s="11"/>
      <c r="C602" s="11"/>
      <c r="D602" s="11"/>
      <c r="E602" s="15"/>
      <c r="F602" s="11"/>
      <c r="G602" s="11"/>
      <c r="H602" s="11"/>
      <c r="I602" s="11"/>
      <c r="J602" s="12"/>
      <c r="K602" s="13"/>
      <c r="L602" s="12"/>
      <c r="M602" s="13"/>
      <c r="N602" s="13"/>
      <c r="O602" s="13"/>
    </row>
    <row r="603">
      <c r="B603" s="11"/>
      <c r="C603" s="11"/>
      <c r="D603" s="11"/>
      <c r="E603" s="15"/>
      <c r="F603" s="11"/>
      <c r="G603" s="11"/>
      <c r="H603" s="11"/>
      <c r="I603" s="11"/>
      <c r="J603" s="12"/>
      <c r="K603" s="13"/>
      <c r="L603" s="12"/>
      <c r="M603" s="13"/>
      <c r="N603" s="13"/>
      <c r="O603" s="13"/>
    </row>
    <row r="604">
      <c r="B604" s="11"/>
      <c r="C604" s="11"/>
      <c r="D604" s="11"/>
      <c r="E604" s="15"/>
      <c r="F604" s="11"/>
      <c r="G604" s="11"/>
      <c r="H604" s="11"/>
      <c r="I604" s="11"/>
      <c r="J604" s="12"/>
      <c r="K604" s="13"/>
      <c r="L604" s="12"/>
      <c r="M604" s="13"/>
      <c r="N604" s="13"/>
      <c r="O604" s="13"/>
    </row>
    <row r="605">
      <c r="B605" s="11"/>
      <c r="C605" s="11"/>
      <c r="D605" s="11"/>
      <c r="E605" s="15"/>
      <c r="F605" s="11"/>
      <c r="G605" s="11"/>
      <c r="H605" s="11"/>
      <c r="I605" s="11"/>
      <c r="J605" s="12"/>
      <c r="K605" s="13"/>
      <c r="L605" s="12"/>
      <c r="M605" s="13"/>
      <c r="N605" s="13"/>
      <c r="O605" s="13"/>
    </row>
    <row r="606">
      <c r="B606" s="11"/>
      <c r="C606" s="11"/>
      <c r="D606" s="11"/>
      <c r="E606" s="15"/>
      <c r="F606" s="11"/>
      <c r="G606" s="11"/>
      <c r="H606" s="11"/>
      <c r="I606" s="11"/>
      <c r="J606" s="12"/>
      <c r="K606" s="13"/>
      <c r="L606" s="12"/>
      <c r="M606" s="13"/>
      <c r="N606" s="13"/>
      <c r="O606" s="13"/>
    </row>
    <row r="607">
      <c r="B607" s="11"/>
      <c r="C607" s="11"/>
      <c r="D607" s="11"/>
      <c r="E607" s="15"/>
      <c r="F607" s="11"/>
      <c r="G607" s="11"/>
      <c r="H607" s="11"/>
      <c r="I607" s="11"/>
      <c r="J607" s="12"/>
      <c r="K607" s="13"/>
      <c r="L607" s="12"/>
      <c r="M607" s="13"/>
      <c r="N607" s="13"/>
      <c r="O607" s="13"/>
    </row>
    <row r="608">
      <c r="B608" s="11"/>
      <c r="C608" s="11"/>
      <c r="D608" s="11"/>
      <c r="E608" s="15"/>
      <c r="F608" s="11"/>
      <c r="G608" s="11"/>
      <c r="H608" s="11"/>
      <c r="I608" s="11"/>
      <c r="J608" s="12"/>
      <c r="K608" s="13"/>
      <c r="L608" s="12"/>
      <c r="M608" s="13"/>
      <c r="N608" s="13"/>
      <c r="O608" s="13"/>
    </row>
    <row r="609">
      <c r="B609" s="11"/>
      <c r="C609" s="11"/>
      <c r="D609" s="11"/>
      <c r="E609" s="15"/>
      <c r="F609" s="11"/>
      <c r="G609" s="11"/>
      <c r="H609" s="11"/>
      <c r="I609" s="11"/>
      <c r="J609" s="12"/>
      <c r="K609" s="13"/>
      <c r="L609" s="12"/>
      <c r="M609" s="13"/>
      <c r="N609" s="13"/>
      <c r="O609" s="13"/>
    </row>
    <row r="610">
      <c r="B610" s="11"/>
      <c r="C610" s="11"/>
      <c r="D610" s="11"/>
      <c r="E610" s="15"/>
      <c r="F610" s="11"/>
      <c r="G610" s="11"/>
      <c r="H610" s="11"/>
      <c r="I610" s="11"/>
      <c r="J610" s="12"/>
      <c r="K610" s="13"/>
      <c r="L610" s="12"/>
      <c r="M610" s="13"/>
      <c r="N610" s="13"/>
      <c r="O610" s="13"/>
    </row>
    <row r="611">
      <c r="B611" s="11"/>
      <c r="C611" s="11"/>
      <c r="D611" s="11"/>
      <c r="E611" s="15"/>
      <c r="F611" s="11"/>
      <c r="G611" s="11"/>
      <c r="H611" s="11"/>
      <c r="I611" s="11"/>
      <c r="J611" s="12"/>
      <c r="K611" s="13"/>
      <c r="L611" s="12"/>
      <c r="M611" s="13"/>
      <c r="N611" s="13"/>
      <c r="O611" s="13"/>
    </row>
    <row r="612">
      <c r="B612" s="11"/>
      <c r="C612" s="11"/>
      <c r="D612" s="11"/>
      <c r="E612" s="15"/>
      <c r="F612" s="11"/>
      <c r="G612" s="11"/>
      <c r="H612" s="11"/>
      <c r="I612" s="11"/>
      <c r="J612" s="12"/>
      <c r="K612" s="13"/>
      <c r="L612" s="12"/>
      <c r="M612" s="13"/>
      <c r="N612" s="13"/>
      <c r="O612" s="13"/>
    </row>
    <row r="613">
      <c r="B613" s="11"/>
      <c r="C613" s="11"/>
      <c r="D613" s="11"/>
      <c r="E613" s="15"/>
      <c r="F613" s="11"/>
      <c r="G613" s="11"/>
      <c r="H613" s="11"/>
      <c r="I613" s="11"/>
      <c r="J613" s="12"/>
      <c r="K613" s="13"/>
      <c r="L613" s="12"/>
      <c r="M613" s="13"/>
      <c r="N613" s="13"/>
      <c r="O613" s="13"/>
    </row>
    <row r="614">
      <c r="B614" s="11"/>
      <c r="C614" s="11"/>
      <c r="D614" s="11"/>
      <c r="E614" s="15"/>
      <c r="F614" s="11"/>
      <c r="G614" s="11"/>
      <c r="H614" s="11"/>
      <c r="I614" s="11"/>
      <c r="J614" s="12"/>
      <c r="K614" s="13"/>
      <c r="L614" s="12"/>
      <c r="M614" s="13"/>
      <c r="N614" s="13"/>
      <c r="O614" s="13"/>
    </row>
    <row r="615">
      <c r="B615" s="11"/>
      <c r="C615" s="11"/>
      <c r="D615" s="11"/>
      <c r="E615" s="15"/>
      <c r="F615" s="11"/>
      <c r="G615" s="11"/>
      <c r="H615" s="11"/>
      <c r="I615" s="11"/>
      <c r="J615" s="12"/>
      <c r="K615" s="13"/>
      <c r="L615" s="12"/>
      <c r="M615" s="13"/>
      <c r="N615" s="13"/>
      <c r="O615" s="13"/>
    </row>
    <row r="616">
      <c r="B616" s="11"/>
      <c r="C616" s="11"/>
      <c r="D616" s="11"/>
      <c r="E616" s="15"/>
      <c r="F616" s="11"/>
      <c r="G616" s="11"/>
      <c r="H616" s="11"/>
      <c r="I616" s="11"/>
      <c r="J616" s="12"/>
      <c r="K616" s="13"/>
      <c r="L616" s="12"/>
      <c r="M616" s="13"/>
      <c r="N616" s="13"/>
      <c r="O616" s="13"/>
    </row>
    <row r="617">
      <c r="B617" s="11"/>
      <c r="C617" s="11"/>
      <c r="D617" s="11"/>
      <c r="E617" s="15"/>
      <c r="F617" s="11"/>
      <c r="G617" s="11"/>
      <c r="H617" s="11"/>
      <c r="I617" s="11"/>
      <c r="J617" s="12"/>
      <c r="K617" s="13"/>
      <c r="L617" s="12"/>
      <c r="M617" s="13"/>
      <c r="N617" s="13"/>
      <c r="O617" s="13"/>
    </row>
    <row r="618">
      <c r="B618" s="11"/>
      <c r="C618" s="11"/>
      <c r="D618" s="11"/>
      <c r="E618" s="15"/>
      <c r="F618" s="11"/>
      <c r="G618" s="11"/>
      <c r="H618" s="11"/>
      <c r="I618" s="11"/>
      <c r="J618" s="12"/>
      <c r="K618" s="13"/>
      <c r="L618" s="12"/>
      <c r="M618" s="13"/>
      <c r="N618" s="13"/>
      <c r="O618" s="13"/>
    </row>
    <row r="619">
      <c r="B619" s="11"/>
      <c r="C619" s="11"/>
      <c r="D619" s="11"/>
      <c r="E619" s="15"/>
      <c r="F619" s="11"/>
      <c r="G619" s="11"/>
      <c r="H619" s="11"/>
      <c r="I619" s="11"/>
      <c r="J619" s="12"/>
      <c r="K619" s="13"/>
      <c r="L619" s="12"/>
      <c r="M619" s="13"/>
      <c r="N619" s="13"/>
      <c r="O619" s="13"/>
    </row>
    <row r="620">
      <c r="B620" s="11"/>
      <c r="C620" s="11"/>
      <c r="D620" s="11"/>
      <c r="E620" s="15"/>
      <c r="F620" s="11"/>
      <c r="G620" s="11"/>
      <c r="H620" s="11"/>
      <c r="I620" s="11"/>
      <c r="J620" s="12"/>
      <c r="K620" s="13"/>
      <c r="L620" s="12"/>
      <c r="M620" s="13"/>
      <c r="N620" s="13"/>
      <c r="O620" s="13"/>
    </row>
    <row r="621">
      <c r="B621" s="11"/>
      <c r="C621" s="11"/>
      <c r="D621" s="11"/>
      <c r="E621" s="15"/>
      <c r="F621" s="11"/>
      <c r="G621" s="11"/>
      <c r="H621" s="11"/>
      <c r="I621" s="11"/>
      <c r="J621" s="12"/>
      <c r="K621" s="13"/>
      <c r="L621" s="12"/>
      <c r="M621" s="13"/>
      <c r="N621" s="13"/>
      <c r="O621" s="13"/>
    </row>
    <row r="622">
      <c r="B622" s="11"/>
      <c r="C622" s="11"/>
      <c r="D622" s="11"/>
      <c r="E622" s="15"/>
      <c r="F622" s="11"/>
      <c r="G622" s="11"/>
      <c r="H622" s="11"/>
      <c r="I622" s="11"/>
      <c r="J622" s="12"/>
      <c r="K622" s="13"/>
      <c r="L622" s="12"/>
      <c r="M622" s="13"/>
      <c r="N622" s="13"/>
      <c r="O622" s="13"/>
    </row>
    <row r="623">
      <c r="B623" s="11"/>
      <c r="C623" s="11"/>
      <c r="D623" s="11"/>
      <c r="E623" s="15"/>
      <c r="F623" s="11"/>
      <c r="G623" s="11"/>
      <c r="H623" s="11"/>
      <c r="I623" s="11"/>
      <c r="J623" s="12"/>
      <c r="K623" s="13"/>
      <c r="L623" s="12"/>
      <c r="M623" s="13"/>
      <c r="N623" s="13"/>
      <c r="O623" s="13"/>
    </row>
    <row r="624">
      <c r="B624" s="11"/>
      <c r="C624" s="11"/>
      <c r="D624" s="11"/>
      <c r="E624" s="15"/>
      <c r="F624" s="11"/>
      <c r="G624" s="11"/>
      <c r="H624" s="11"/>
      <c r="I624" s="11"/>
      <c r="J624" s="12"/>
      <c r="K624" s="13"/>
      <c r="L624" s="12"/>
      <c r="M624" s="13"/>
      <c r="N624" s="13"/>
      <c r="O624" s="13"/>
    </row>
    <row r="625">
      <c r="B625" s="11"/>
      <c r="C625" s="11"/>
      <c r="D625" s="11"/>
      <c r="E625" s="15"/>
      <c r="F625" s="11"/>
      <c r="G625" s="11"/>
      <c r="H625" s="11"/>
      <c r="I625" s="11"/>
      <c r="J625" s="12"/>
      <c r="K625" s="13"/>
      <c r="L625" s="12"/>
      <c r="M625" s="13"/>
      <c r="N625" s="13"/>
      <c r="O625" s="13"/>
    </row>
    <row r="626">
      <c r="B626" s="11"/>
      <c r="C626" s="11"/>
      <c r="D626" s="11"/>
      <c r="E626" s="15"/>
      <c r="F626" s="11"/>
      <c r="G626" s="11"/>
      <c r="H626" s="11"/>
      <c r="I626" s="11"/>
      <c r="J626" s="12"/>
      <c r="K626" s="13"/>
      <c r="L626" s="12"/>
      <c r="M626" s="13"/>
      <c r="N626" s="13"/>
      <c r="O626" s="13"/>
    </row>
    <row r="627">
      <c r="B627" s="11"/>
      <c r="C627" s="11"/>
      <c r="D627" s="11"/>
      <c r="E627" s="15"/>
      <c r="F627" s="11"/>
      <c r="G627" s="11"/>
      <c r="H627" s="11"/>
      <c r="I627" s="11"/>
      <c r="J627" s="12"/>
      <c r="K627" s="13"/>
      <c r="L627" s="12"/>
      <c r="M627" s="13"/>
      <c r="N627" s="13"/>
      <c r="O627" s="13"/>
    </row>
    <row r="628">
      <c r="B628" s="11"/>
      <c r="C628" s="11"/>
      <c r="D628" s="11"/>
      <c r="E628" s="15"/>
      <c r="F628" s="11"/>
      <c r="G628" s="11"/>
      <c r="H628" s="11"/>
      <c r="I628" s="11"/>
      <c r="J628" s="12"/>
      <c r="K628" s="13"/>
      <c r="L628" s="12"/>
      <c r="M628" s="13"/>
      <c r="N628" s="13"/>
      <c r="O628" s="13"/>
    </row>
    <row r="629">
      <c r="B629" s="11"/>
      <c r="C629" s="11"/>
      <c r="D629" s="11"/>
      <c r="E629" s="15"/>
      <c r="F629" s="11"/>
      <c r="G629" s="11"/>
      <c r="H629" s="11"/>
      <c r="I629" s="11"/>
      <c r="J629" s="12"/>
      <c r="K629" s="13"/>
      <c r="L629" s="12"/>
      <c r="M629" s="13"/>
      <c r="N629" s="13"/>
      <c r="O629" s="13"/>
    </row>
    <row r="630">
      <c r="B630" s="11"/>
      <c r="C630" s="11"/>
      <c r="D630" s="11"/>
      <c r="E630" s="15"/>
      <c r="F630" s="11"/>
      <c r="G630" s="11"/>
      <c r="H630" s="11"/>
      <c r="I630" s="11"/>
      <c r="J630" s="12"/>
      <c r="K630" s="13"/>
      <c r="L630" s="12"/>
      <c r="M630" s="13"/>
      <c r="N630" s="13"/>
      <c r="O630" s="13"/>
    </row>
    <row r="631">
      <c r="B631" s="11"/>
      <c r="C631" s="11"/>
      <c r="D631" s="11"/>
      <c r="E631" s="15"/>
      <c r="F631" s="11"/>
      <c r="G631" s="11"/>
      <c r="H631" s="11"/>
      <c r="I631" s="11"/>
      <c r="J631" s="12"/>
      <c r="K631" s="13"/>
      <c r="L631" s="12"/>
      <c r="M631" s="13"/>
      <c r="N631" s="13"/>
      <c r="O631" s="13"/>
    </row>
    <row r="632">
      <c r="B632" s="11"/>
      <c r="C632" s="11"/>
      <c r="D632" s="11"/>
      <c r="E632" s="15"/>
      <c r="F632" s="11"/>
      <c r="G632" s="11"/>
      <c r="H632" s="11"/>
      <c r="I632" s="11"/>
      <c r="J632" s="12"/>
      <c r="K632" s="13"/>
      <c r="L632" s="12"/>
      <c r="M632" s="13"/>
      <c r="N632" s="13"/>
      <c r="O632" s="13"/>
    </row>
    <row r="633">
      <c r="B633" s="11"/>
      <c r="C633" s="11"/>
      <c r="D633" s="11"/>
      <c r="E633" s="15"/>
      <c r="F633" s="11"/>
      <c r="G633" s="11"/>
      <c r="H633" s="11"/>
      <c r="I633" s="11"/>
      <c r="J633" s="12"/>
      <c r="K633" s="13"/>
      <c r="L633" s="12"/>
      <c r="M633" s="13"/>
      <c r="N633" s="13"/>
      <c r="O633" s="13"/>
    </row>
    <row r="634">
      <c r="B634" s="11"/>
      <c r="C634" s="11"/>
      <c r="D634" s="11"/>
      <c r="E634" s="15"/>
      <c r="F634" s="11"/>
      <c r="G634" s="11"/>
      <c r="H634" s="11"/>
      <c r="I634" s="11"/>
      <c r="J634" s="12"/>
      <c r="K634" s="13"/>
      <c r="L634" s="12"/>
      <c r="M634" s="13"/>
      <c r="N634" s="13"/>
      <c r="O634" s="13"/>
    </row>
    <row r="635">
      <c r="B635" s="11"/>
      <c r="C635" s="11"/>
      <c r="D635" s="11"/>
      <c r="E635" s="15"/>
      <c r="F635" s="11"/>
      <c r="G635" s="11"/>
      <c r="H635" s="11"/>
      <c r="I635" s="11"/>
      <c r="J635" s="12"/>
      <c r="K635" s="13"/>
      <c r="L635" s="12"/>
      <c r="M635" s="13"/>
      <c r="N635" s="13"/>
      <c r="O635" s="13"/>
    </row>
    <row r="636">
      <c r="B636" s="11"/>
      <c r="C636" s="11"/>
      <c r="D636" s="11"/>
      <c r="E636" s="15"/>
      <c r="F636" s="11"/>
      <c r="G636" s="11"/>
      <c r="H636" s="11"/>
      <c r="I636" s="11"/>
      <c r="J636" s="12"/>
      <c r="K636" s="13"/>
      <c r="L636" s="12"/>
      <c r="M636" s="13"/>
      <c r="N636" s="13"/>
      <c r="O636" s="13"/>
    </row>
    <row r="637">
      <c r="B637" s="11"/>
      <c r="C637" s="11"/>
      <c r="D637" s="11"/>
      <c r="E637" s="15"/>
      <c r="F637" s="11"/>
      <c r="G637" s="11"/>
      <c r="H637" s="11"/>
      <c r="I637" s="11"/>
      <c r="J637" s="12"/>
      <c r="K637" s="13"/>
      <c r="L637" s="12"/>
      <c r="M637" s="13"/>
      <c r="N637" s="13"/>
      <c r="O637" s="13"/>
    </row>
    <row r="638">
      <c r="B638" s="11"/>
      <c r="C638" s="11"/>
      <c r="D638" s="11"/>
      <c r="E638" s="15"/>
      <c r="F638" s="11"/>
      <c r="G638" s="11"/>
      <c r="H638" s="11"/>
      <c r="I638" s="11"/>
      <c r="J638" s="12"/>
      <c r="K638" s="13"/>
      <c r="L638" s="12"/>
      <c r="M638" s="13"/>
      <c r="N638" s="13"/>
      <c r="O638" s="13"/>
    </row>
    <row r="639">
      <c r="B639" s="11"/>
      <c r="C639" s="11"/>
      <c r="D639" s="11"/>
      <c r="E639" s="15"/>
      <c r="F639" s="11"/>
      <c r="G639" s="11"/>
      <c r="H639" s="11"/>
      <c r="I639" s="11"/>
      <c r="J639" s="12"/>
      <c r="K639" s="13"/>
      <c r="L639" s="12"/>
      <c r="M639" s="13"/>
      <c r="N639" s="13"/>
      <c r="O639" s="13"/>
    </row>
    <row r="640">
      <c r="B640" s="11"/>
      <c r="C640" s="11"/>
      <c r="D640" s="11"/>
      <c r="E640" s="15"/>
      <c r="F640" s="11"/>
      <c r="G640" s="11"/>
      <c r="H640" s="11"/>
      <c r="I640" s="11"/>
      <c r="J640" s="12"/>
      <c r="K640" s="13"/>
      <c r="L640" s="12"/>
      <c r="M640" s="13"/>
      <c r="N640" s="13"/>
      <c r="O640" s="13"/>
    </row>
    <row r="641">
      <c r="B641" s="11"/>
      <c r="C641" s="11"/>
      <c r="D641" s="11"/>
      <c r="E641" s="15"/>
      <c r="F641" s="11"/>
      <c r="G641" s="11"/>
      <c r="H641" s="11"/>
      <c r="I641" s="11"/>
      <c r="J641" s="12"/>
      <c r="K641" s="13"/>
      <c r="L641" s="12"/>
      <c r="M641" s="13"/>
      <c r="N641" s="13"/>
      <c r="O641" s="13"/>
    </row>
    <row r="642">
      <c r="B642" s="11"/>
      <c r="C642" s="11"/>
      <c r="D642" s="11"/>
      <c r="E642" s="15"/>
      <c r="F642" s="11"/>
      <c r="G642" s="11"/>
      <c r="H642" s="11"/>
      <c r="I642" s="11"/>
      <c r="J642" s="12"/>
      <c r="K642" s="13"/>
      <c r="L642" s="12"/>
      <c r="M642" s="13"/>
      <c r="N642" s="13"/>
      <c r="O642" s="13"/>
    </row>
    <row r="643">
      <c r="B643" s="11"/>
      <c r="C643" s="11"/>
      <c r="D643" s="11"/>
      <c r="E643" s="15"/>
      <c r="F643" s="11"/>
      <c r="G643" s="11"/>
      <c r="H643" s="11"/>
      <c r="I643" s="11"/>
      <c r="J643" s="12"/>
      <c r="K643" s="13"/>
      <c r="L643" s="12"/>
      <c r="M643" s="13"/>
      <c r="N643" s="13"/>
      <c r="O643" s="13"/>
    </row>
    <row r="644">
      <c r="B644" s="11"/>
      <c r="C644" s="11"/>
      <c r="D644" s="11"/>
      <c r="E644" s="15"/>
      <c r="F644" s="11"/>
      <c r="G644" s="11"/>
      <c r="H644" s="11"/>
      <c r="I644" s="11"/>
      <c r="J644" s="12"/>
      <c r="K644" s="13"/>
      <c r="L644" s="12"/>
      <c r="M644" s="13"/>
      <c r="N644" s="13"/>
      <c r="O644" s="13"/>
    </row>
    <row r="645">
      <c r="B645" s="11"/>
      <c r="C645" s="11"/>
      <c r="D645" s="11"/>
      <c r="E645" s="15"/>
      <c r="F645" s="11"/>
      <c r="G645" s="11"/>
      <c r="H645" s="11"/>
      <c r="I645" s="11"/>
      <c r="J645" s="12"/>
      <c r="K645" s="13"/>
      <c r="L645" s="12"/>
      <c r="M645" s="13"/>
      <c r="N645" s="13"/>
      <c r="O645" s="13"/>
    </row>
    <row r="646">
      <c r="B646" s="11"/>
      <c r="C646" s="11"/>
      <c r="D646" s="11"/>
      <c r="E646" s="15"/>
      <c r="F646" s="11"/>
      <c r="G646" s="11"/>
      <c r="H646" s="11"/>
      <c r="I646" s="11"/>
      <c r="J646" s="12"/>
      <c r="K646" s="13"/>
      <c r="L646" s="12"/>
      <c r="M646" s="13"/>
      <c r="N646" s="13"/>
      <c r="O646" s="13"/>
    </row>
    <row r="647">
      <c r="B647" s="11"/>
      <c r="C647" s="11"/>
      <c r="D647" s="11"/>
      <c r="E647" s="15"/>
      <c r="F647" s="11"/>
      <c r="G647" s="11"/>
      <c r="H647" s="11"/>
      <c r="I647" s="11"/>
      <c r="J647" s="12"/>
      <c r="K647" s="13"/>
      <c r="L647" s="12"/>
      <c r="M647" s="13"/>
      <c r="N647" s="13"/>
      <c r="O647" s="13"/>
    </row>
    <row r="648">
      <c r="B648" s="11"/>
      <c r="C648" s="11"/>
      <c r="D648" s="11"/>
      <c r="E648" s="15"/>
      <c r="F648" s="11"/>
      <c r="G648" s="11"/>
      <c r="H648" s="11"/>
      <c r="I648" s="11"/>
      <c r="J648" s="12"/>
      <c r="K648" s="13"/>
      <c r="L648" s="12"/>
      <c r="M648" s="13"/>
      <c r="N648" s="13"/>
      <c r="O648" s="13"/>
    </row>
    <row r="649">
      <c r="B649" s="11"/>
      <c r="C649" s="11"/>
      <c r="D649" s="11"/>
      <c r="E649" s="15"/>
      <c r="F649" s="11"/>
      <c r="G649" s="11"/>
      <c r="H649" s="11"/>
      <c r="I649" s="11"/>
      <c r="J649" s="12"/>
      <c r="K649" s="13"/>
      <c r="L649" s="12"/>
      <c r="M649" s="13"/>
      <c r="N649" s="13"/>
      <c r="O649" s="13"/>
    </row>
    <row r="650">
      <c r="B650" s="11"/>
      <c r="C650" s="11"/>
      <c r="D650" s="11"/>
      <c r="E650" s="15"/>
      <c r="F650" s="11"/>
      <c r="G650" s="11"/>
      <c r="H650" s="11"/>
      <c r="I650" s="11"/>
      <c r="J650" s="12"/>
      <c r="K650" s="13"/>
      <c r="L650" s="12"/>
      <c r="M650" s="13"/>
      <c r="N650" s="13"/>
      <c r="O650" s="13"/>
    </row>
    <row r="651">
      <c r="B651" s="11"/>
      <c r="C651" s="11"/>
      <c r="D651" s="11"/>
      <c r="E651" s="15"/>
      <c r="F651" s="11"/>
      <c r="G651" s="11"/>
      <c r="H651" s="11"/>
      <c r="I651" s="11"/>
      <c r="J651" s="12"/>
      <c r="K651" s="13"/>
      <c r="L651" s="12"/>
      <c r="M651" s="13"/>
      <c r="N651" s="13"/>
      <c r="O651" s="13"/>
    </row>
    <row r="652">
      <c r="B652" s="11"/>
      <c r="C652" s="11"/>
      <c r="D652" s="11"/>
      <c r="E652" s="15"/>
      <c r="F652" s="11"/>
      <c r="G652" s="11"/>
      <c r="H652" s="11"/>
      <c r="I652" s="11"/>
      <c r="J652" s="12"/>
      <c r="K652" s="13"/>
      <c r="L652" s="12"/>
      <c r="M652" s="13"/>
      <c r="N652" s="13"/>
      <c r="O652" s="13"/>
    </row>
    <row r="653">
      <c r="B653" s="11"/>
      <c r="C653" s="11"/>
      <c r="D653" s="11"/>
      <c r="E653" s="15"/>
      <c r="F653" s="11"/>
      <c r="G653" s="11"/>
      <c r="H653" s="11"/>
      <c r="I653" s="11"/>
      <c r="J653" s="12"/>
      <c r="K653" s="13"/>
      <c r="L653" s="12"/>
      <c r="M653" s="13"/>
      <c r="N653" s="13"/>
      <c r="O653" s="13"/>
    </row>
    <row r="654">
      <c r="B654" s="11"/>
      <c r="C654" s="11"/>
      <c r="D654" s="11"/>
      <c r="E654" s="15"/>
      <c r="F654" s="11"/>
      <c r="G654" s="11"/>
      <c r="H654" s="11"/>
      <c r="I654" s="11"/>
      <c r="J654" s="12"/>
      <c r="K654" s="13"/>
      <c r="L654" s="12"/>
      <c r="M654" s="13"/>
      <c r="N654" s="13"/>
      <c r="O654" s="13"/>
    </row>
    <row r="655">
      <c r="B655" s="11"/>
      <c r="C655" s="11"/>
      <c r="D655" s="11"/>
      <c r="E655" s="15"/>
      <c r="F655" s="11"/>
      <c r="G655" s="11"/>
      <c r="H655" s="11"/>
      <c r="I655" s="11"/>
      <c r="J655" s="12"/>
      <c r="K655" s="13"/>
      <c r="L655" s="12"/>
      <c r="M655" s="13"/>
      <c r="N655" s="13"/>
      <c r="O655" s="13"/>
    </row>
    <row r="656">
      <c r="B656" s="11"/>
      <c r="C656" s="11"/>
      <c r="D656" s="11"/>
      <c r="E656" s="15"/>
      <c r="F656" s="11"/>
      <c r="G656" s="11"/>
      <c r="H656" s="11"/>
      <c r="I656" s="11"/>
      <c r="J656" s="12"/>
      <c r="K656" s="13"/>
      <c r="L656" s="12"/>
      <c r="M656" s="13"/>
      <c r="N656" s="13"/>
      <c r="O656" s="13"/>
    </row>
    <row r="657">
      <c r="B657" s="11"/>
      <c r="C657" s="11"/>
      <c r="D657" s="11"/>
      <c r="E657" s="15"/>
      <c r="F657" s="11"/>
      <c r="G657" s="11"/>
      <c r="H657" s="11"/>
      <c r="I657" s="11"/>
      <c r="J657" s="12"/>
      <c r="K657" s="13"/>
      <c r="L657" s="12"/>
      <c r="M657" s="13"/>
      <c r="N657" s="13"/>
      <c r="O657" s="13"/>
    </row>
    <row r="658">
      <c r="B658" s="11"/>
      <c r="C658" s="11"/>
      <c r="D658" s="11"/>
      <c r="E658" s="15"/>
      <c r="F658" s="11"/>
      <c r="G658" s="11"/>
      <c r="H658" s="11"/>
      <c r="I658" s="11"/>
      <c r="J658" s="12"/>
      <c r="K658" s="13"/>
      <c r="L658" s="12"/>
      <c r="M658" s="13"/>
      <c r="N658" s="13"/>
      <c r="O658" s="13"/>
    </row>
    <row r="659">
      <c r="B659" s="11"/>
      <c r="C659" s="11"/>
      <c r="D659" s="11"/>
      <c r="E659" s="15"/>
      <c r="F659" s="11"/>
      <c r="G659" s="11"/>
      <c r="H659" s="11"/>
      <c r="I659" s="11"/>
      <c r="J659" s="12"/>
      <c r="K659" s="13"/>
      <c r="L659" s="12"/>
      <c r="M659" s="13"/>
      <c r="N659" s="13"/>
      <c r="O659" s="13"/>
    </row>
    <row r="660">
      <c r="B660" s="11"/>
      <c r="C660" s="11"/>
      <c r="D660" s="11"/>
      <c r="E660" s="15"/>
      <c r="F660" s="11"/>
      <c r="G660" s="11"/>
      <c r="H660" s="11"/>
      <c r="I660" s="11"/>
      <c r="J660" s="12"/>
      <c r="K660" s="13"/>
      <c r="L660" s="12"/>
      <c r="M660" s="13"/>
      <c r="N660" s="13"/>
      <c r="O660" s="13"/>
    </row>
    <row r="661">
      <c r="B661" s="11"/>
      <c r="C661" s="11"/>
      <c r="D661" s="11"/>
      <c r="E661" s="15"/>
      <c r="F661" s="11"/>
      <c r="G661" s="11"/>
      <c r="H661" s="11"/>
      <c r="I661" s="11"/>
      <c r="J661" s="12"/>
      <c r="K661" s="13"/>
      <c r="L661" s="12"/>
      <c r="M661" s="13"/>
      <c r="N661" s="13"/>
      <c r="O661" s="13"/>
    </row>
    <row r="662">
      <c r="B662" s="11"/>
      <c r="C662" s="11"/>
      <c r="D662" s="11"/>
      <c r="E662" s="15"/>
      <c r="F662" s="11"/>
      <c r="G662" s="11"/>
      <c r="H662" s="11"/>
      <c r="I662" s="11"/>
      <c r="J662" s="12"/>
      <c r="K662" s="13"/>
      <c r="L662" s="12"/>
      <c r="M662" s="13"/>
      <c r="N662" s="13"/>
      <c r="O662" s="13"/>
    </row>
    <row r="663">
      <c r="B663" s="11"/>
      <c r="C663" s="11"/>
      <c r="D663" s="11"/>
      <c r="E663" s="15"/>
      <c r="F663" s="11"/>
      <c r="G663" s="11"/>
      <c r="H663" s="11"/>
      <c r="I663" s="11"/>
      <c r="J663" s="12"/>
      <c r="K663" s="13"/>
      <c r="L663" s="12"/>
      <c r="M663" s="13"/>
      <c r="N663" s="13"/>
      <c r="O663" s="13"/>
    </row>
    <row r="664">
      <c r="B664" s="11"/>
      <c r="C664" s="11"/>
      <c r="D664" s="11"/>
      <c r="E664" s="15"/>
      <c r="F664" s="11"/>
      <c r="G664" s="11"/>
      <c r="H664" s="11"/>
      <c r="I664" s="11"/>
      <c r="J664" s="12"/>
      <c r="K664" s="13"/>
      <c r="L664" s="12"/>
      <c r="M664" s="13"/>
      <c r="N664" s="13"/>
      <c r="O664" s="13"/>
    </row>
    <row r="665">
      <c r="B665" s="11"/>
      <c r="C665" s="11"/>
      <c r="D665" s="11"/>
      <c r="E665" s="15"/>
      <c r="F665" s="11"/>
      <c r="G665" s="11"/>
      <c r="H665" s="11"/>
      <c r="I665" s="11"/>
      <c r="J665" s="12"/>
      <c r="K665" s="13"/>
      <c r="L665" s="12"/>
      <c r="M665" s="13"/>
      <c r="N665" s="13"/>
      <c r="O665" s="13"/>
    </row>
    <row r="666">
      <c r="B666" s="11"/>
      <c r="C666" s="11"/>
      <c r="D666" s="11"/>
      <c r="E666" s="15"/>
      <c r="F666" s="11"/>
      <c r="G666" s="11"/>
      <c r="H666" s="11"/>
      <c r="I666" s="11"/>
      <c r="J666" s="12"/>
      <c r="K666" s="13"/>
      <c r="L666" s="12"/>
      <c r="M666" s="13"/>
      <c r="N666" s="13"/>
      <c r="O666" s="13"/>
    </row>
    <row r="667">
      <c r="B667" s="11"/>
      <c r="C667" s="11"/>
      <c r="D667" s="11"/>
      <c r="E667" s="15"/>
      <c r="F667" s="11"/>
      <c r="G667" s="11"/>
      <c r="H667" s="11"/>
      <c r="I667" s="11"/>
      <c r="J667" s="12"/>
      <c r="K667" s="13"/>
      <c r="L667" s="12"/>
      <c r="M667" s="13"/>
      <c r="N667" s="13"/>
      <c r="O667" s="13"/>
    </row>
    <row r="668">
      <c r="B668" s="11"/>
      <c r="C668" s="11"/>
      <c r="D668" s="11"/>
      <c r="E668" s="15"/>
      <c r="F668" s="11"/>
      <c r="G668" s="11"/>
      <c r="H668" s="11"/>
      <c r="I668" s="11"/>
      <c r="J668" s="12"/>
      <c r="K668" s="13"/>
      <c r="L668" s="12"/>
      <c r="M668" s="13"/>
      <c r="N668" s="13"/>
      <c r="O668" s="13"/>
    </row>
    <row r="669">
      <c r="B669" s="11"/>
      <c r="C669" s="11"/>
      <c r="D669" s="11"/>
      <c r="E669" s="15"/>
      <c r="F669" s="11"/>
      <c r="G669" s="11"/>
      <c r="H669" s="11"/>
      <c r="I669" s="11"/>
      <c r="J669" s="12"/>
      <c r="K669" s="13"/>
      <c r="L669" s="12"/>
      <c r="M669" s="13"/>
      <c r="N669" s="13"/>
      <c r="O669" s="13"/>
    </row>
    <row r="670">
      <c r="B670" s="11"/>
      <c r="C670" s="11"/>
      <c r="D670" s="11"/>
      <c r="E670" s="15"/>
      <c r="F670" s="11"/>
      <c r="G670" s="11"/>
      <c r="H670" s="11"/>
      <c r="I670" s="11"/>
      <c r="J670" s="12"/>
      <c r="K670" s="13"/>
      <c r="L670" s="12"/>
      <c r="M670" s="13"/>
      <c r="N670" s="13"/>
      <c r="O670" s="13"/>
    </row>
    <row r="671">
      <c r="B671" s="11"/>
      <c r="C671" s="11"/>
      <c r="D671" s="11"/>
      <c r="E671" s="15"/>
      <c r="F671" s="11"/>
      <c r="G671" s="11"/>
      <c r="H671" s="11"/>
      <c r="I671" s="11"/>
      <c r="J671" s="12"/>
      <c r="K671" s="13"/>
      <c r="L671" s="12"/>
      <c r="M671" s="13"/>
      <c r="N671" s="13"/>
      <c r="O671" s="13"/>
    </row>
    <row r="672">
      <c r="B672" s="11"/>
      <c r="C672" s="11"/>
      <c r="D672" s="11"/>
      <c r="E672" s="15"/>
      <c r="F672" s="11"/>
      <c r="G672" s="11"/>
      <c r="H672" s="11"/>
      <c r="I672" s="11"/>
      <c r="J672" s="12"/>
      <c r="K672" s="13"/>
      <c r="L672" s="12"/>
      <c r="M672" s="13"/>
      <c r="N672" s="13"/>
      <c r="O672" s="13"/>
    </row>
    <row r="673">
      <c r="B673" s="11"/>
      <c r="C673" s="11"/>
      <c r="D673" s="11"/>
      <c r="E673" s="15"/>
      <c r="F673" s="11"/>
      <c r="G673" s="11"/>
      <c r="H673" s="11"/>
      <c r="I673" s="11"/>
      <c r="J673" s="12"/>
      <c r="K673" s="13"/>
      <c r="L673" s="12"/>
      <c r="M673" s="13"/>
      <c r="N673" s="13"/>
      <c r="O673" s="13"/>
    </row>
    <row r="674">
      <c r="B674" s="11"/>
      <c r="C674" s="11"/>
      <c r="D674" s="11"/>
      <c r="E674" s="15"/>
      <c r="F674" s="11"/>
      <c r="G674" s="11"/>
      <c r="H674" s="11"/>
      <c r="I674" s="11"/>
      <c r="J674" s="12"/>
      <c r="K674" s="13"/>
      <c r="L674" s="12"/>
      <c r="M674" s="13"/>
      <c r="N674" s="13"/>
      <c r="O674" s="13"/>
    </row>
    <row r="675">
      <c r="B675" s="11"/>
      <c r="C675" s="11"/>
      <c r="D675" s="11"/>
      <c r="E675" s="15"/>
      <c r="F675" s="11"/>
      <c r="G675" s="11"/>
      <c r="H675" s="11"/>
      <c r="I675" s="11"/>
      <c r="J675" s="12"/>
      <c r="K675" s="13"/>
      <c r="L675" s="12"/>
      <c r="M675" s="13"/>
      <c r="N675" s="13"/>
      <c r="O675" s="13"/>
    </row>
    <row r="676">
      <c r="B676" s="11"/>
      <c r="C676" s="11"/>
      <c r="D676" s="11"/>
      <c r="E676" s="15"/>
      <c r="F676" s="11"/>
      <c r="G676" s="11"/>
      <c r="H676" s="11"/>
      <c r="I676" s="11"/>
      <c r="J676" s="12"/>
      <c r="K676" s="13"/>
      <c r="L676" s="12"/>
      <c r="M676" s="13"/>
      <c r="N676" s="13"/>
      <c r="O676" s="13"/>
    </row>
    <row r="677">
      <c r="B677" s="11"/>
      <c r="C677" s="11"/>
      <c r="D677" s="11"/>
      <c r="E677" s="15"/>
      <c r="F677" s="11"/>
      <c r="G677" s="11"/>
      <c r="H677" s="11"/>
      <c r="I677" s="11"/>
      <c r="J677" s="12"/>
      <c r="K677" s="13"/>
      <c r="L677" s="12"/>
      <c r="M677" s="13"/>
      <c r="N677" s="13"/>
      <c r="O677" s="13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702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1.0</v>
      </c>
      <c r="H3" s="9">
        <v>0.0</v>
      </c>
      <c r="I3" s="9">
        <v>0.0</v>
      </c>
      <c r="J3" s="17">
        <v>1314.0</v>
      </c>
      <c r="K3" s="18">
        <v>-605.5</v>
      </c>
      <c r="L3" s="17">
        <v>-604.0</v>
      </c>
      <c r="M3" s="18">
        <v>-604.0</v>
      </c>
      <c r="N3" s="18">
        <v>0.0</v>
      </c>
      <c r="O3" s="18">
        <v>0.428</v>
      </c>
      <c r="P3" s="4"/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1.0</v>
      </c>
      <c r="H4" s="9">
        <v>0.0</v>
      </c>
      <c r="I4" s="9">
        <v>0.0</v>
      </c>
      <c r="J4" s="17">
        <v>-665.0</v>
      </c>
      <c r="K4" s="18">
        <v>-665.0</v>
      </c>
      <c r="L4" s="17">
        <v>-665.0</v>
      </c>
      <c r="M4" s="18">
        <v>-665.0</v>
      </c>
      <c r="N4" s="18">
        <v>0.0</v>
      </c>
      <c r="O4" s="18">
        <v>0.67</v>
      </c>
      <c r="P4" s="4"/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1.0</v>
      </c>
      <c r="H5" s="9">
        <v>0.0</v>
      </c>
      <c r="I5" s="9">
        <v>0.0</v>
      </c>
      <c r="J5" s="17">
        <v>-730.0</v>
      </c>
      <c r="K5" s="18">
        <v>-730.0</v>
      </c>
      <c r="L5" s="17">
        <v>-730.0</v>
      </c>
      <c r="M5" s="18">
        <v>-730.0</v>
      </c>
      <c r="N5" s="18">
        <v>0.0</v>
      </c>
      <c r="O5" s="18">
        <v>0.379</v>
      </c>
      <c r="P5" s="4"/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1.0</v>
      </c>
      <c r="H6" s="9">
        <v>0.0</v>
      </c>
      <c r="I6" s="9">
        <v>0.0</v>
      </c>
      <c r="J6" s="17">
        <v>-634.0</v>
      </c>
      <c r="K6" s="18">
        <v>-634.0</v>
      </c>
      <c r="L6" s="17">
        <v>-634.0</v>
      </c>
      <c r="M6" s="18">
        <v>-634.0</v>
      </c>
      <c r="N6" s="18">
        <v>0.0</v>
      </c>
      <c r="O6" s="18">
        <v>0.347</v>
      </c>
      <c r="P6" s="4"/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1.0</v>
      </c>
      <c r="H7" s="9">
        <v>0.0</v>
      </c>
      <c r="I7" s="9">
        <v>0.0</v>
      </c>
      <c r="J7" s="17">
        <v>710.0</v>
      </c>
      <c r="K7" s="18">
        <v>-653.0</v>
      </c>
      <c r="L7" s="17">
        <v>-653.0</v>
      </c>
      <c r="M7" s="18">
        <v>-653.0</v>
      </c>
      <c r="N7" s="18">
        <v>0.0</v>
      </c>
      <c r="O7" s="18">
        <v>0.356</v>
      </c>
      <c r="P7" s="4"/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1.0</v>
      </c>
      <c r="H8" s="9">
        <v>0.0</v>
      </c>
      <c r="I8" s="9">
        <v>0.0</v>
      </c>
      <c r="J8" s="17">
        <v>1764.0</v>
      </c>
      <c r="K8" s="18">
        <v>-447.0</v>
      </c>
      <c r="L8" s="17">
        <v>-442.0</v>
      </c>
      <c r="M8" s="18">
        <v>-442.0</v>
      </c>
      <c r="N8" s="18">
        <v>0.0</v>
      </c>
      <c r="O8" s="18">
        <v>0.503</v>
      </c>
      <c r="P8" s="4"/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1.0</v>
      </c>
      <c r="H9" s="9">
        <v>0.0</v>
      </c>
      <c r="I9" s="9">
        <v>0.0</v>
      </c>
      <c r="J9" s="17">
        <v>962.0</v>
      </c>
      <c r="K9" s="18">
        <v>-577.5</v>
      </c>
      <c r="L9" s="17">
        <v>-574.0</v>
      </c>
      <c r="M9" s="18">
        <v>-574.0</v>
      </c>
      <c r="N9" s="18">
        <v>0.0</v>
      </c>
      <c r="O9" s="18">
        <v>0.397</v>
      </c>
      <c r="P9" s="4"/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1.0</v>
      </c>
      <c r="H10" s="9">
        <v>0.0</v>
      </c>
      <c r="I10" s="9">
        <v>0.0</v>
      </c>
      <c r="J10" s="17">
        <v>1311.0</v>
      </c>
      <c r="K10" s="18">
        <v>-514.333</v>
      </c>
      <c r="L10" s="17">
        <v>-500.0</v>
      </c>
      <c r="M10" s="18">
        <v>-500.0</v>
      </c>
      <c r="N10" s="18">
        <v>0.0</v>
      </c>
      <c r="O10" s="18">
        <v>0.837</v>
      </c>
      <c r="P10" s="4"/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1.0</v>
      </c>
      <c r="H11" s="9">
        <v>0.0</v>
      </c>
      <c r="I11" s="9">
        <v>0.0</v>
      </c>
      <c r="J11" s="17">
        <v>2109.0</v>
      </c>
      <c r="K11" s="18">
        <v>-406.167</v>
      </c>
      <c r="L11" s="17">
        <v>-402.0</v>
      </c>
      <c r="M11" s="18">
        <v>-402.0</v>
      </c>
      <c r="N11" s="18">
        <v>0.0</v>
      </c>
      <c r="O11" s="18">
        <v>0.35</v>
      </c>
      <c r="P11" s="4"/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1.0</v>
      </c>
      <c r="H12" s="9">
        <v>0.0</v>
      </c>
      <c r="I12" s="9">
        <v>0.0</v>
      </c>
      <c r="J12" s="17">
        <v>-481.0</v>
      </c>
      <c r="K12" s="18">
        <v>-481.0</v>
      </c>
      <c r="L12" s="17">
        <v>-481.0</v>
      </c>
      <c r="M12" s="18">
        <v>-481.0</v>
      </c>
      <c r="N12" s="18">
        <v>0.0</v>
      </c>
      <c r="O12" s="18">
        <v>0.187</v>
      </c>
      <c r="P12" s="4"/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1.0</v>
      </c>
      <c r="H13" s="9">
        <v>0.0</v>
      </c>
      <c r="I13" s="9">
        <v>0.0</v>
      </c>
      <c r="J13" s="17">
        <v>5264.0</v>
      </c>
      <c r="K13" s="18">
        <v>1366.0</v>
      </c>
      <c r="L13" s="17">
        <v>1422.0</v>
      </c>
      <c r="M13" s="18">
        <v>1422.0</v>
      </c>
      <c r="N13" s="18">
        <v>0.0</v>
      </c>
      <c r="O13" s="18">
        <v>2.371</v>
      </c>
      <c r="P13" s="4"/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1.0</v>
      </c>
      <c r="H14" s="9">
        <v>0.0</v>
      </c>
      <c r="I14" s="9">
        <v>0.0</v>
      </c>
      <c r="J14" s="17">
        <v>233.0</v>
      </c>
      <c r="K14" s="18">
        <v>233.0</v>
      </c>
      <c r="L14" s="17">
        <v>233.0</v>
      </c>
      <c r="M14" s="18">
        <v>233.0</v>
      </c>
      <c r="N14" s="18">
        <v>0.0</v>
      </c>
      <c r="O14" s="18">
        <v>0.026</v>
      </c>
      <c r="P14" s="4"/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1.0</v>
      </c>
      <c r="H15" s="9">
        <v>0.0</v>
      </c>
      <c r="I15" s="9">
        <v>0.0</v>
      </c>
      <c r="J15" s="17">
        <v>5211.0</v>
      </c>
      <c r="K15" s="18">
        <v>1545.8</v>
      </c>
      <c r="L15" s="17">
        <v>1634.0</v>
      </c>
      <c r="M15" s="18">
        <v>1634.0</v>
      </c>
      <c r="N15" s="18">
        <v>0.0</v>
      </c>
      <c r="O15" s="18">
        <v>26.503</v>
      </c>
      <c r="P15" s="4"/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1.0</v>
      </c>
      <c r="H16" s="9">
        <v>0.0</v>
      </c>
      <c r="I16" s="9">
        <v>0.0</v>
      </c>
      <c r="J16" s="17">
        <v>6359.0</v>
      </c>
      <c r="K16" s="18">
        <v>1828.0</v>
      </c>
      <c r="L16" s="17">
        <v>1860.0</v>
      </c>
      <c r="M16" s="18">
        <v>1860.0</v>
      </c>
      <c r="N16" s="18">
        <v>0.0</v>
      </c>
      <c r="O16" s="18">
        <v>0.05</v>
      </c>
      <c r="P16" s="4"/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1.0</v>
      </c>
      <c r="H17" s="9">
        <v>0.0</v>
      </c>
      <c r="I17" s="9">
        <v>0.0</v>
      </c>
      <c r="J17" s="17">
        <v>1361.0</v>
      </c>
      <c r="K17" s="18">
        <v>1361.0</v>
      </c>
      <c r="L17" s="17">
        <v>1361.0</v>
      </c>
      <c r="M17" s="18">
        <v>1361.0</v>
      </c>
      <c r="N17" s="18">
        <v>0.0</v>
      </c>
      <c r="O17" s="18">
        <v>0.032</v>
      </c>
      <c r="P17" s="4"/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1.0</v>
      </c>
      <c r="H18" s="9">
        <v>0.0</v>
      </c>
      <c r="I18" s="9">
        <v>0.0</v>
      </c>
      <c r="J18" s="17">
        <v>-1091.0</v>
      </c>
      <c r="K18" s="18">
        <v>-1091.0</v>
      </c>
      <c r="L18" s="17">
        <v>-1091.0</v>
      </c>
      <c r="M18" s="18">
        <v>-1091.0</v>
      </c>
      <c r="N18" s="18">
        <v>0.0</v>
      </c>
      <c r="O18" s="18">
        <v>0.498</v>
      </c>
      <c r="P18" s="4"/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1.0</v>
      </c>
      <c r="H19" s="9">
        <v>0.0</v>
      </c>
      <c r="I19" s="9">
        <v>0.0</v>
      </c>
      <c r="J19" s="17">
        <v>1975.0</v>
      </c>
      <c r="K19" s="18">
        <v>-1079.0</v>
      </c>
      <c r="L19" s="17">
        <v>-1074.0</v>
      </c>
      <c r="M19" s="18">
        <v>-1074.0</v>
      </c>
      <c r="N19" s="18">
        <v>0.0</v>
      </c>
      <c r="O19" s="18">
        <v>1.265</v>
      </c>
      <c r="P19" s="4"/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1.0</v>
      </c>
      <c r="H20" s="9">
        <v>0.0</v>
      </c>
      <c r="I20" s="9">
        <v>0.0</v>
      </c>
      <c r="J20" s="17">
        <v>1862.0</v>
      </c>
      <c r="K20" s="18">
        <v>-1004.0</v>
      </c>
      <c r="L20" s="17">
        <v>-1002.0</v>
      </c>
      <c r="M20" s="18">
        <v>-1002.0</v>
      </c>
      <c r="N20" s="18">
        <v>0.0</v>
      </c>
      <c r="O20" s="18">
        <v>0.734</v>
      </c>
      <c r="P20" s="4"/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1.0</v>
      </c>
      <c r="H21" s="9">
        <v>0.0</v>
      </c>
      <c r="I21" s="9">
        <v>0.0</v>
      </c>
      <c r="J21" s="17">
        <v>1798.0</v>
      </c>
      <c r="K21" s="18">
        <v>-991.333</v>
      </c>
      <c r="L21" s="17">
        <v>-990.0</v>
      </c>
      <c r="M21" s="18">
        <v>-990.0</v>
      </c>
      <c r="N21" s="18">
        <v>0.0</v>
      </c>
      <c r="O21" s="18">
        <v>1.471</v>
      </c>
      <c r="P21" s="4"/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1.0</v>
      </c>
      <c r="H22" s="9">
        <v>0.0</v>
      </c>
      <c r="I22" s="9">
        <v>0.0</v>
      </c>
      <c r="J22" s="17">
        <v>2093.0</v>
      </c>
      <c r="K22" s="18">
        <v>-1156.64</v>
      </c>
      <c r="L22" s="17">
        <v>-1146.0</v>
      </c>
      <c r="M22" s="18">
        <v>-1146.0</v>
      </c>
      <c r="N22" s="18">
        <v>0.0</v>
      </c>
      <c r="O22" s="18">
        <v>4.726</v>
      </c>
      <c r="P22" s="4"/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17">
        <v>2465.0</v>
      </c>
      <c r="K23" s="18">
        <v>-747.6</v>
      </c>
      <c r="L23" s="17">
        <v>-719.0</v>
      </c>
      <c r="M23" s="18">
        <v>-719.0</v>
      </c>
      <c r="N23" s="18">
        <v>0.0</v>
      </c>
      <c r="O23" s="18">
        <v>1.715</v>
      </c>
      <c r="P23" s="4"/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1.0</v>
      </c>
      <c r="H24" s="9">
        <v>0.0</v>
      </c>
      <c r="I24" s="9">
        <v>0.0</v>
      </c>
      <c r="J24" s="17">
        <v>2200.0</v>
      </c>
      <c r="K24" s="18">
        <v>-855.2</v>
      </c>
      <c r="L24" s="17">
        <v>-847.0</v>
      </c>
      <c r="M24" s="18">
        <v>-847.0</v>
      </c>
      <c r="N24" s="18">
        <v>0.0</v>
      </c>
      <c r="O24" s="18">
        <v>0.492</v>
      </c>
      <c r="P24" s="4"/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1.0</v>
      </c>
      <c r="H25" s="9">
        <v>0.0</v>
      </c>
      <c r="I25" s="9">
        <v>0.0</v>
      </c>
      <c r="J25" s="17">
        <v>-871.0</v>
      </c>
      <c r="K25" s="18">
        <v>-871.0</v>
      </c>
      <c r="L25" s="17">
        <v>-871.0</v>
      </c>
      <c r="M25" s="18">
        <v>-871.0</v>
      </c>
      <c r="N25" s="18">
        <v>0.0</v>
      </c>
      <c r="O25" s="18">
        <v>0.162</v>
      </c>
      <c r="P25" s="4"/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1.0</v>
      </c>
      <c r="H26" s="9">
        <v>0.0</v>
      </c>
      <c r="I26" s="9">
        <v>0.0</v>
      </c>
      <c r="J26" s="17">
        <v>1823.0</v>
      </c>
      <c r="K26" s="18">
        <v>-813.5</v>
      </c>
      <c r="L26" s="17">
        <v>-810.0</v>
      </c>
      <c r="M26" s="18">
        <v>-810.0</v>
      </c>
      <c r="N26" s="18">
        <v>0.0</v>
      </c>
      <c r="O26" s="18">
        <v>0.394</v>
      </c>
      <c r="P26" s="4"/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1.0</v>
      </c>
      <c r="H27" s="9">
        <v>0.0</v>
      </c>
      <c r="I27" s="9">
        <v>0.0</v>
      </c>
      <c r="J27" s="17">
        <v>3193.0</v>
      </c>
      <c r="K27" s="18">
        <v>-719.5</v>
      </c>
      <c r="L27" s="17">
        <v>-689.0</v>
      </c>
      <c r="M27" s="18">
        <v>-689.0</v>
      </c>
      <c r="N27" s="18">
        <v>0.0</v>
      </c>
      <c r="O27" s="18">
        <v>2.32</v>
      </c>
      <c r="P27" s="4"/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1.0</v>
      </c>
      <c r="H28" s="9">
        <v>0.0</v>
      </c>
      <c r="I28" s="9">
        <v>0.0</v>
      </c>
      <c r="J28" s="17">
        <v>6290.0</v>
      </c>
      <c r="K28" s="18">
        <v>1483.0</v>
      </c>
      <c r="L28" s="17">
        <v>1520.0</v>
      </c>
      <c r="M28" s="18">
        <v>1520.0</v>
      </c>
      <c r="N28" s="18">
        <v>0.0</v>
      </c>
      <c r="O28" s="18">
        <v>0.667</v>
      </c>
      <c r="P28" s="4"/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1.0</v>
      </c>
      <c r="H29" s="9">
        <v>0.0</v>
      </c>
      <c r="I29" s="9">
        <v>0.0</v>
      </c>
      <c r="J29" s="17">
        <v>368.0</v>
      </c>
      <c r="K29" s="18">
        <v>368.0</v>
      </c>
      <c r="L29" s="17">
        <v>368.0</v>
      </c>
      <c r="M29" s="18">
        <v>368.0</v>
      </c>
      <c r="N29" s="18">
        <v>0.0</v>
      </c>
      <c r="O29" s="18">
        <v>0.029</v>
      </c>
      <c r="P29" s="4"/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1.0</v>
      </c>
      <c r="H30" s="9">
        <v>0.0</v>
      </c>
      <c r="I30" s="9">
        <v>0.0</v>
      </c>
      <c r="J30" s="17">
        <v>1887.0</v>
      </c>
      <c r="K30" s="18">
        <v>-504.5</v>
      </c>
      <c r="L30" s="17">
        <v>-499.0</v>
      </c>
      <c r="M30" s="18">
        <v>-499.0</v>
      </c>
      <c r="N30" s="18">
        <v>0.0</v>
      </c>
      <c r="O30" s="18">
        <v>0.058</v>
      </c>
      <c r="P30" s="4"/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1.0</v>
      </c>
      <c r="H31" s="9">
        <v>0.0</v>
      </c>
      <c r="I31" s="9">
        <v>0.0</v>
      </c>
      <c r="J31" s="17">
        <v>2023.0</v>
      </c>
      <c r="K31" s="18">
        <v>-379.5</v>
      </c>
      <c r="L31" s="17">
        <v>-374.0</v>
      </c>
      <c r="M31" s="18">
        <v>-374.0</v>
      </c>
      <c r="N31" s="18">
        <v>0.0</v>
      </c>
      <c r="O31" s="18">
        <v>0.066</v>
      </c>
      <c r="P31" s="4"/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1.0</v>
      </c>
      <c r="H32" s="9">
        <v>0.0</v>
      </c>
      <c r="I32" s="9">
        <v>0.0</v>
      </c>
      <c r="J32" s="17">
        <v>11568.0</v>
      </c>
      <c r="K32" s="18">
        <v>3744.33</v>
      </c>
      <c r="L32" s="17">
        <v>3782.0</v>
      </c>
      <c r="M32" s="18">
        <v>3782.0</v>
      </c>
      <c r="N32" s="18">
        <v>0.0</v>
      </c>
      <c r="O32" s="18">
        <v>0.391</v>
      </c>
      <c r="P32" s="4"/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1.0</v>
      </c>
      <c r="H33" s="9">
        <v>0.0</v>
      </c>
      <c r="I33" s="9">
        <v>0.0</v>
      </c>
      <c r="J33" s="17">
        <v>2795.0</v>
      </c>
      <c r="K33" s="18">
        <v>-1193.75</v>
      </c>
      <c r="L33" s="17">
        <v>-1186.0</v>
      </c>
      <c r="M33" s="18">
        <v>-1186.0</v>
      </c>
      <c r="N33" s="18">
        <v>0.0</v>
      </c>
      <c r="O33" s="18">
        <v>4.988</v>
      </c>
      <c r="P33" s="4"/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1.0</v>
      </c>
      <c r="H34" s="9">
        <v>0.0</v>
      </c>
      <c r="I34" s="9">
        <v>0.0</v>
      </c>
      <c r="J34" s="17">
        <v>-1122.0</v>
      </c>
      <c r="K34" s="18">
        <v>-1122.0</v>
      </c>
      <c r="L34" s="17">
        <v>-1122.0</v>
      </c>
      <c r="M34" s="18">
        <v>-1122.0</v>
      </c>
      <c r="N34" s="18">
        <v>0.0</v>
      </c>
      <c r="O34" s="18">
        <v>0.505</v>
      </c>
      <c r="P34" s="4"/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1.0</v>
      </c>
      <c r="H35" s="9">
        <v>0.0</v>
      </c>
      <c r="I35" s="9">
        <v>0.0</v>
      </c>
      <c r="J35" s="17">
        <v>-1137.0</v>
      </c>
      <c r="K35" s="18">
        <v>-1137.0</v>
      </c>
      <c r="L35" s="17">
        <v>-1137.0</v>
      </c>
      <c r="M35" s="18">
        <v>-1137.0</v>
      </c>
      <c r="N35" s="18">
        <v>0.0</v>
      </c>
      <c r="O35" s="18">
        <v>0.329</v>
      </c>
      <c r="P35" s="4"/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1.0</v>
      </c>
      <c r="H36" s="9">
        <v>0.0</v>
      </c>
      <c r="I36" s="9">
        <v>0.0</v>
      </c>
      <c r="J36" s="17">
        <v>3765.0</v>
      </c>
      <c r="K36" s="18">
        <v>-1107.0</v>
      </c>
      <c r="L36" s="17">
        <v>-1101.0</v>
      </c>
      <c r="M36" s="18">
        <v>-1101.0</v>
      </c>
      <c r="N36" s="18">
        <v>0.0</v>
      </c>
      <c r="O36" s="18">
        <v>0.92</v>
      </c>
      <c r="P36" s="4"/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1.0</v>
      </c>
      <c r="H37" s="9">
        <v>0.0</v>
      </c>
      <c r="I37" s="9">
        <v>0.0</v>
      </c>
      <c r="J37" s="17">
        <v>-1083.0</v>
      </c>
      <c r="K37" s="18">
        <v>-1083.0</v>
      </c>
      <c r="L37" s="17">
        <v>-1083.0</v>
      </c>
      <c r="M37" s="18">
        <v>-1083.0</v>
      </c>
      <c r="N37" s="18">
        <v>0.0</v>
      </c>
      <c r="O37" s="18">
        <v>0.671</v>
      </c>
      <c r="P37" s="4"/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1.0</v>
      </c>
      <c r="H38" s="9">
        <v>0.0</v>
      </c>
      <c r="I38" s="9">
        <v>0.0</v>
      </c>
      <c r="J38" s="17">
        <v>3070.0</v>
      </c>
      <c r="K38" s="18">
        <v>-958.667</v>
      </c>
      <c r="L38" s="17">
        <v>-952.0</v>
      </c>
      <c r="M38" s="18">
        <v>-952.0</v>
      </c>
      <c r="N38" s="18">
        <v>0.0</v>
      </c>
      <c r="O38" s="18">
        <v>0.737</v>
      </c>
      <c r="P38" s="4"/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1.0</v>
      </c>
      <c r="H39" s="9">
        <v>0.0</v>
      </c>
      <c r="I39" s="9">
        <v>0.0</v>
      </c>
      <c r="J39" s="17">
        <v>3004.0</v>
      </c>
      <c r="K39" s="18">
        <v>-977.333</v>
      </c>
      <c r="L39" s="17">
        <v>-976.0</v>
      </c>
      <c r="M39" s="18">
        <v>-976.0</v>
      </c>
      <c r="N39" s="18">
        <v>0.0</v>
      </c>
      <c r="O39" s="18">
        <v>0.41</v>
      </c>
      <c r="P39" s="4"/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1.0</v>
      </c>
      <c r="H40" s="9">
        <v>0.0</v>
      </c>
      <c r="I40" s="9">
        <v>0.0</v>
      </c>
      <c r="J40" s="17">
        <v>4164.0</v>
      </c>
      <c r="K40" s="18">
        <v>-829.8</v>
      </c>
      <c r="L40" s="17">
        <v>-811.0</v>
      </c>
      <c r="M40" s="18">
        <v>-811.0</v>
      </c>
      <c r="N40" s="18">
        <v>0.0</v>
      </c>
      <c r="O40" s="18">
        <v>0.589</v>
      </c>
      <c r="P40" s="4"/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1.0</v>
      </c>
      <c r="H41" s="9">
        <v>0.0</v>
      </c>
      <c r="I41" s="9">
        <v>0.0</v>
      </c>
      <c r="J41" s="17">
        <v>4765.0</v>
      </c>
      <c r="K41" s="18">
        <v>-837.0</v>
      </c>
      <c r="L41" s="17">
        <v>-822.0</v>
      </c>
      <c r="M41" s="18">
        <v>-822.0</v>
      </c>
      <c r="N41" s="18">
        <v>0.0</v>
      </c>
      <c r="O41" s="18">
        <v>0.865</v>
      </c>
      <c r="P41" s="4"/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1.0</v>
      </c>
      <c r="H42" s="9">
        <v>0.0</v>
      </c>
      <c r="I42" s="9">
        <v>0.0</v>
      </c>
      <c r="J42" s="17">
        <v>5138.0</v>
      </c>
      <c r="K42" s="18">
        <v>-642.0</v>
      </c>
      <c r="L42" s="17">
        <v>-634.0</v>
      </c>
      <c r="M42" s="18">
        <v>-634.0</v>
      </c>
      <c r="N42" s="18">
        <v>0.0</v>
      </c>
      <c r="O42" s="18">
        <v>0.746</v>
      </c>
      <c r="P42" s="4"/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1.0</v>
      </c>
      <c r="H43" s="9">
        <v>0.0</v>
      </c>
      <c r="I43" s="9">
        <v>0.0</v>
      </c>
      <c r="J43" s="17">
        <v>485.0</v>
      </c>
      <c r="K43" s="18">
        <v>485.0</v>
      </c>
      <c r="L43" s="17">
        <v>485.0</v>
      </c>
      <c r="M43" s="18">
        <v>485.0</v>
      </c>
      <c r="N43" s="18">
        <v>0.0</v>
      </c>
      <c r="O43" s="18">
        <v>0.048</v>
      </c>
      <c r="P43" s="4"/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1.0</v>
      </c>
      <c r="H44" s="9">
        <v>0.0</v>
      </c>
      <c r="I44" s="9">
        <v>0.0</v>
      </c>
      <c r="J44" s="17">
        <v>-234.0</v>
      </c>
      <c r="K44" s="18">
        <v>-234.0</v>
      </c>
      <c r="L44" s="17">
        <v>-234.0</v>
      </c>
      <c r="M44" s="18">
        <v>-234.0</v>
      </c>
      <c r="N44" s="18">
        <v>0.0</v>
      </c>
      <c r="O44" s="18">
        <v>0.043</v>
      </c>
      <c r="P44" s="4"/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1.0</v>
      </c>
      <c r="H45" s="9">
        <v>0.0</v>
      </c>
      <c r="I45" s="9">
        <v>0.0</v>
      </c>
      <c r="J45" s="17">
        <v>9339.0</v>
      </c>
      <c r="K45" s="18">
        <v>2055.0</v>
      </c>
      <c r="L45" s="17">
        <v>2130.0</v>
      </c>
      <c r="M45" s="18">
        <v>2130.0</v>
      </c>
      <c r="N45" s="18">
        <v>0.0</v>
      </c>
      <c r="O45" s="18">
        <v>2.873</v>
      </c>
      <c r="P45" s="4"/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1.0</v>
      </c>
      <c r="H46" s="9">
        <v>0.0</v>
      </c>
      <c r="I46" s="9">
        <v>0.0</v>
      </c>
      <c r="J46" s="17">
        <v>3663.0</v>
      </c>
      <c r="K46" s="18">
        <v>3663.0</v>
      </c>
      <c r="L46" s="17">
        <v>3663.0</v>
      </c>
      <c r="M46" s="18">
        <v>3663.0</v>
      </c>
      <c r="N46" s="18">
        <v>0.0</v>
      </c>
      <c r="O46" s="18">
        <v>0.039</v>
      </c>
      <c r="P46" s="4"/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1.0</v>
      </c>
      <c r="H47" s="9">
        <v>0.0</v>
      </c>
      <c r="I47" s="9">
        <v>0.0</v>
      </c>
      <c r="J47" s="17">
        <v>4325.0</v>
      </c>
      <c r="K47" s="18">
        <v>4325.0</v>
      </c>
      <c r="L47" s="17">
        <v>4325.0</v>
      </c>
      <c r="M47" s="18">
        <v>4325.0</v>
      </c>
      <c r="N47" s="18">
        <v>0.0</v>
      </c>
      <c r="O47" s="18">
        <v>0.05</v>
      </c>
      <c r="P47" s="4"/>
    </row>
    <row r="48">
      <c r="A48" s="8" t="s">
        <v>53</v>
      </c>
      <c r="B48" s="9">
        <v>30.0</v>
      </c>
      <c r="C48" s="9" t="s">
        <v>8</v>
      </c>
      <c r="D48" s="9">
        <v>25.0</v>
      </c>
      <c r="E48" s="10">
        <v>0.6</v>
      </c>
      <c r="F48" s="9">
        <v>1.0</v>
      </c>
      <c r="G48" s="9">
        <v>1.0</v>
      </c>
      <c r="H48" s="9">
        <v>0.0</v>
      </c>
      <c r="I48" s="9">
        <v>0.0</v>
      </c>
      <c r="J48" s="17">
        <v>1466.0</v>
      </c>
      <c r="K48" s="18">
        <v>-968.5</v>
      </c>
      <c r="L48" s="17">
        <v>-968.0</v>
      </c>
      <c r="M48" s="18">
        <v>-968.0</v>
      </c>
      <c r="N48" s="18">
        <v>0.0</v>
      </c>
      <c r="O48" s="18">
        <v>2.046</v>
      </c>
      <c r="P48" s="4"/>
    </row>
    <row r="49">
      <c r="A49" s="8" t="s">
        <v>54</v>
      </c>
      <c r="B49" s="9">
        <v>30.0</v>
      </c>
      <c r="C49" s="9" t="s">
        <v>8</v>
      </c>
      <c r="D49" s="9">
        <v>25.0</v>
      </c>
      <c r="E49" s="10">
        <v>0.6</v>
      </c>
      <c r="F49" s="9">
        <v>2.0</v>
      </c>
      <c r="G49" s="9">
        <v>1.0</v>
      </c>
      <c r="H49" s="9">
        <v>0.0</v>
      </c>
      <c r="I49" s="9">
        <v>0.0</v>
      </c>
      <c r="J49" s="17">
        <v>-749.0</v>
      </c>
      <c r="K49" s="18">
        <v>-749.0</v>
      </c>
      <c r="L49" s="17">
        <v>-749.0</v>
      </c>
      <c r="M49" s="18">
        <v>-749.0</v>
      </c>
      <c r="N49" s="18">
        <v>0.0</v>
      </c>
      <c r="O49" s="18">
        <v>1.346</v>
      </c>
      <c r="P49" s="4"/>
    </row>
    <row r="50">
      <c r="A50" s="8" t="s">
        <v>55</v>
      </c>
      <c r="B50" s="9">
        <v>30.0</v>
      </c>
      <c r="C50" s="9" t="s">
        <v>8</v>
      </c>
      <c r="D50" s="9">
        <v>25.0</v>
      </c>
      <c r="E50" s="10">
        <v>0.6</v>
      </c>
      <c r="F50" s="9">
        <v>3.0</v>
      </c>
      <c r="G50" s="9">
        <v>1.0</v>
      </c>
      <c r="H50" s="9">
        <v>0.0</v>
      </c>
      <c r="I50" s="9">
        <v>0.0</v>
      </c>
      <c r="J50" s="17">
        <v>-935.0</v>
      </c>
      <c r="K50" s="18">
        <v>-935.0</v>
      </c>
      <c r="L50" s="17">
        <v>-935.0</v>
      </c>
      <c r="M50" s="18">
        <v>-935.0</v>
      </c>
      <c r="N50" s="18">
        <v>0.0</v>
      </c>
      <c r="O50" s="18">
        <v>1.471</v>
      </c>
      <c r="P50" s="4"/>
    </row>
    <row r="51">
      <c r="A51" s="8" t="s">
        <v>56</v>
      </c>
      <c r="B51" s="9">
        <v>30.0</v>
      </c>
      <c r="C51" s="9" t="s">
        <v>8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-1126.0</v>
      </c>
      <c r="K51" s="18">
        <v>-1126.0</v>
      </c>
      <c r="L51" s="17">
        <v>-1126.0</v>
      </c>
      <c r="M51" s="18">
        <v>-1126.0</v>
      </c>
      <c r="N51" s="18">
        <v>0.0</v>
      </c>
      <c r="O51" s="18">
        <v>2.921</v>
      </c>
      <c r="P51" s="4"/>
    </row>
    <row r="52">
      <c r="A52" s="8" t="s">
        <v>57</v>
      </c>
      <c r="B52" s="9">
        <v>30.0</v>
      </c>
      <c r="C52" s="9" t="s">
        <v>8</v>
      </c>
      <c r="D52" s="9">
        <v>25.0</v>
      </c>
      <c r="E52" s="10">
        <v>0.6</v>
      </c>
      <c r="F52" s="9">
        <v>5.0</v>
      </c>
      <c r="G52" s="9">
        <v>1.0</v>
      </c>
      <c r="H52" s="9">
        <v>0.0</v>
      </c>
      <c r="I52" s="9">
        <v>0.0</v>
      </c>
      <c r="J52" s="17">
        <v>-1010.0</v>
      </c>
      <c r="K52" s="18">
        <v>-1010.0</v>
      </c>
      <c r="L52" s="17">
        <v>-1010.0</v>
      </c>
      <c r="M52" s="18">
        <v>-1010.0</v>
      </c>
      <c r="N52" s="18">
        <v>0.0</v>
      </c>
      <c r="O52" s="18">
        <v>2.047</v>
      </c>
      <c r="P52" s="4"/>
    </row>
    <row r="53">
      <c r="A53" s="8" t="s">
        <v>58</v>
      </c>
      <c r="B53" s="9">
        <v>30.0</v>
      </c>
      <c r="C53" s="9" t="s">
        <v>8</v>
      </c>
      <c r="D53" s="9">
        <v>25.0</v>
      </c>
      <c r="E53" s="10">
        <v>1.0</v>
      </c>
      <c r="F53" s="9">
        <v>1.0</v>
      </c>
      <c r="G53" s="9">
        <v>1.0</v>
      </c>
      <c r="H53" s="9">
        <v>0.0</v>
      </c>
      <c r="I53" s="9">
        <v>0.0</v>
      </c>
      <c r="J53" s="17">
        <v>-908.0</v>
      </c>
      <c r="K53" s="18">
        <v>-908.0</v>
      </c>
      <c r="L53" s="17">
        <v>-908.0</v>
      </c>
      <c r="M53" s="18">
        <v>-908.0</v>
      </c>
      <c r="N53" s="18">
        <v>0.0</v>
      </c>
      <c r="O53" s="18">
        <v>0.305</v>
      </c>
      <c r="P53" s="4"/>
    </row>
    <row r="54">
      <c r="A54" s="8" t="s">
        <v>59</v>
      </c>
      <c r="B54" s="9">
        <v>30.0</v>
      </c>
      <c r="C54" s="9" t="s">
        <v>8</v>
      </c>
      <c r="D54" s="9">
        <v>25.0</v>
      </c>
      <c r="E54" s="10">
        <v>1.0</v>
      </c>
      <c r="F54" s="9">
        <v>2.0</v>
      </c>
      <c r="G54" s="9">
        <v>1.0</v>
      </c>
      <c r="H54" s="9">
        <v>0.0</v>
      </c>
      <c r="I54" s="9">
        <v>0.0</v>
      </c>
      <c r="J54" s="17">
        <v>-610.0</v>
      </c>
      <c r="K54" s="18">
        <v>-610.0</v>
      </c>
      <c r="L54" s="17">
        <v>-610.0</v>
      </c>
      <c r="M54" s="18">
        <v>-610.0</v>
      </c>
      <c r="N54" s="18">
        <v>0.0</v>
      </c>
      <c r="O54" s="18">
        <v>0.402</v>
      </c>
      <c r="P54" s="4"/>
    </row>
    <row r="55">
      <c r="A55" s="8" t="s">
        <v>60</v>
      </c>
      <c r="B55" s="9">
        <v>30.0</v>
      </c>
      <c r="C55" s="9" t="s">
        <v>8</v>
      </c>
      <c r="D55" s="9">
        <v>25.0</v>
      </c>
      <c r="E55" s="10">
        <v>1.0</v>
      </c>
      <c r="F55" s="9">
        <v>3.0</v>
      </c>
      <c r="G55" s="9">
        <v>1.0</v>
      </c>
      <c r="H55" s="9">
        <v>0.0</v>
      </c>
      <c r="I55" s="9">
        <v>0.0</v>
      </c>
      <c r="J55" s="17">
        <v>1442.0</v>
      </c>
      <c r="K55" s="18">
        <v>-836.5</v>
      </c>
      <c r="L55" s="17">
        <v>-835.0</v>
      </c>
      <c r="M55" s="18">
        <v>-835.0</v>
      </c>
      <c r="N55" s="18">
        <v>0.0</v>
      </c>
      <c r="O55" s="18">
        <v>1.223</v>
      </c>
      <c r="P55" s="4"/>
    </row>
    <row r="56">
      <c r="A56" s="8" t="s">
        <v>61</v>
      </c>
      <c r="B56" s="9">
        <v>30.0</v>
      </c>
      <c r="C56" s="9" t="s">
        <v>8</v>
      </c>
      <c r="D56" s="9">
        <v>25.0</v>
      </c>
      <c r="E56" s="10">
        <v>1.0</v>
      </c>
      <c r="F56" s="9">
        <v>4.0</v>
      </c>
      <c r="G56" s="9">
        <v>1.0</v>
      </c>
      <c r="H56" s="9">
        <v>0.0</v>
      </c>
      <c r="I56" s="9">
        <v>0.0</v>
      </c>
      <c r="J56" s="17">
        <v>1982.0</v>
      </c>
      <c r="K56" s="18">
        <v>-867.5</v>
      </c>
      <c r="L56" s="17">
        <v>-852.0</v>
      </c>
      <c r="M56" s="18">
        <v>-852.0</v>
      </c>
      <c r="N56" s="18">
        <v>0.0</v>
      </c>
      <c r="O56" s="18">
        <v>2.842</v>
      </c>
      <c r="P56" s="4"/>
    </row>
    <row r="57">
      <c r="A57" s="8" t="s">
        <v>62</v>
      </c>
      <c r="B57" s="9">
        <v>30.0</v>
      </c>
      <c r="C57" s="9" t="s">
        <v>8</v>
      </c>
      <c r="D57" s="9">
        <v>25.0</v>
      </c>
      <c r="E57" s="10">
        <v>1.0</v>
      </c>
      <c r="F57" s="9">
        <v>5.0</v>
      </c>
      <c r="G57" s="9">
        <v>1.0</v>
      </c>
      <c r="H57" s="9">
        <v>0.0</v>
      </c>
      <c r="I57" s="9">
        <v>0.0</v>
      </c>
      <c r="J57" s="17">
        <v>-865.0</v>
      </c>
      <c r="K57" s="18">
        <v>-865.0</v>
      </c>
      <c r="L57" s="17">
        <v>-865.0</v>
      </c>
      <c r="M57" s="18">
        <v>-865.0</v>
      </c>
      <c r="N57" s="18">
        <v>0.0</v>
      </c>
      <c r="O57" s="18">
        <v>0.791</v>
      </c>
      <c r="P57" s="4"/>
    </row>
    <row r="58">
      <c r="A58" s="8" t="s">
        <v>63</v>
      </c>
      <c r="B58" s="9">
        <v>30.0</v>
      </c>
      <c r="C58" s="9" t="s">
        <v>8</v>
      </c>
      <c r="D58" s="9">
        <v>25.0</v>
      </c>
      <c r="E58" s="10">
        <v>2.0</v>
      </c>
      <c r="F58" s="9">
        <v>1.0</v>
      </c>
      <c r="G58" s="9">
        <v>1.0</v>
      </c>
      <c r="H58" s="9">
        <v>0.0</v>
      </c>
      <c r="I58" s="9">
        <v>0.0</v>
      </c>
      <c r="J58" s="17">
        <v>-336.0</v>
      </c>
      <c r="K58" s="18">
        <v>-336.0</v>
      </c>
      <c r="L58" s="17">
        <v>-336.0</v>
      </c>
      <c r="M58" s="18">
        <v>-336.0</v>
      </c>
      <c r="N58" s="18">
        <v>0.0</v>
      </c>
      <c r="O58" s="18">
        <v>0.063</v>
      </c>
      <c r="P58" s="4"/>
    </row>
    <row r="59">
      <c r="A59" s="8" t="s">
        <v>64</v>
      </c>
      <c r="B59" s="9">
        <v>30.0</v>
      </c>
      <c r="C59" s="9" t="s">
        <v>8</v>
      </c>
      <c r="D59" s="9">
        <v>25.0</v>
      </c>
      <c r="E59" s="10">
        <v>2.0</v>
      </c>
      <c r="F59" s="9">
        <v>2.0</v>
      </c>
      <c r="G59" s="9">
        <v>1.0</v>
      </c>
      <c r="H59" s="9">
        <v>0.0</v>
      </c>
      <c r="I59" s="9">
        <v>0.0</v>
      </c>
      <c r="J59" s="17">
        <v>5512.0</v>
      </c>
      <c r="K59" s="18">
        <v>861.667</v>
      </c>
      <c r="L59" s="17">
        <v>916.0</v>
      </c>
      <c r="M59" s="18">
        <v>916.0</v>
      </c>
      <c r="N59" s="18">
        <v>0.0</v>
      </c>
      <c r="O59" s="18">
        <v>22.192</v>
      </c>
      <c r="P59" s="4"/>
    </row>
    <row r="60">
      <c r="A60" s="8" t="s">
        <v>65</v>
      </c>
      <c r="B60" s="9">
        <v>30.0</v>
      </c>
      <c r="C60" s="9" t="s">
        <v>8</v>
      </c>
      <c r="D60" s="9">
        <v>25.0</v>
      </c>
      <c r="E60" s="10">
        <v>2.0</v>
      </c>
      <c r="F60" s="9">
        <v>3.0</v>
      </c>
      <c r="G60" s="9">
        <v>1.0</v>
      </c>
      <c r="H60" s="9">
        <v>0.0</v>
      </c>
      <c r="I60" s="9">
        <v>0.0</v>
      </c>
      <c r="J60" s="17">
        <v>-540.0</v>
      </c>
      <c r="K60" s="18">
        <v>-540.0</v>
      </c>
      <c r="L60" s="17">
        <v>-540.0</v>
      </c>
      <c r="M60" s="18">
        <v>-540.0</v>
      </c>
      <c r="N60" s="18">
        <v>0.0</v>
      </c>
      <c r="O60" s="18">
        <v>0.071</v>
      </c>
      <c r="P60" s="4"/>
    </row>
    <row r="61">
      <c r="A61" s="8" t="s">
        <v>66</v>
      </c>
      <c r="B61" s="9">
        <v>30.0</v>
      </c>
      <c r="C61" s="9" t="s">
        <v>8</v>
      </c>
      <c r="D61" s="9">
        <v>25.0</v>
      </c>
      <c r="E61" s="10">
        <v>2.0</v>
      </c>
      <c r="F61" s="9">
        <v>4.0</v>
      </c>
      <c r="G61" s="9">
        <v>1.0</v>
      </c>
      <c r="H61" s="9">
        <v>0.0</v>
      </c>
      <c r="I61" s="9">
        <v>0.0</v>
      </c>
      <c r="J61" s="17">
        <v>6692.0</v>
      </c>
      <c r="K61" s="18">
        <v>1261.43</v>
      </c>
      <c r="L61" s="17">
        <v>1337.0</v>
      </c>
      <c r="M61" s="18">
        <v>1337.0</v>
      </c>
      <c r="N61" s="18">
        <v>0.0</v>
      </c>
      <c r="O61" s="18">
        <v>72.043</v>
      </c>
      <c r="P61" s="4"/>
    </row>
    <row r="62">
      <c r="A62" s="8" t="s">
        <v>67</v>
      </c>
      <c r="B62" s="9">
        <v>30.0</v>
      </c>
      <c r="C62" s="9" t="s">
        <v>8</v>
      </c>
      <c r="D62" s="9">
        <v>25.0</v>
      </c>
      <c r="E62" s="10">
        <v>2.0</v>
      </c>
      <c r="F62" s="9">
        <v>5.0</v>
      </c>
      <c r="G62" s="9">
        <v>1.0</v>
      </c>
      <c r="H62" s="9">
        <v>0.0</v>
      </c>
      <c r="I62" s="9">
        <v>0.0</v>
      </c>
      <c r="J62" s="17">
        <v>3563.0</v>
      </c>
      <c r="K62" s="18">
        <v>121.75</v>
      </c>
      <c r="L62" s="17">
        <v>131.0</v>
      </c>
      <c r="M62" s="18">
        <v>131.0</v>
      </c>
      <c r="N62" s="18">
        <v>0.0</v>
      </c>
      <c r="O62" s="18">
        <v>0.249</v>
      </c>
      <c r="P62" s="4"/>
    </row>
    <row r="63">
      <c r="A63" s="8" t="s">
        <v>68</v>
      </c>
      <c r="B63" s="9">
        <v>30.0</v>
      </c>
      <c r="C63" s="9" t="s">
        <v>8</v>
      </c>
      <c r="D63" s="9">
        <v>50.0</v>
      </c>
      <c r="E63" s="10">
        <v>0.6</v>
      </c>
      <c r="F63" s="9">
        <v>1.0</v>
      </c>
      <c r="G63" s="9">
        <v>1.0</v>
      </c>
      <c r="H63" s="9">
        <v>0.0</v>
      </c>
      <c r="I63" s="9">
        <v>0.0</v>
      </c>
      <c r="J63" s="17">
        <v>3208.0</v>
      </c>
      <c r="K63" s="18">
        <v>-1094.5</v>
      </c>
      <c r="L63" s="17">
        <v>-1084.0</v>
      </c>
      <c r="M63" s="18">
        <v>-1084.0</v>
      </c>
      <c r="N63" s="18">
        <v>0.0</v>
      </c>
      <c r="O63" s="18">
        <v>4.163</v>
      </c>
      <c r="P63" s="4"/>
    </row>
    <row r="64">
      <c r="A64" s="8" t="s">
        <v>69</v>
      </c>
      <c r="B64" s="9">
        <v>30.0</v>
      </c>
      <c r="C64" s="9" t="s">
        <v>8</v>
      </c>
      <c r="D64" s="9">
        <v>50.0</v>
      </c>
      <c r="E64" s="10">
        <v>0.6</v>
      </c>
      <c r="F64" s="9">
        <v>2.0</v>
      </c>
      <c r="G64" s="9">
        <v>1.0</v>
      </c>
      <c r="H64" s="9">
        <v>0.0</v>
      </c>
      <c r="I64" s="9">
        <v>0.0</v>
      </c>
      <c r="J64" s="17">
        <v>-1550.0</v>
      </c>
      <c r="K64" s="18">
        <v>-1550.0</v>
      </c>
      <c r="L64" s="17">
        <v>-1550.0</v>
      </c>
      <c r="M64" s="18">
        <v>-1550.0</v>
      </c>
      <c r="N64" s="18">
        <v>0.0</v>
      </c>
      <c r="O64" s="18">
        <v>2.585</v>
      </c>
      <c r="P64" s="4"/>
    </row>
    <row r="65">
      <c r="A65" s="8" t="s">
        <v>70</v>
      </c>
      <c r="B65" s="9">
        <v>30.0</v>
      </c>
      <c r="C65" s="9" t="s">
        <v>8</v>
      </c>
      <c r="D65" s="9">
        <v>50.0</v>
      </c>
      <c r="E65" s="10">
        <v>0.6</v>
      </c>
      <c r="F65" s="9">
        <v>3.0</v>
      </c>
      <c r="G65" s="9">
        <v>1.0</v>
      </c>
      <c r="H65" s="9">
        <v>0.0</v>
      </c>
      <c r="I65" s="9">
        <v>0.0</v>
      </c>
      <c r="J65" s="17">
        <v>3349.0</v>
      </c>
      <c r="K65" s="18">
        <v>-1151.5</v>
      </c>
      <c r="L65" s="17">
        <v>-1138.0</v>
      </c>
      <c r="M65" s="18">
        <v>-1138.0</v>
      </c>
      <c r="N65" s="18">
        <v>0.0</v>
      </c>
      <c r="O65" s="18">
        <v>11.658</v>
      </c>
      <c r="P65" s="4"/>
    </row>
    <row r="66">
      <c r="A66" s="8" t="s">
        <v>71</v>
      </c>
      <c r="B66" s="9">
        <v>30.0</v>
      </c>
      <c r="C66" s="9" t="s">
        <v>8</v>
      </c>
      <c r="D66" s="9">
        <v>50.0</v>
      </c>
      <c r="E66" s="10">
        <v>0.6</v>
      </c>
      <c r="F66" s="9">
        <v>4.0</v>
      </c>
      <c r="G66" s="9">
        <v>1.0</v>
      </c>
      <c r="H66" s="9">
        <v>0.0</v>
      </c>
      <c r="I66" s="9">
        <v>0.0</v>
      </c>
      <c r="J66" s="17">
        <v>3357.0</v>
      </c>
      <c r="K66" s="18">
        <v>-1336.5</v>
      </c>
      <c r="L66" s="17">
        <v>-1336.0</v>
      </c>
      <c r="M66" s="18">
        <v>-1336.0</v>
      </c>
      <c r="N66" s="18">
        <v>0.0</v>
      </c>
      <c r="O66" s="18">
        <v>4.902</v>
      </c>
      <c r="P66" s="4"/>
    </row>
    <row r="67">
      <c r="A67" s="8" t="s">
        <v>72</v>
      </c>
      <c r="B67" s="9">
        <v>30.0</v>
      </c>
      <c r="C67" s="9" t="s">
        <v>8</v>
      </c>
      <c r="D67" s="9">
        <v>50.0</v>
      </c>
      <c r="E67" s="10">
        <v>0.6</v>
      </c>
      <c r="F67" s="9">
        <v>5.0</v>
      </c>
      <c r="G67" s="9">
        <v>1.0</v>
      </c>
      <c r="H67" s="9">
        <v>0.0</v>
      </c>
      <c r="I67" s="9">
        <v>0.0</v>
      </c>
      <c r="J67" s="17">
        <v>-1459.0</v>
      </c>
      <c r="K67" s="18">
        <v>-1459.0</v>
      </c>
      <c r="L67" s="17">
        <v>-1459.0</v>
      </c>
      <c r="M67" s="18">
        <v>-1459.0</v>
      </c>
      <c r="N67" s="18">
        <v>0.0</v>
      </c>
      <c r="O67" s="18">
        <v>2.469</v>
      </c>
      <c r="P67" s="4"/>
    </row>
    <row r="68">
      <c r="A68" s="8" t="s">
        <v>73</v>
      </c>
      <c r="B68" s="9">
        <v>30.0</v>
      </c>
      <c r="C68" s="9" t="s">
        <v>8</v>
      </c>
      <c r="D68" s="9">
        <v>50.0</v>
      </c>
      <c r="E68" s="10">
        <v>1.0</v>
      </c>
      <c r="F68" s="9">
        <v>1.0</v>
      </c>
      <c r="G68" s="9">
        <v>1.0</v>
      </c>
      <c r="H68" s="9">
        <v>0.0</v>
      </c>
      <c r="I68" s="9">
        <v>0.0</v>
      </c>
      <c r="J68" s="17">
        <v>3928.0</v>
      </c>
      <c r="K68" s="18">
        <v>-849.333</v>
      </c>
      <c r="L68" s="17">
        <v>-848.0</v>
      </c>
      <c r="M68" s="18">
        <v>-848.0</v>
      </c>
      <c r="N68" s="18">
        <v>0.0</v>
      </c>
      <c r="O68" s="18">
        <v>1.66</v>
      </c>
      <c r="P68" s="4"/>
    </row>
    <row r="69">
      <c r="A69" s="8" t="s">
        <v>74</v>
      </c>
      <c r="B69" s="9">
        <v>30.0</v>
      </c>
      <c r="C69" s="9" t="s">
        <v>8</v>
      </c>
      <c r="D69" s="9">
        <v>50.0</v>
      </c>
      <c r="E69" s="10">
        <v>1.0</v>
      </c>
      <c r="F69" s="9">
        <v>2.0</v>
      </c>
      <c r="G69" s="9">
        <v>1.0</v>
      </c>
      <c r="H69" s="9">
        <v>0.0</v>
      </c>
      <c r="I69" s="9">
        <v>0.0</v>
      </c>
      <c r="J69" s="17">
        <v>3307.0</v>
      </c>
      <c r="K69" s="18">
        <v>-1321.5</v>
      </c>
      <c r="L69" s="17">
        <v>-1303.0</v>
      </c>
      <c r="M69" s="18">
        <v>-1303.0</v>
      </c>
      <c r="N69" s="18">
        <v>0.0</v>
      </c>
      <c r="O69" s="18">
        <v>4.223</v>
      </c>
      <c r="P69" s="4"/>
    </row>
    <row r="70">
      <c r="A70" s="8" t="s">
        <v>75</v>
      </c>
      <c r="B70" s="9">
        <v>30.0</v>
      </c>
      <c r="C70" s="9" t="s">
        <v>8</v>
      </c>
      <c r="D70" s="9">
        <v>50.0</v>
      </c>
      <c r="E70" s="10">
        <v>1.0</v>
      </c>
      <c r="F70" s="9">
        <v>3.0</v>
      </c>
      <c r="G70" s="9">
        <v>1.0</v>
      </c>
      <c r="H70" s="9">
        <v>0.0</v>
      </c>
      <c r="I70" s="9">
        <v>0.0</v>
      </c>
      <c r="J70" s="17">
        <v>4159.0</v>
      </c>
      <c r="K70" s="18">
        <v>-923.0</v>
      </c>
      <c r="L70" s="17">
        <v>-910.0</v>
      </c>
      <c r="M70" s="18">
        <v>-910.0</v>
      </c>
      <c r="N70" s="18">
        <v>0.0</v>
      </c>
      <c r="O70" s="18">
        <v>4.515</v>
      </c>
      <c r="P70" s="4"/>
    </row>
    <row r="71">
      <c r="A71" s="8" t="s">
        <v>76</v>
      </c>
      <c r="B71" s="9">
        <v>30.0</v>
      </c>
      <c r="C71" s="9" t="s">
        <v>8</v>
      </c>
      <c r="D71" s="9">
        <v>50.0</v>
      </c>
      <c r="E71" s="10">
        <v>1.0</v>
      </c>
      <c r="F71" s="9">
        <v>4.0</v>
      </c>
      <c r="G71" s="9">
        <v>1.0</v>
      </c>
      <c r="H71" s="9">
        <v>0.0</v>
      </c>
      <c r="I71" s="9">
        <v>0.0</v>
      </c>
      <c r="J71" s="17">
        <v>-1126.0</v>
      </c>
      <c r="K71" s="18">
        <v>-1126.0</v>
      </c>
      <c r="L71" s="17">
        <v>-1126.0</v>
      </c>
      <c r="M71" s="18">
        <v>-1126.0</v>
      </c>
      <c r="N71" s="18">
        <v>0.0</v>
      </c>
      <c r="O71" s="18">
        <v>0.792</v>
      </c>
      <c r="P71" s="4"/>
    </row>
    <row r="72">
      <c r="A72" s="8" t="s">
        <v>77</v>
      </c>
      <c r="B72" s="9">
        <v>30.0</v>
      </c>
      <c r="C72" s="9" t="s">
        <v>8</v>
      </c>
      <c r="D72" s="9">
        <v>50.0</v>
      </c>
      <c r="E72" s="10">
        <v>1.0</v>
      </c>
      <c r="F72" s="9">
        <v>5.0</v>
      </c>
      <c r="G72" s="9">
        <v>1.0</v>
      </c>
      <c r="H72" s="9">
        <v>0.0</v>
      </c>
      <c r="I72" s="9">
        <v>0.0</v>
      </c>
      <c r="J72" s="17">
        <v>3206.0</v>
      </c>
      <c r="K72" s="18">
        <v>-1171.0</v>
      </c>
      <c r="L72" s="17">
        <v>-1163.0</v>
      </c>
      <c r="M72" s="18">
        <v>-1163.0</v>
      </c>
      <c r="N72" s="18">
        <v>0.0</v>
      </c>
      <c r="O72" s="18">
        <v>2.118</v>
      </c>
      <c r="P72" s="4"/>
    </row>
    <row r="73">
      <c r="A73" s="8" t="s">
        <v>78</v>
      </c>
      <c r="B73" s="9">
        <v>30.0</v>
      </c>
      <c r="C73" s="9" t="s">
        <v>8</v>
      </c>
      <c r="D73" s="9">
        <v>50.0</v>
      </c>
      <c r="E73" s="10">
        <v>2.0</v>
      </c>
      <c r="F73" s="9">
        <v>1.0</v>
      </c>
      <c r="G73" s="9">
        <v>1.0</v>
      </c>
      <c r="H73" s="9">
        <v>0.0</v>
      </c>
      <c r="I73" s="9">
        <v>0.0</v>
      </c>
      <c r="J73" s="17">
        <v>9568.0</v>
      </c>
      <c r="K73" s="18">
        <v>1628.5</v>
      </c>
      <c r="L73" s="17">
        <v>1739.0</v>
      </c>
      <c r="M73" s="18">
        <v>1739.0</v>
      </c>
      <c r="N73" s="18">
        <v>0.0</v>
      </c>
      <c r="O73" s="18">
        <v>319.198</v>
      </c>
      <c r="P73" s="4"/>
    </row>
    <row r="74">
      <c r="A74" s="8" t="s">
        <v>79</v>
      </c>
      <c r="B74" s="9">
        <v>30.0</v>
      </c>
      <c r="C74" s="9" t="s">
        <v>8</v>
      </c>
      <c r="D74" s="9">
        <v>50.0</v>
      </c>
      <c r="E74" s="10">
        <v>2.0</v>
      </c>
      <c r="F74" s="9">
        <v>2.0</v>
      </c>
      <c r="G74" s="9">
        <v>1.0</v>
      </c>
      <c r="H74" s="9">
        <v>0.0</v>
      </c>
      <c r="I74" s="9">
        <v>0.0</v>
      </c>
      <c r="J74" s="17">
        <v>5437.0</v>
      </c>
      <c r="K74" s="18">
        <v>-17.0</v>
      </c>
      <c r="L74" s="17">
        <v>-13.0</v>
      </c>
      <c r="M74" s="18">
        <v>-13.0</v>
      </c>
      <c r="N74" s="18">
        <v>0.0</v>
      </c>
      <c r="O74" s="18">
        <v>0.385</v>
      </c>
      <c r="P74" s="4"/>
    </row>
    <row r="75">
      <c r="A75" s="8" t="s">
        <v>80</v>
      </c>
      <c r="B75" s="9">
        <v>30.0</v>
      </c>
      <c r="C75" s="9" t="s">
        <v>8</v>
      </c>
      <c r="D75" s="9">
        <v>50.0</v>
      </c>
      <c r="E75" s="10">
        <v>2.0</v>
      </c>
      <c r="F75" s="9">
        <v>3.0</v>
      </c>
      <c r="G75" s="9">
        <v>1.0</v>
      </c>
      <c r="H75" s="9">
        <v>0.0</v>
      </c>
      <c r="I75" s="9">
        <v>0.0</v>
      </c>
      <c r="J75" s="17">
        <v>10339.0</v>
      </c>
      <c r="K75" s="18">
        <v>1802.67</v>
      </c>
      <c r="L75" s="17">
        <v>1881.0</v>
      </c>
      <c r="M75" s="18">
        <v>1881.0</v>
      </c>
      <c r="N75" s="18">
        <v>0.0</v>
      </c>
      <c r="O75" s="18">
        <v>18.692</v>
      </c>
      <c r="P75" s="4"/>
    </row>
    <row r="76">
      <c r="A76" s="8" t="s">
        <v>81</v>
      </c>
      <c r="B76" s="9">
        <v>30.0</v>
      </c>
      <c r="C76" s="9" t="s">
        <v>8</v>
      </c>
      <c r="D76" s="9">
        <v>50.0</v>
      </c>
      <c r="E76" s="10">
        <v>2.0</v>
      </c>
      <c r="F76" s="9">
        <v>4.0</v>
      </c>
      <c r="G76" s="9">
        <v>1.0</v>
      </c>
      <c r="H76" s="9">
        <v>0.0</v>
      </c>
      <c r="I76" s="9">
        <v>0.0</v>
      </c>
      <c r="J76" s="17">
        <v>6567.0</v>
      </c>
      <c r="K76" s="18">
        <v>347.833</v>
      </c>
      <c r="L76" s="17">
        <v>365.0</v>
      </c>
      <c r="M76" s="18">
        <v>365.0</v>
      </c>
      <c r="N76" s="18">
        <v>0.0</v>
      </c>
      <c r="O76" s="18">
        <v>0.811</v>
      </c>
      <c r="P76" s="4"/>
    </row>
    <row r="77">
      <c r="A77" s="8" t="s">
        <v>82</v>
      </c>
      <c r="B77" s="9">
        <v>30.0</v>
      </c>
      <c r="C77" s="9" t="s">
        <v>8</v>
      </c>
      <c r="D77" s="9">
        <v>50.0</v>
      </c>
      <c r="E77" s="10">
        <v>2.0</v>
      </c>
      <c r="F77" s="9">
        <v>5.0</v>
      </c>
      <c r="G77" s="9">
        <v>1.0</v>
      </c>
      <c r="H77" s="9">
        <v>0.0</v>
      </c>
      <c r="I77" s="9">
        <v>0.0</v>
      </c>
      <c r="J77" s="17">
        <v>7286.0</v>
      </c>
      <c r="K77" s="18">
        <v>828.2</v>
      </c>
      <c r="L77" s="17">
        <v>885.0</v>
      </c>
      <c r="M77" s="18">
        <v>885.0</v>
      </c>
      <c r="N77" s="18">
        <v>0.0</v>
      </c>
      <c r="O77" s="18">
        <v>10.767</v>
      </c>
      <c r="P77" s="4"/>
    </row>
    <row r="78">
      <c r="A78" s="8" t="s">
        <v>83</v>
      </c>
      <c r="B78" s="9">
        <v>30.0</v>
      </c>
      <c r="C78" s="9" t="s">
        <v>8</v>
      </c>
      <c r="D78" s="9">
        <v>75.0</v>
      </c>
      <c r="E78" s="10">
        <v>0.6</v>
      </c>
      <c r="F78" s="9">
        <v>1.0</v>
      </c>
      <c r="G78" s="9">
        <v>1.0</v>
      </c>
      <c r="H78" s="9">
        <v>0.0</v>
      </c>
      <c r="I78" s="9">
        <v>0.0</v>
      </c>
      <c r="J78" s="17">
        <v>4185.0</v>
      </c>
      <c r="K78" s="18">
        <v>-1755.0</v>
      </c>
      <c r="L78" s="17">
        <v>-1754.0</v>
      </c>
      <c r="M78" s="18">
        <v>-1754.0</v>
      </c>
      <c r="N78" s="18">
        <v>0.0</v>
      </c>
      <c r="O78" s="18">
        <v>10.995</v>
      </c>
      <c r="P78" s="4"/>
    </row>
    <row r="79">
      <c r="A79" s="8" t="s">
        <v>84</v>
      </c>
      <c r="B79" s="9">
        <v>30.0</v>
      </c>
      <c r="C79" s="9" t="s">
        <v>8</v>
      </c>
      <c r="D79" s="9">
        <v>75.0</v>
      </c>
      <c r="E79" s="10">
        <v>0.6</v>
      </c>
      <c r="F79" s="9">
        <v>2.0</v>
      </c>
      <c r="G79" s="9">
        <v>1.0</v>
      </c>
      <c r="H79" s="9">
        <v>0.0</v>
      </c>
      <c r="I79" s="9">
        <v>0.0</v>
      </c>
      <c r="J79" s="17">
        <v>4351.0</v>
      </c>
      <c r="K79" s="18">
        <v>-1721.5</v>
      </c>
      <c r="L79" s="17">
        <v>-1720.0</v>
      </c>
      <c r="M79" s="18">
        <v>-1720.0</v>
      </c>
      <c r="N79" s="18">
        <v>0.0</v>
      </c>
      <c r="O79" s="18">
        <v>10.974</v>
      </c>
      <c r="P79" s="4"/>
    </row>
    <row r="80">
      <c r="A80" s="8" t="s">
        <v>85</v>
      </c>
      <c r="B80" s="9">
        <v>30.0</v>
      </c>
      <c r="C80" s="9" t="s">
        <v>8</v>
      </c>
      <c r="D80" s="9">
        <v>75.0</v>
      </c>
      <c r="E80" s="10">
        <v>0.6</v>
      </c>
      <c r="F80" s="9">
        <v>3.0</v>
      </c>
      <c r="G80" s="9">
        <v>1.0</v>
      </c>
      <c r="H80" s="9">
        <v>0.0</v>
      </c>
      <c r="I80" s="9">
        <v>0.0</v>
      </c>
      <c r="J80" s="17">
        <v>-1671.0</v>
      </c>
      <c r="K80" s="18">
        <v>-1671.0</v>
      </c>
      <c r="L80" s="17">
        <v>-1671.0</v>
      </c>
      <c r="M80" s="18">
        <v>-1671.0</v>
      </c>
      <c r="N80" s="18">
        <v>0.0</v>
      </c>
      <c r="O80" s="18">
        <v>5.364</v>
      </c>
      <c r="P80" s="4"/>
    </row>
    <row r="81">
      <c r="A81" s="8" t="s">
        <v>86</v>
      </c>
      <c r="B81" s="9">
        <v>30.0</v>
      </c>
      <c r="C81" s="9" t="s">
        <v>8</v>
      </c>
      <c r="D81" s="9">
        <v>75.0</v>
      </c>
      <c r="E81" s="10">
        <v>0.6</v>
      </c>
      <c r="F81" s="9">
        <v>4.0</v>
      </c>
      <c r="G81" s="9">
        <v>1.0</v>
      </c>
      <c r="H81" s="9">
        <v>0.0</v>
      </c>
      <c r="I81" s="9">
        <v>0.0</v>
      </c>
      <c r="J81" s="17">
        <v>5193.0</v>
      </c>
      <c r="K81" s="18">
        <v>-1663.0</v>
      </c>
      <c r="L81" s="17">
        <v>-1636.0</v>
      </c>
      <c r="M81" s="18">
        <v>-1636.0</v>
      </c>
      <c r="N81" s="18">
        <v>0.0</v>
      </c>
      <c r="O81" s="18">
        <v>11.681</v>
      </c>
      <c r="P81" s="4"/>
    </row>
    <row r="82">
      <c r="A82" s="8" t="s">
        <v>87</v>
      </c>
      <c r="B82" s="9">
        <v>30.0</v>
      </c>
      <c r="C82" s="9" t="s">
        <v>8</v>
      </c>
      <c r="D82" s="9">
        <v>75.0</v>
      </c>
      <c r="E82" s="10">
        <v>0.6</v>
      </c>
      <c r="F82" s="9">
        <v>5.0</v>
      </c>
      <c r="G82" s="9">
        <v>1.0</v>
      </c>
      <c r="H82" s="9">
        <v>0.0</v>
      </c>
      <c r="I82" s="9">
        <v>0.0</v>
      </c>
      <c r="J82" s="17">
        <v>4081.0</v>
      </c>
      <c r="K82" s="18">
        <v>-1890.0</v>
      </c>
      <c r="L82" s="17">
        <v>-1874.0</v>
      </c>
      <c r="M82" s="18">
        <v>-1874.0</v>
      </c>
      <c r="N82" s="18">
        <v>0.0</v>
      </c>
      <c r="O82" s="18">
        <v>28.007</v>
      </c>
      <c r="P82" s="4"/>
    </row>
    <row r="83">
      <c r="A83" s="8" t="s">
        <v>88</v>
      </c>
      <c r="B83" s="9">
        <v>30.0</v>
      </c>
      <c r="C83" s="9" t="s">
        <v>8</v>
      </c>
      <c r="D83" s="9">
        <v>75.0</v>
      </c>
      <c r="E83" s="10">
        <v>1.0</v>
      </c>
      <c r="F83" s="9">
        <v>1.0</v>
      </c>
      <c r="G83" s="9">
        <v>1.0</v>
      </c>
      <c r="H83" s="9">
        <v>0.0</v>
      </c>
      <c r="I83" s="9">
        <v>0.0</v>
      </c>
      <c r="J83" s="17">
        <v>4365.0</v>
      </c>
      <c r="K83" s="18">
        <v>-1563.0</v>
      </c>
      <c r="L83" s="17">
        <v>-1556.0</v>
      </c>
      <c r="M83" s="18">
        <v>-1556.0</v>
      </c>
      <c r="N83" s="18">
        <v>0.0</v>
      </c>
      <c r="O83" s="18">
        <v>4.287</v>
      </c>
      <c r="P83" s="4"/>
    </row>
    <row r="84">
      <c r="A84" s="8" t="s">
        <v>89</v>
      </c>
      <c r="B84" s="9">
        <v>30.0</v>
      </c>
      <c r="C84" s="9" t="s">
        <v>8</v>
      </c>
      <c r="D84" s="9">
        <v>75.0</v>
      </c>
      <c r="E84" s="10">
        <v>1.0</v>
      </c>
      <c r="F84" s="9">
        <v>2.0</v>
      </c>
      <c r="G84" s="9">
        <v>1.0</v>
      </c>
      <c r="H84" s="9">
        <v>0.0</v>
      </c>
      <c r="I84" s="9">
        <v>0.0</v>
      </c>
      <c r="J84" s="17">
        <v>4621.0</v>
      </c>
      <c r="K84" s="18">
        <v>-1458.25</v>
      </c>
      <c r="L84" s="17">
        <v>-1441.0</v>
      </c>
      <c r="M84" s="18">
        <v>-1441.0</v>
      </c>
      <c r="N84" s="18">
        <v>0.0</v>
      </c>
      <c r="O84" s="18">
        <v>6.868</v>
      </c>
      <c r="P84" s="4"/>
    </row>
    <row r="85">
      <c r="A85" s="8" t="s">
        <v>90</v>
      </c>
      <c r="B85" s="9">
        <v>30.0</v>
      </c>
      <c r="C85" s="9" t="s">
        <v>8</v>
      </c>
      <c r="D85" s="9">
        <v>75.0</v>
      </c>
      <c r="E85" s="10">
        <v>1.0</v>
      </c>
      <c r="F85" s="9">
        <v>3.0</v>
      </c>
      <c r="G85" s="9">
        <v>1.0</v>
      </c>
      <c r="H85" s="9">
        <v>0.0</v>
      </c>
      <c r="I85" s="9">
        <v>0.0</v>
      </c>
      <c r="J85" s="17">
        <v>4423.0</v>
      </c>
      <c r="K85" s="18">
        <v>-1403.67</v>
      </c>
      <c r="L85" s="17">
        <v>-1369.0</v>
      </c>
      <c r="M85" s="18">
        <v>-1369.0</v>
      </c>
      <c r="N85" s="18">
        <v>0.0</v>
      </c>
      <c r="O85" s="18">
        <v>10.447</v>
      </c>
      <c r="P85" s="4"/>
    </row>
    <row r="86">
      <c r="A86" s="8" t="s">
        <v>91</v>
      </c>
      <c r="B86" s="9">
        <v>30.0</v>
      </c>
      <c r="C86" s="9" t="s">
        <v>8</v>
      </c>
      <c r="D86" s="9">
        <v>75.0</v>
      </c>
      <c r="E86" s="10">
        <v>1.0</v>
      </c>
      <c r="F86" s="9">
        <v>4.0</v>
      </c>
      <c r="G86" s="9">
        <v>1.0</v>
      </c>
      <c r="H86" s="9">
        <v>0.0</v>
      </c>
      <c r="I86" s="9">
        <v>0.0</v>
      </c>
      <c r="J86" s="17">
        <v>6033.0</v>
      </c>
      <c r="K86" s="18">
        <v>-1274.27</v>
      </c>
      <c r="L86" s="17">
        <v>-1252.0</v>
      </c>
      <c r="M86" s="18">
        <v>-1252.0</v>
      </c>
      <c r="N86" s="18">
        <v>0.0</v>
      </c>
      <c r="O86" s="18">
        <v>8.78</v>
      </c>
      <c r="P86" s="4"/>
    </row>
    <row r="87">
      <c r="A87" s="8" t="s">
        <v>92</v>
      </c>
      <c r="B87" s="9">
        <v>30.0</v>
      </c>
      <c r="C87" s="9" t="s">
        <v>8</v>
      </c>
      <c r="D87" s="9">
        <v>75.0</v>
      </c>
      <c r="E87" s="10">
        <v>1.0</v>
      </c>
      <c r="F87" s="9">
        <v>5.0</v>
      </c>
      <c r="G87" s="9">
        <v>1.0</v>
      </c>
      <c r="H87" s="9">
        <v>0.0</v>
      </c>
      <c r="I87" s="9">
        <v>0.0</v>
      </c>
      <c r="J87" s="17">
        <v>5161.0</v>
      </c>
      <c r="K87" s="18">
        <v>-1443.35</v>
      </c>
      <c r="L87" s="17">
        <v>-1381.0</v>
      </c>
      <c r="M87" s="18">
        <v>-1381.0</v>
      </c>
      <c r="N87" s="18">
        <v>0.0</v>
      </c>
      <c r="O87" s="18">
        <v>33.968</v>
      </c>
      <c r="P87" s="4"/>
    </row>
    <row r="88">
      <c r="A88" s="8" t="s">
        <v>93</v>
      </c>
      <c r="B88" s="9">
        <v>30.0</v>
      </c>
      <c r="C88" s="9" t="s">
        <v>8</v>
      </c>
      <c r="D88" s="9">
        <v>75.0</v>
      </c>
      <c r="E88" s="10">
        <v>2.0</v>
      </c>
      <c r="F88" s="9">
        <v>1.0</v>
      </c>
      <c r="G88" s="9">
        <v>1.0</v>
      </c>
      <c r="H88" s="9">
        <v>0.0</v>
      </c>
      <c r="I88" s="9">
        <v>0.0</v>
      </c>
      <c r="J88" s="17">
        <v>5715.0</v>
      </c>
      <c r="K88" s="18">
        <v>-423.0</v>
      </c>
      <c r="L88" s="17">
        <v>-423.0</v>
      </c>
      <c r="M88" s="18">
        <v>-423.0</v>
      </c>
      <c r="N88" s="18">
        <v>0.0</v>
      </c>
      <c r="O88" s="18">
        <v>0.297</v>
      </c>
      <c r="P88" s="4"/>
    </row>
    <row r="89">
      <c r="A89" s="8" t="s">
        <v>94</v>
      </c>
      <c r="B89" s="9">
        <v>30.0</v>
      </c>
      <c r="C89" s="9" t="s">
        <v>8</v>
      </c>
      <c r="D89" s="9">
        <v>75.0</v>
      </c>
      <c r="E89" s="10">
        <v>2.0</v>
      </c>
      <c r="F89" s="9">
        <v>2.0</v>
      </c>
      <c r="G89" s="9">
        <v>1.0</v>
      </c>
      <c r="H89" s="9">
        <v>0.0</v>
      </c>
      <c r="I89" s="9">
        <v>0.0</v>
      </c>
      <c r="J89" s="17">
        <v>6601.0</v>
      </c>
      <c r="K89" s="18">
        <v>-124.19</v>
      </c>
      <c r="L89" s="17">
        <v>-111.0</v>
      </c>
      <c r="M89" s="18">
        <v>-111.0</v>
      </c>
      <c r="N89" s="18">
        <v>0.0</v>
      </c>
      <c r="O89" s="18">
        <v>0.52</v>
      </c>
      <c r="P89" s="4"/>
    </row>
    <row r="90">
      <c r="A90" s="8" t="s">
        <v>95</v>
      </c>
      <c r="B90" s="9">
        <v>30.0</v>
      </c>
      <c r="C90" s="9" t="s">
        <v>8</v>
      </c>
      <c r="D90" s="9">
        <v>75.0</v>
      </c>
      <c r="E90" s="10">
        <v>2.0</v>
      </c>
      <c r="F90" s="9">
        <v>3.0</v>
      </c>
      <c r="G90" s="9">
        <v>1.0</v>
      </c>
      <c r="H90" s="9">
        <v>0.0</v>
      </c>
      <c r="I90" s="9">
        <v>0.0</v>
      </c>
      <c r="J90" s="17">
        <v>7333.0</v>
      </c>
      <c r="K90" s="18">
        <v>219.0</v>
      </c>
      <c r="L90" s="17">
        <v>220.0</v>
      </c>
      <c r="M90" s="18">
        <v>220.0</v>
      </c>
      <c r="N90" s="18">
        <v>0.0</v>
      </c>
      <c r="O90" s="18">
        <v>0.224</v>
      </c>
      <c r="P90" s="4"/>
    </row>
    <row r="91">
      <c r="A91" s="8" t="s">
        <v>96</v>
      </c>
      <c r="B91" s="9">
        <v>30.0</v>
      </c>
      <c r="C91" s="9" t="s">
        <v>8</v>
      </c>
      <c r="D91" s="9">
        <v>75.0</v>
      </c>
      <c r="E91" s="10">
        <v>2.0</v>
      </c>
      <c r="F91" s="9">
        <v>4.0</v>
      </c>
      <c r="G91" s="9">
        <v>1.0</v>
      </c>
      <c r="H91" s="9">
        <v>0.0</v>
      </c>
      <c r="I91" s="9">
        <v>0.0</v>
      </c>
      <c r="J91" s="17">
        <v>12633.0</v>
      </c>
      <c r="K91" s="18">
        <v>1699.88</v>
      </c>
      <c r="L91" s="17">
        <v>1730.0</v>
      </c>
      <c r="M91" s="18">
        <v>1730.0</v>
      </c>
      <c r="N91" s="18">
        <v>0.0</v>
      </c>
      <c r="O91" s="18">
        <v>0.802</v>
      </c>
      <c r="P91" s="4"/>
    </row>
    <row r="92">
      <c r="A92" s="8" t="s">
        <v>97</v>
      </c>
      <c r="B92" s="9">
        <v>30.0</v>
      </c>
      <c r="C92" s="9" t="s">
        <v>8</v>
      </c>
      <c r="D92" s="9">
        <v>75.0</v>
      </c>
      <c r="E92" s="10">
        <v>2.0</v>
      </c>
      <c r="F92" s="9">
        <v>5.0</v>
      </c>
      <c r="G92" s="9">
        <v>1.0</v>
      </c>
      <c r="H92" s="9">
        <v>0.0</v>
      </c>
      <c r="I92" s="9">
        <v>0.0</v>
      </c>
      <c r="J92" s="17">
        <v>13501.0</v>
      </c>
      <c r="K92" s="18">
        <v>2350.29</v>
      </c>
      <c r="L92" s="17">
        <v>2510.0</v>
      </c>
      <c r="M92" s="18">
        <v>2510.0</v>
      </c>
      <c r="N92" s="18">
        <v>0.0</v>
      </c>
      <c r="O92" s="18">
        <v>504.6</v>
      </c>
      <c r="P92" s="4"/>
    </row>
    <row r="93">
      <c r="A93" s="8" t="s">
        <v>98</v>
      </c>
      <c r="B93" s="9">
        <v>35.0</v>
      </c>
      <c r="C93" s="9" t="s">
        <v>8</v>
      </c>
      <c r="D93" s="9">
        <v>25.0</v>
      </c>
      <c r="E93" s="10">
        <v>0.6</v>
      </c>
      <c r="F93" s="9">
        <v>1.0</v>
      </c>
      <c r="G93" s="9">
        <v>1.0</v>
      </c>
      <c r="H93" s="9">
        <v>0.0</v>
      </c>
      <c r="I93" s="9">
        <v>0.0</v>
      </c>
      <c r="J93" s="17">
        <v>1914.0</v>
      </c>
      <c r="K93" s="18">
        <v>-1161.5</v>
      </c>
      <c r="L93" s="17">
        <v>-1153.0</v>
      </c>
      <c r="M93" s="18">
        <v>-1153.0</v>
      </c>
      <c r="N93" s="18">
        <v>0.0</v>
      </c>
      <c r="O93" s="18">
        <v>35.165</v>
      </c>
      <c r="P93" s="4"/>
    </row>
    <row r="94">
      <c r="A94" s="8" t="s">
        <v>99</v>
      </c>
      <c r="B94" s="9">
        <v>35.0</v>
      </c>
      <c r="C94" s="9" t="s">
        <v>8</v>
      </c>
      <c r="D94" s="9">
        <v>25.0</v>
      </c>
      <c r="E94" s="10">
        <v>0.6</v>
      </c>
      <c r="F94" s="9">
        <v>2.0</v>
      </c>
      <c r="G94" s="9">
        <v>1.0</v>
      </c>
      <c r="H94" s="9">
        <v>0.0</v>
      </c>
      <c r="I94" s="9">
        <v>0.0</v>
      </c>
      <c r="J94" s="17">
        <v>-1144.0</v>
      </c>
      <c r="K94" s="18">
        <v>-1144.0</v>
      </c>
      <c r="L94" s="17">
        <v>-1144.0</v>
      </c>
      <c r="M94" s="18">
        <v>-1144.0</v>
      </c>
      <c r="N94" s="18">
        <v>0.0</v>
      </c>
      <c r="O94" s="18">
        <v>11.137</v>
      </c>
      <c r="P94" s="4"/>
    </row>
    <row r="95">
      <c r="A95" s="8" t="s">
        <v>100</v>
      </c>
      <c r="B95" s="9">
        <v>35.0</v>
      </c>
      <c r="C95" s="9" t="s">
        <v>8</v>
      </c>
      <c r="D95" s="9">
        <v>25.0</v>
      </c>
      <c r="E95" s="10">
        <v>0.6</v>
      </c>
      <c r="F95" s="9">
        <v>3.0</v>
      </c>
      <c r="G95" s="9">
        <v>1.0</v>
      </c>
      <c r="H95" s="9">
        <v>0.0</v>
      </c>
      <c r="I95" s="9">
        <v>0.0</v>
      </c>
      <c r="J95" s="17">
        <v>-1380.0</v>
      </c>
      <c r="K95" s="18">
        <v>-1380.0</v>
      </c>
      <c r="L95" s="17">
        <v>-1380.0</v>
      </c>
      <c r="M95" s="18">
        <v>-1380.0</v>
      </c>
      <c r="N95" s="18">
        <v>0.0</v>
      </c>
      <c r="O95" s="18">
        <v>4.639</v>
      </c>
      <c r="P95" s="4"/>
    </row>
    <row r="96">
      <c r="A96" s="8" t="s">
        <v>101</v>
      </c>
      <c r="B96" s="9">
        <v>35.0</v>
      </c>
      <c r="C96" s="9" t="s">
        <v>8</v>
      </c>
      <c r="D96" s="9">
        <v>25.0</v>
      </c>
      <c r="E96" s="10">
        <v>0.6</v>
      </c>
      <c r="F96" s="9">
        <v>4.0</v>
      </c>
      <c r="G96" s="9">
        <v>1.0</v>
      </c>
      <c r="H96" s="9">
        <v>0.0</v>
      </c>
      <c r="I96" s="9">
        <v>0.0</v>
      </c>
      <c r="J96" s="17">
        <v>-1233.0</v>
      </c>
      <c r="K96" s="18">
        <v>-1233.0</v>
      </c>
      <c r="L96" s="17">
        <v>-1233.0</v>
      </c>
      <c r="M96" s="18">
        <v>-1233.0</v>
      </c>
      <c r="N96" s="18">
        <v>0.0</v>
      </c>
      <c r="O96" s="18">
        <v>7.971</v>
      </c>
      <c r="P96" s="4"/>
    </row>
    <row r="97">
      <c r="A97" s="8" t="s">
        <v>102</v>
      </c>
      <c r="B97" s="9">
        <v>35.0</v>
      </c>
      <c r="C97" s="9" t="s">
        <v>8</v>
      </c>
      <c r="D97" s="9">
        <v>25.0</v>
      </c>
      <c r="E97" s="10">
        <v>0.6</v>
      </c>
      <c r="F97" s="9">
        <v>5.0</v>
      </c>
      <c r="G97" s="9">
        <v>1.0</v>
      </c>
      <c r="H97" s="9">
        <v>0.0</v>
      </c>
      <c r="I97" s="9">
        <v>0.0</v>
      </c>
      <c r="J97" s="17">
        <v>-1057.0</v>
      </c>
      <c r="K97" s="18">
        <v>-1057.0</v>
      </c>
      <c r="L97" s="17">
        <v>-1057.0</v>
      </c>
      <c r="M97" s="18">
        <v>-1057.0</v>
      </c>
      <c r="N97" s="18">
        <v>0.0</v>
      </c>
      <c r="O97" s="18">
        <v>5.139</v>
      </c>
      <c r="P97" s="4"/>
    </row>
    <row r="98">
      <c r="A98" s="8" t="s">
        <v>103</v>
      </c>
      <c r="B98" s="9">
        <v>35.0</v>
      </c>
      <c r="C98" s="9" t="s">
        <v>8</v>
      </c>
      <c r="D98" s="9">
        <v>25.0</v>
      </c>
      <c r="E98" s="10">
        <v>1.0</v>
      </c>
      <c r="F98" s="9">
        <v>1.0</v>
      </c>
      <c r="G98" s="9">
        <v>1.0</v>
      </c>
      <c r="H98" s="9">
        <v>0.0</v>
      </c>
      <c r="I98" s="9">
        <v>0.0</v>
      </c>
      <c r="J98" s="17">
        <v>-1074.0</v>
      </c>
      <c r="K98" s="18">
        <v>-1074.0</v>
      </c>
      <c r="L98" s="17">
        <v>-1074.0</v>
      </c>
      <c r="M98" s="18">
        <v>-1074.0</v>
      </c>
      <c r="N98" s="18">
        <v>0.0</v>
      </c>
      <c r="O98" s="18">
        <v>2.99</v>
      </c>
      <c r="P98" s="4"/>
    </row>
    <row r="99">
      <c r="A99" s="8" t="s">
        <v>104</v>
      </c>
      <c r="B99" s="9">
        <v>35.0</v>
      </c>
      <c r="C99" s="9" t="s">
        <v>8</v>
      </c>
      <c r="D99" s="9">
        <v>25.0</v>
      </c>
      <c r="E99" s="10">
        <v>1.0</v>
      </c>
      <c r="F99" s="9">
        <v>2.0</v>
      </c>
      <c r="G99" s="9">
        <v>1.0</v>
      </c>
      <c r="H99" s="9">
        <v>0.0</v>
      </c>
      <c r="I99" s="9">
        <v>0.0</v>
      </c>
      <c r="J99" s="17">
        <v>1807.0</v>
      </c>
      <c r="K99" s="18">
        <v>-1082.0</v>
      </c>
      <c r="L99" s="17">
        <v>-1080.0</v>
      </c>
      <c r="M99" s="18">
        <v>-1080.0</v>
      </c>
      <c r="N99" s="18">
        <v>0.0</v>
      </c>
      <c r="O99" s="18">
        <v>4.081</v>
      </c>
      <c r="P99" s="4"/>
    </row>
    <row r="100">
      <c r="A100" s="8" t="s">
        <v>105</v>
      </c>
      <c r="B100" s="9">
        <v>35.0</v>
      </c>
      <c r="C100" s="9" t="s">
        <v>8</v>
      </c>
      <c r="D100" s="9">
        <v>25.0</v>
      </c>
      <c r="E100" s="10">
        <v>1.0</v>
      </c>
      <c r="F100" s="9">
        <v>3.0</v>
      </c>
      <c r="G100" s="9">
        <v>1.0</v>
      </c>
      <c r="H100" s="9">
        <v>0.0</v>
      </c>
      <c r="I100" s="9">
        <v>0.0</v>
      </c>
      <c r="J100" s="17">
        <v>2588.0</v>
      </c>
      <c r="K100" s="18">
        <v>-1224.5</v>
      </c>
      <c r="L100" s="17">
        <v>-1224.0</v>
      </c>
      <c r="M100" s="18">
        <v>-1224.0</v>
      </c>
      <c r="N100" s="18">
        <v>0.0</v>
      </c>
      <c r="O100" s="18">
        <v>4.526</v>
      </c>
      <c r="P100" s="4"/>
    </row>
    <row r="101">
      <c r="A101" s="8" t="s">
        <v>106</v>
      </c>
      <c r="B101" s="9">
        <v>35.0</v>
      </c>
      <c r="C101" s="9" t="s">
        <v>8</v>
      </c>
      <c r="D101" s="9">
        <v>25.0</v>
      </c>
      <c r="E101" s="10">
        <v>1.0</v>
      </c>
      <c r="F101" s="9">
        <v>4.0</v>
      </c>
      <c r="G101" s="9">
        <v>1.0</v>
      </c>
      <c r="H101" s="9">
        <v>0.0</v>
      </c>
      <c r="I101" s="9">
        <v>0.0</v>
      </c>
      <c r="J101" s="17">
        <v>-1132.0</v>
      </c>
      <c r="K101" s="18">
        <v>-1132.0</v>
      </c>
      <c r="L101" s="17">
        <v>-1132.0</v>
      </c>
      <c r="M101" s="18">
        <v>-1132.0</v>
      </c>
      <c r="N101" s="18">
        <v>0.0</v>
      </c>
      <c r="O101" s="18">
        <v>2.551</v>
      </c>
      <c r="P101" s="4"/>
    </row>
    <row r="102">
      <c r="A102" s="8" t="s">
        <v>107</v>
      </c>
      <c r="B102" s="9">
        <v>35.0</v>
      </c>
      <c r="C102" s="9" t="s">
        <v>8</v>
      </c>
      <c r="D102" s="9">
        <v>25.0</v>
      </c>
      <c r="E102" s="10">
        <v>1.0</v>
      </c>
      <c r="F102" s="9">
        <v>5.0</v>
      </c>
      <c r="G102" s="9">
        <v>1.0</v>
      </c>
      <c r="H102" s="9">
        <v>0.0</v>
      </c>
      <c r="I102" s="9">
        <v>0.0</v>
      </c>
      <c r="J102" s="17">
        <v>2131.0</v>
      </c>
      <c r="K102" s="18">
        <v>-977.5</v>
      </c>
      <c r="L102" s="17">
        <v>-970.0</v>
      </c>
      <c r="M102" s="18">
        <v>-970.0</v>
      </c>
      <c r="N102" s="18">
        <v>0.0</v>
      </c>
      <c r="O102" s="18">
        <v>6.336</v>
      </c>
      <c r="P102" s="4"/>
    </row>
    <row r="103">
      <c r="A103" s="8" t="s">
        <v>108</v>
      </c>
      <c r="B103" s="9">
        <v>35.0</v>
      </c>
      <c r="C103" s="9" t="s">
        <v>8</v>
      </c>
      <c r="D103" s="9">
        <v>25.0</v>
      </c>
      <c r="E103" s="10">
        <v>2.0</v>
      </c>
      <c r="F103" s="9">
        <v>1.0</v>
      </c>
      <c r="G103" s="9">
        <v>1.0</v>
      </c>
      <c r="H103" s="9">
        <v>0.0</v>
      </c>
      <c r="I103" s="9">
        <v>0.0</v>
      </c>
      <c r="J103" s="17">
        <v>-732.0</v>
      </c>
      <c r="K103" s="18">
        <v>-732.0</v>
      </c>
      <c r="L103" s="17">
        <v>-732.0</v>
      </c>
      <c r="M103" s="18">
        <v>-732.0</v>
      </c>
      <c r="N103" s="18">
        <v>0.0</v>
      </c>
      <c r="O103" s="18">
        <v>0.149</v>
      </c>
      <c r="P103" s="4"/>
    </row>
    <row r="104">
      <c r="A104" s="8" t="s">
        <v>109</v>
      </c>
      <c r="B104" s="9">
        <v>35.0</v>
      </c>
      <c r="C104" s="9" t="s">
        <v>8</v>
      </c>
      <c r="D104" s="9">
        <v>25.0</v>
      </c>
      <c r="E104" s="10">
        <v>2.0</v>
      </c>
      <c r="F104" s="9">
        <v>2.0</v>
      </c>
      <c r="G104" s="9">
        <v>1.0</v>
      </c>
      <c r="H104" s="9">
        <v>0.0</v>
      </c>
      <c r="I104" s="9">
        <v>0.0</v>
      </c>
      <c r="J104" s="17">
        <v>2437.0</v>
      </c>
      <c r="K104" s="18">
        <v>-616.25</v>
      </c>
      <c r="L104" s="17">
        <v>-612.0</v>
      </c>
      <c r="M104" s="18">
        <v>-612.0</v>
      </c>
      <c r="N104" s="18">
        <v>0.0</v>
      </c>
      <c r="O104" s="18">
        <v>0.903</v>
      </c>
      <c r="P104" s="4"/>
    </row>
    <row r="105">
      <c r="A105" s="8" t="s">
        <v>110</v>
      </c>
      <c r="B105" s="9">
        <v>35.0</v>
      </c>
      <c r="C105" s="9" t="s">
        <v>8</v>
      </c>
      <c r="D105" s="9">
        <v>25.0</v>
      </c>
      <c r="E105" s="10">
        <v>2.0</v>
      </c>
      <c r="F105" s="9">
        <v>3.0</v>
      </c>
      <c r="G105" s="9">
        <v>1.0</v>
      </c>
      <c r="H105" s="9">
        <v>0.0</v>
      </c>
      <c r="I105" s="9">
        <v>0.0</v>
      </c>
      <c r="J105" s="17">
        <v>3848.0</v>
      </c>
      <c r="K105" s="18">
        <v>-464.5</v>
      </c>
      <c r="L105" s="17">
        <v>-453.0</v>
      </c>
      <c r="M105" s="18">
        <v>-453.0</v>
      </c>
      <c r="N105" s="18">
        <v>0.0</v>
      </c>
      <c r="O105" s="18">
        <v>2.261</v>
      </c>
      <c r="P105" s="4"/>
    </row>
    <row r="106">
      <c r="A106" s="8" t="s">
        <v>111</v>
      </c>
      <c r="B106" s="9">
        <v>35.0</v>
      </c>
      <c r="C106" s="9" t="s">
        <v>8</v>
      </c>
      <c r="D106" s="9">
        <v>25.0</v>
      </c>
      <c r="E106" s="10">
        <v>2.0</v>
      </c>
      <c r="F106" s="9">
        <v>4.0</v>
      </c>
      <c r="G106" s="9">
        <v>1.0</v>
      </c>
      <c r="H106" s="9">
        <v>0.0</v>
      </c>
      <c r="I106" s="9">
        <v>0.0</v>
      </c>
      <c r="J106" s="17">
        <v>-681.0</v>
      </c>
      <c r="K106" s="18">
        <v>-681.0</v>
      </c>
      <c r="L106" s="17">
        <v>-681.0</v>
      </c>
      <c r="M106" s="18">
        <v>-681.0</v>
      </c>
      <c r="N106" s="18">
        <v>0.0</v>
      </c>
      <c r="O106" s="18">
        <v>0.218</v>
      </c>
      <c r="P106" s="4"/>
    </row>
    <row r="107">
      <c r="A107" s="8" t="s">
        <v>112</v>
      </c>
      <c r="B107" s="9">
        <v>35.0</v>
      </c>
      <c r="C107" s="9" t="s">
        <v>8</v>
      </c>
      <c r="D107" s="9">
        <v>25.0</v>
      </c>
      <c r="E107" s="10">
        <v>2.0</v>
      </c>
      <c r="F107" s="9">
        <v>5.0</v>
      </c>
      <c r="G107" s="9">
        <v>1.0</v>
      </c>
      <c r="H107" s="9">
        <v>0.0</v>
      </c>
      <c r="I107" s="9">
        <v>0.0</v>
      </c>
      <c r="J107" s="17">
        <v>3601.0</v>
      </c>
      <c r="K107" s="18">
        <v>-184.333</v>
      </c>
      <c r="L107" s="17">
        <v>-182.0</v>
      </c>
      <c r="M107" s="18">
        <v>-182.0</v>
      </c>
      <c r="N107" s="18">
        <v>0.0</v>
      </c>
      <c r="O107" s="18">
        <v>0.422</v>
      </c>
      <c r="P107" s="4"/>
    </row>
    <row r="108">
      <c r="A108" s="8" t="s">
        <v>113</v>
      </c>
      <c r="B108" s="9">
        <v>35.0</v>
      </c>
      <c r="C108" s="9" t="s">
        <v>8</v>
      </c>
      <c r="D108" s="9">
        <v>50.0</v>
      </c>
      <c r="E108" s="10">
        <v>0.6</v>
      </c>
      <c r="F108" s="9">
        <v>1.0</v>
      </c>
      <c r="G108" s="9">
        <v>1.0</v>
      </c>
      <c r="H108" s="9">
        <v>0.0</v>
      </c>
      <c r="I108" s="9">
        <v>0.0</v>
      </c>
      <c r="J108" s="17">
        <v>-2002.0</v>
      </c>
      <c r="K108" s="18">
        <v>-2002.0</v>
      </c>
      <c r="L108" s="17">
        <v>-2002.0</v>
      </c>
      <c r="M108" s="18">
        <v>-2002.0</v>
      </c>
      <c r="N108" s="18">
        <v>0.0</v>
      </c>
      <c r="O108" s="18">
        <v>27.844</v>
      </c>
      <c r="P108" s="4"/>
    </row>
    <row r="109">
      <c r="A109" s="8" t="s">
        <v>114</v>
      </c>
      <c r="B109" s="9">
        <v>35.0</v>
      </c>
      <c r="C109" s="9" t="s">
        <v>8</v>
      </c>
      <c r="D109" s="9">
        <v>50.0</v>
      </c>
      <c r="E109" s="10">
        <v>0.6</v>
      </c>
      <c r="F109" s="9">
        <v>2.0</v>
      </c>
      <c r="G109" s="9">
        <v>1.0</v>
      </c>
      <c r="H109" s="9">
        <v>0.0</v>
      </c>
      <c r="I109" s="9">
        <v>0.0</v>
      </c>
      <c r="J109" s="17">
        <v>-1885.0</v>
      </c>
      <c r="K109" s="18">
        <v>-1885.0</v>
      </c>
      <c r="L109" s="17">
        <v>-1885.0</v>
      </c>
      <c r="M109" s="18">
        <v>-1885.0</v>
      </c>
      <c r="N109" s="18">
        <v>0.0</v>
      </c>
      <c r="O109" s="18">
        <v>9.376</v>
      </c>
      <c r="P109" s="4"/>
    </row>
    <row r="110">
      <c r="A110" s="8" t="s">
        <v>115</v>
      </c>
      <c r="B110" s="9">
        <v>35.0</v>
      </c>
      <c r="C110" s="9" t="s">
        <v>8</v>
      </c>
      <c r="D110" s="9">
        <v>50.0</v>
      </c>
      <c r="E110" s="10">
        <v>0.6</v>
      </c>
      <c r="F110" s="9">
        <v>3.0</v>
      </c>
      <c r="G110" s="9">
        <v>1.0</v>
      </c>
      <c r="H110" s="9">
        <v>0.0</v>
      </c>
      <c r="I110" s="9">
        <v>0.0</v>
      </c>
      <c r="J110" s="17">
        <v>4308.0</v>
      </c>
      <c r="K110" s="18">
        <v>-1574.0</v>
      </c>
      <c r="L110" s="17">
        <v>-1562.0</v>
      </c>
      <c r="M110" s="18">
        <v>-1562.0</v>
      </c>
      <c r="N110" s="18">
        <v>0.0</v>
      </c>
      <c r="O110" s="18">
        <v>49.082</v>
      </c>
      <c r="P110" s="4"/>
    </row>
    <row r="111">
      <c r="A111" s="8" t="s">
        <v>116</v>
      </c>
      <c r="B111" s="9">
        <v>35.0</v>
      </c>
      <c r="C111" s="9" t="s">
        <v>8</v>
      </c>
      <c r="D111" s="9">
        <v>50.0</v>
      </c>
      <c r="E111" s="10">
        <v>0.6</v>
      </c>
      <c r="F111" s="9">
        <v>4.0</v>
      </c>
      <c r="G111" s="9">
        <v>1.0</v>
      </c>
      <c r="H111" s="9">
        <v>0.0</v>
      </c>
      <c r="I111" s="9">
        <v>0.0</v>
      </c>
      <c r="J111" s="17">
        <v>-1982.0</v>
      </c>
      <c r="K111" s="18">
        <v>-1982.0</v>
      </c>
      <c r="L111" s="17">
        <v>-1982.0</v>
      </c>
      <c r="M111" s="18">
        <v>-1982.0</v>
      </c>
      <c r="N111" s="18">
        <v>0.0</v>
      </c>
      <c r="O111" s="18">
        <v>35.771</v>
      </c>
      <c r="P111" s="4"/>
    </row>
    <row r="112">
      <c r="A112" s="8" t="s">
        <v>117</v>
      </c>
      <c r="B112" s="9">
        <v>35.0</v>
      </c>
      <c r="C112" s="9" t="s">
        <v>8</v>
      </c>
      <c r="D112" s="9">
        <v>50.0</v>
      </c>
      <c r="E112" s="10">
        <v>0.6</v>
      </c>
      <c r="F112" s="9">
        <v>5.0</v>
      </c>
      <c r="G112" s="9">
        <v>1.0</v>
      </c>
      <c r="H112" s="9">
        <v>0.0</v>
      </c>
      <c r="I112" s="9">
        <v>0.0</v>
      </c>
      <c r="J112" s="17">
        <v>-1654.0</v>
      </c>
      <c r="K112" s="18">
        <v>-1654.0</v>
      </c>
      <c r="L112" s="17">
        <v>-1654.0</v>
      </c>
      <c r="M112" s="18">
        <v>-1654.0</v>
      </c>
      <c r="N112" s="18">
        <v>0.0</v>
      </c>
      <c r="O112" s="18">
        <v>19.935</v>
      </c>
      <c r="P112" s="4"/>
    </row>
    <row r="113">
      <c r="A113" s="8" t="s">
        <v>118</v>
      </c>
      <c r="B113" s="9">
        <v>35.0</v>
      </c>
      <c r="C113" s="9" t="s">
        <v>8</v>
      </c>
      <c r="D113" s="9">
        <v>50.0</v>
      </c>
      <c r="E113" s="10">
        <v>1.0</v>
      </c>
      <c r="F113" s="9">
        <v>1.0</v>
      </c>
      <c r="G113" s="9">
        <v>1.0</v>
      </c>
      <c r="H113" s="9">
        <v>0.0</v>
      </c>
      <c r="I113" s="9">
        <v>0.0</v>
      </c>
      <c r="J113" s="17">
        <v>4566.0</v>
      </c>
      <c r="K113" s="18">
        <v>-1605.67</v>
      </c>
      <c r="L113" s="17">
        <v>-1590.0</v>
      </c>
      <c r="M113" s="18">
        <v>-1590.0</v>
      </c>
      <c r="N113" s="18">
        <v>0.0</v>
      </c>
      <c r="O113" s="18">
        <v>33.747</v>
      </c>
      <c r="P113" s="4"/>
    </row>
    <row r="114">
      <c r="A114" s="8" t="s">
        <v>119</v>
      </c>
      <c r="B114" s="9">
        <v>35.0</v>
      </c>
      <c r="C114" s="9" t="s">
        <v>8</v>
      </c>
      <c r="D114" s="9">
        <v>50.0</v>
      </c>
      <c r="E114" s="10">
        <v>1.0</v>
      </c>
      <c r="F114" s="9">
        <v>2.0</v>
      </c>
      <c r="G114" s="9">
        <v>1.0</v>
      </c>
      <c r="H114" s="9">
        <v>0.0</v>
      </c>
      <c r="I114" s="9">
        <v>0.0</v>
      </c>
      <c r="J114" s="17">
        <v>-1750.0</v>
      </c>
      <c r="K114" s="18">
        <v>-1750.0</v>
      </c>
      <c r="L114" s="17">
        <v>-1750.0</v>
      </c>
      <c r="M114" s="18">
        <v>-1750.0</v>
      </c>
      <c r="N114" s="18">
        <v>0.0</v>
      </c>
      <c r="O114" s="18">
        <v>4.485</v>
      </c>
      <c r="P114" s="4"/>
    </row>
    <row r="115">
      <c r="A115" s="8" t="s">
        <v>120</v>
      </c>
      <c r="B115" s="9">
        <v>35.0</v>
      </c>
      <c r="C115" s="9" t="s">
        <v>8</v>
      </c>
      <c r="D115" s="9">
        <v>50.0</v>
      </c>
      <c r="E115" s="10">
        <v>1.0</v>
      </c>
      <c r="F115" s="9">
        <v>3.0</v>
      </c>
      <c r="G115" s="9">
        <v>1.0</v>
      </c>
      <c r="H115" s="9">
        <v>0.0</v>
      </c>
      <c r="I115" s="9">
        <v>0.0</v>
      </c>
      <c r="J115" s="17">
        <v>4763.0</v>
      </c>
      <c r="K115" s="18">
        <v>-1390.0</v>
      </c>
      <c r="L115" s="17">
        <v>-1384.0</v>
      </c>
      <c r="M115" s="18">
        <v>-1384.0</v>
      </c>
      <c r="N115" s="18">
        <v>0.0</v>
      </c>
      <c r="O115" s="18">
        <v>10.241</v>
      </c>
      <c r="P115" s="4"/>
    </row>
    <row r="116">
      <c r="A116" s="8" t="s">
        <v>121</v>
      </c>
      <c r="B116" s="9">
        <v>35.0</v>
      </c>
      <c r="C116" s="9" t="s">
        <v>8</v>
      </c>
      <c r="D116" s="9">
        <v>50.0</v>
      </c>
      <c r="E116" s="10">
        <v>1.0</v>
      </c>
      <c r="F116" s="9">
        <v>4.0</v>
      </c>
      <c r="G116" s="9">
        <v>1.0</v>
      </c>
      <c r="H116" s="9">
        <v>0.0</v>
      </c>
      <c r="I116" s="9">
        <v>0.0</v>
      </c>
      <c r="J116" s="17">
        <v>4468.0</v>
      </c>
      <c r="K116" s="18">
        <v>-1746.75</v>
      </c>
      <c r="L116" s="17">
        <v>-1745.0</v>
      </c>
      <c r="M116" s="18">
        <v>-1745.0</v>
      </c>
      <c r="N116" s="18">
        <v>0.0</v>
      </c>
      <c r="O116" s="18">
        <v>18.549</v>
      </c>
      <c r="P116" s="4"/>
    </row>
    <row r="117">
      <c r="A117" s="8" t="s">
        <v>122</v>
      </c>
      <c r="B117" s="9">
        <v>35.0</v>
      </c>
      <c r="C117" s="9" t="s">
        <v>8</v>
      </c>
      <c r="D117" s="9">
        <v>50.0</v>
      </c>
      <c r="E117" s="10">
        <v>1.0</v>
      </c>
      <c r="F117" s="9">
        <v>5.0</v>
      </c>
      <c r="G117" s="9">
        <v>1.0</v>
      </c>
      <c r="H117" s="9">
        <v>0.0</v>
      </c>
      <c r="I117" s="9">
        <v>0.0</v>
      </c>
      <c r="J117" s="17">
        <v>-1394.0</v>
      </c>
      <c r="K117" s="18">
        <v>-1394.0</v>
      </c>
      <c r="L117" s="17">
        <v>-1394.0</v>
      </c>
      <c r="M117" s="18">
        <v>-1394.0</v>
      </c>
      <c r="N117" s="18">
        <v>0.0</v>
      </c>
      <c r="O117" s="18">
        <v>5.564</v>
      </c>
      <c r="P117" s="4"/>
    </row>
    <row r="118">
      <c r="A118" s="8" t="s">
        <v>123</v>
      </c>
      <c r="B118" s="9">
        <v>35.0</v>
      </c>
      <c r="C118" s="9" t="s">
        <v>8</v>
      </c>
      <c r="D118" s="9">
        <v>50.0</v>
      </c>
      <c r="E118" s="10">
        <v>2.0</v>
      </c>
      <c r="F118" s="9">
        <v>1.0</v>
      </c>
      <c r="G118" s="9">
        <v>1.0</v>
      </c>
      <c r="H118" s="9">
        <v>0.0</v>
      </c>
      <c r="I118" s="9">
        <v>0.0</v>
      </c>
      <c r="J118" s="17">
        <v>9991.0</v>
      </c>
      <c r="K118" s="18">
        <v>732.0</v>
      </c>
      <c r="L118" s="17">
        <v>802.0</v>
      </c>
      <c r="M118" s="18">
        <v>802.0</v>
      </c>
      <c r="N118" s="18">
        <v>0.0</v>
      </c>
      <c r="O118" s="18">
        <v>257.941</v>
      </c>
      <c r="P118" s="4"/>
    </row>
    <row r="119">
      <c r="A119" s="8" t="s">
        <v>124</v>
      </c>
      <c r="B119" s="9">
        <v>35.0</v>
      </c>
      <c r="C119" s="9" t="s">
        <v>8</v>
      </c>
      <c r="D119" s="9">
        <v>50.0</v>
      </c>
      <c r="E119" s="10">
        <v>2.0</v>
      </c>
      <c r="F119" s="9">
        <v>2.0</v>
      </c>
      <c r="G119" s="9">
        <v>1.0</v>
      </c>
      <c r="H119" s="9">
        <v>0.0</v>
      </c>
      <c r="I119" s="9">
        <v>0.0</v>
      </c>
      <c r="J119" s="17">
        <v>4250.0</v>
      </c>
      <c r="K119" s="18">
        <v>-1073.9</v>
      </c>
      <c r="L119" s="17">
        <v>-1058.0</v>
      </c>
      <c r="M119" s="18">
        <v>-1058.0</v>
      </c>
      <c r="N119" s="18">
        <v>0.0</v>
      </c>
      <c r="O119" s="18">
        <v>1.842</v>
      </c>
      <c r="P119" s="4"/>
    </row>
    <row r="120">
      <c r="A120" s="8" t="s">
        <v>125</v>
      </c>
      <c r="B120" s="9">
        <v>35.0</v>
      </c>
      <c r="C120" s="9" t="s">
        <v>8</v>
      </c>
      <c r="D120" s="9">
        <v>50.0</v>
      </c>
      <c r="E120" s="10">
        <v>2.0</v>
      </c>
      <c r="F120" s="9">
        <v>3.0</v>
      </c>
      <c r="G120" s="9">
        <v>1.0</v>
      </c>
      <c r="H120" s="9">
        <v>0.0</v>
      </c>
      <c r="I120" s="9">
        <v>0.0</v>
      </c>
      <c r="J120" s="17">
        <v>8578.0</v>
      </c>
      <c r="K120" s="18">
        <v>235.462</v>
      </c>
      <c r="L120" s="17">
        <v>283.0</v>
      </c>
      <c r="M120" s="18">
        <v>283.0</v>
      </c>
      <c r="N120" s="18">
        <v>0.0</v>
      </c>
      <c r="O120" s="18">
        <v>44.3</v>
      </c>
      <c r="P120" s="4"/>
    </row>
    <row r="121">
      <c r="A121" s="8" t="s">
        <v>126</v>
      </c>
      <c r="B121" s="9">
        <v>35.0</v>
      </c>
      <c r="C121" s="9" t="s">
        <v>8</v>
      </c>
      <c r="D121" s="9">
        <v>50.0</v>
      </c>
      <c r="E121" s="10">
        <v>2.0</v>
      </c>
      <c r="F121" s="9">
        <v>4.0</v>
      </c>
      <c r="G121" s="9">
        <v>1.0</v>
      </c>
      <c r="H121" s="9">
        <v>0.0</v>
      </c>
      <c r="I121" s="9">
        <v>0.0</v>
      </c>
      <c r="J121" s="17">
        <v>-542.0</v>
      </c>
      <c r="K121" s="18">
        <v>-542.0</v>
      </c>
      <c r="L121" s="17">
        <v>-542.0</v>
      </c>
      <c r="M121" s="18">
        <v>-542.0</v>
      </c>
      <c r="N121" s="18">
        <v>0.0</v>
      </c>
      <c r="O121" s="18">
        <v>0.378</v>
      </c>
      <c r="P121" s="4"/>
    </row>
    <row r="122">
      <c r="A122" s="8" t="s">
        <v>127</v>
      </c>
      <c r="B122" s="9">
        <v>35.0</v>
      </c>
      <c r="C122" s="9" t="s">
        <v>8</v>
      </c>
      <c r="D122" s="9">
        <v>50.0</v>
      </c>
      <c r="E122" s="10">
        <v>2.0</v>
      </c>
      <c r="F122" s="9">
        <v>5.0</v>
      </c>
      <c r="G122" s="9">
        <v>1.0</v>
      </c>
      <c r="H122" s="9">
        <v>0.0</v>
      </c>
      <c r="I122" s="9">
        <v>0.0</v>
      </c>
      <c r="J122" s="17">
        <v>10429.0</v>
      </c>
      <c r="K122" s="18">
        <v>771.0</v>
      </c>
      <c r="L122" s="17">
        <v>824.0</v>
      </c>
      <c r="M122" s="18">
        <v>824.0</v>
      </c>
      <c r="N122" s="18">
        <v>0.0</v>
      </c>
      <c r="O122" s="18">
        <v>102.796</v>
      </c>
      <c r="P122" s="4"/>
    </row>
    <row r="123">
      <c r="A123" s="8" t="s">
        <v>128</v>
      </c>
      <c r="B123" s="9">
        <v>35.0</v>
      </c>
      <c r="C123" s="9" t="s">
        <v>8</v>
      </c>
      <c r="D123" s="9">
        <v>75.0</v>
      </c>
      <c r="E123" s="10">
        <v>0.6</v>
      </c>
      <c r="F123" s="9">
        <v>1.0</v>
      </c>
      <c r="G123" s="9">
        <v>1.0</v>
      </c>
      <c r="H123" s="9">
        <v>0.0</v>
      </c>
      <c r="I123" s="9">
        <v>0.0</v>
      </c>
      <c r="J123" s="17">
        <v>-2089.0</v>
      </c>
      <c r="K123" s="18">
        <v>-2089.0</v>
      </c>
      <c r="L123" s="17">
        <v>-2089.0</v>
      </c>
      <c r="M123" s="18">
        <v>-2089.0</v>
      </c>
      <c r="N123" s="18">
        <v>0.0</v>
      </c>
      <c r="O123" s="18">
        <v>15.398</v>
      </c>
      <c r="P123" s="4"/>
    </row>
    <row r="124">
      <c r="A124" s="8" t="s">
        <v>129</v>
      </c>
      <c r="B124" s="9">
        <v>35.0</v>
      </c>
      <c r="C124" s="9" t="s">
        <v>8</v>
      </c>
      <c r="D124" s="9">
        <v>75.0</v>
      </c>
      <c r="E124" s="10">
        <v>0.6</v>
      </c>
      <c r="F124" s="9">
        <v>2.0</v>
      </c>
      <c r="G124" s="9">
        <v>1.0</v>
      </c>
      <c r="H124" s="9">
        <v>0.0</v>
      </c>
      <c r="I124" s="9">
        <v>0.0</v>
      </c>
      <c r="J124" s="17">
        <v>-2418.0</v>
      </c>
      <c r="K124" s="18">
        <v>-2418.0</v>
      </c>
      <c r="L124" s="17">
        <v>-2418.0</v>
      </c>
      <c r="M124" s="18">
        <v>-2418.0</v>
      </c>
      <c r="N124" s="18">
        <v>0.0</v>
      </c>
      <c r="O124" s="18">
        <v>30.724</v>
      </c>
      <c r="P124" s="4"/>
    </row>
    <row r="125">
      <c r="A125" s="8" t="s">
        <v>130</v>
      </c>
      <c r="B125" s="9">
        <v>35.0</v>
      </c>
      <c r="C125" s="9" t="s">
        <v>8</v>
      </c>
      <c r="D125" s="9">
        <v>75.0</v>
      </c>
      <c r="E125" s="10">
        <v>0.6</v>
      </c>
      <c r="F125" s="9">
        <v>3.0</v>
      </c>
      <c r="G125" s="9">
        <v>1.0</v>
      </c>
      <c r="H125" s="9">
        <v>0.0</v>
      </c>
      <c r="I125" s="9">
        <v>0.0</v>
      </c>
      <c r="J125" s="17">
        <v>-1970.0</v>
      </c>
      <c r="K125" s="18">
        <v>-1970.0</v>
      </c>
      <c r="L125" s="17">
        <v>-1970.0</v>
      </c>
      <c r="M125" s="18">
        <v>-1970.0</v>
      </c>
      <c r="N125" s="18">
        <v>0.0</v>
      </c>
      <c r="O125" s="18">
        <v>36.38</v>
      </c>
      <c r="P125" s="4"/>
    </row>
    <row r="126">
      <c r="A126" s="8" t="s">
        <v>131</v>
      </c>
      <c r="B126" s="9">
        <v>35.0</v>
      </c>
      <c r="C126" s="9" t="s">
        <v>8</v>
      </c>
      <c r="D126" s="9">
        <v>75.0</v>
      </c>
      <c r="E126" s="10">
        <v>0.6</v>
      </c>
      <c r="F126" s="9">
        <v>4.0</v>
      </c>
      <c r="G126" s="9">
        <v>1.0</v>
      </c>
      <c r="H126" s="9">
        <v>0.0</v>
      </c>
      <c r="I126" s="9">
        <v>0.0</v>
      </c>
      <c r="J126" s="17">
        <v>-2192.0</v>
      </c>
      <c r="K126" s="18">
        <v>-2192.0</v>
      </c>
      <c r="L126" s="17">
        <v>-2192.0</v>
      </c>
      <c r="M126" s="18">
        <v>-2192.0</v>
      </c>
      <c r="N126" s="18">
        <v>0.0</v>
      </c>
      <c r="O126" s="18">
        <v>39.767</v>
      </c>
      <c r="P126" s="4"/>
    </row>
    <row r="127">
      <c r="A127" s="8" t="s">
        <v>132</v>
      </c>
      <c r="B127" s="9">
        <v>35.0</v>
      </c>
      <c r="C127" s="9" t="s">
        <v>8</v>
      </c>
      <c r="D127" s="9">
        <v>75.0</v>
      </c>
      <c r="E127" s="10">
        <v>0.6</v>
      </c>
      <c r="F127" s="9">
        <v>5.0</v>
      </c>
      <c r="G127" s="9">
        <v>1.0</v>
      </c>
      <c r="H127" s="9">
        <v>0.0</v>
      </c>
      <c r="I127" s="9">
        <v>0.0</v>
      </c>
      <c r="J127" s="17">
        <v>6406.0</v>
      </c>
      <c r="K127" s="18">
        <v>-2149.62</v>
      </c>
      <c r="L127" s="17">
        <v>-2138.0</v>
      </c>
      <c r="M127" s="18">
        <v>-2138.0</v>
      </c>
      <c r="N127" s="18">
        <v>0.0</v>
      </c>
      <c r="O127" s="18">
        <v>176.018</v>
      </c>
      <c r="P127" s="4"/>
    </row>
    <row r="128">
      <c r="A128" s="8" t="s">
        <v>133</v>
      </c>
      <c r="B128" s="9">
        <v>35.0</v>
      </c>
      <c r="C128" s="9" t="s">
        <v>8</v>
      </c>
      <c r="D128" s="9">
        <v>75.0</v>
      </c>
      <c r="E128" s="10">
        <v>1.0</v>
      </c>
      <c r="F128" s="9">
        <v>1.0</v>
      </c>
      <c r="G128" s="9">
        <v>1.0</v>
      </c>
      <c r="H128" s="9">
        <v>0.0</v>
      </c>
      <c r="I128" s="9">
        <v>0.0</v>
      </c>
      <c r="J128" s="17">
        <v>6699.0</v>
      </c>
      <c r="K128" s="18">
        <v>-1762.86</v>
      </c>
      <c r="L128" s="17">
        <v>-1745.0</v>
      </c>
      <c r="M128" s="18">
        <v>-1745.0</v>
      </c>
      <c r="N128" s="18">
        <v>0.0</v>
      </c>
      <c r="O128" s="18">
        <v>42.159</v>
      </c>
      <c r="P128" s="4"/>
    </row>
    <row r="129">
      <c r="A129" s="8" t="s">
        <v>134</v>
      </c>
      <c r="B129" s="9">
        <v>35.0</v>
      </c>
      <c r="C129" s="9" t="s">
        <v>8</v>
      </c>
      <c r="D129" s="9">
        <v>75.0</v>
      </c>
      <c r="E129" s="10">
        <v>1.0</v>
      </c>
      <c r="F129" s="9">
        <v>2.0</v>
      </c>
      <c r="G129" s="9">
        <v>1.0</v>
      </c>
      <c r="H129" s="9">
        <v>0.0</v>
      </c>
      <c r="I129" s="9">
        <v>0.0</v>
      </c>
      <c r="J129" s="17">
        <v>6156.0</v>
      </c>
      <c r="K129" s="18">
        <v>-2072.5</v>
      </c>
      <c r="L129" s="17">
        <v>-2071.0</v>
      </c>
      <c r="M129" s="18">
        <v>-2071.0</v>
      </c>
      <c r="N129" s="18">
        <v>0.0</v>
      </c>
      <c r="O129" s="18">
        <v>15.569</v>
      </c>
      <c r="P129" s="4"/>
    </row>
    <row r="130">
      <c r="A130" s="8" t="s">
        <v>135</v>
      </c>
      <c r="B130" s="9">
        <v>35.0</v>
      </c>
      <c r="C130" s="9" t="s">
        <v>8</v>
      </c>
      <c r="D130" s="9">
        <v>75.0</v>
      </c>
      <c r="E130" s="10">
        <v>1.0</v>
      </c>
      <c r="F130" s="9">
        <v>3.0</v>
      </c>
      <c r="G130" s="9">
        <v>1.0</v>
      </c>
      <c r="H130" s="9">
        <v>0.0</v>
      </c>
      <c r="I130" s="9">
        <v>0.0</v>
      </c>
      <c r="J130" s="17">
        <v>7210.0</v>
      </c>
      <c r="K130" s="18">
        <v>-1642.61</v>
      </c>
      <c r="L130" s="17">
        <v>-1620.0</v>
      </c>
      <c r="M130" s="18">
        <v>-1620.0</v>
      </c>
      <c r="N130" s="18">
        <v>0.0</v>
      </c>
      <c r="O130" s="18">
        <v>43.694</v>
      </c>
      <c r="P130" s="4"/>
    </row>
    <row r="131">
      <c r="A131" s="8" t="s">
        <v>136</v>
      </c>
      <c r="B131" s="9">
        <v>35.0</v>
      </c>
      <c r="C131" s="9" t="s">
        <v>8</v>
      </c>
      <c r="D131" s="9">
        <v>75.0</v>
      </c>
      <c r="E131" s="10">
        <v>1.0</v>
      </c>
      <c r="F131" s="9">
        <v>4.0</v>
      </c>
      <c r="G131" s="9">
        <v>1.0</v>
      </c>
      <c r="H131" s="9">
        <v>0.0</v>
      </c>
      <c r="I131" s="9">
        <v>0.0</v>
      </c>
      <c r="J131" s="17">
        <v>-2029.0</v>
      </c>
      <c r="K131" s="18">
        <v>-2029.0</v>
      </c>
      <c r="L131" s="17">
        <v>-2029.0</v>
      </c>
      <c r="M131" s="18">
        <v>-2029.0</v>
      </c>
      <c r="N131" s="18">
        <v>0.0</v>
      </c>
      <c r="O131" s="18">
        <v>5.347</v>
      </c>
      <c r="P131" s="4"/>
    </row>
    <row r="132">
      <c r="A132" s="8" t="s">
        <v>137</v>
      </c>
      <c r="B132" s="9">
        <v>35.0</v>
      </c>
      <c r="C132" s="9" t="s">
        <v>8</v>
      </c>
      <c r="D132" s="9">
        <v>75.0</v>
      </c>
      <c r="E132" s="10">
        <v>1.0</v>
      </c>
      <c r="F132" s="9">
        <v>5.0</v>
      </c>
      <c r="G132" s="9">
        <v>1.0</v>
      </c>
      <c r="H132" s="9">
        <v>0.0</v>
      </c>
      <c r="I132" s="9">
        <v>0.0</v>
      </c>
      <c r="J132" s="17">
        <v>6826.0</v>
      </c>
      <c r="K132" s="18">
        <v>-1879.23</v>
      </c>
      <c r="L132" s="17">
        <v>-1863.0</v>
      </c>
      <c r="M132" s="18">
        <v>-1863.0</v>
      </c>
      <c r="N132" s="18">
        <v>0.0</v>
      </c>
      <c r="O132" s="18">
        <v>28.975</v>
      </c>
      <c r="P132" s="4"/>
    </row>
    <row r="133">
      <c r="A133" s="8" t="s">
        <v>138</v>
      </c>
      <c r="B133" s="9">
        <v>35.0</v>
      </c>
      <c r="C133" s="9" t="s">
        <v>8</v>
      </c>
      <c r="D133" s="9">
        <v>75.0</v>
      </c>
      <c r="E133" s="10">
        <v>2.0</v>
      </c>
      <c r="F133" s="9">
        <v>1.0</v>
      </c>
      <c r="G133" s="9">
        <v>1.0</v>
      </c>
      <c r="H133" s="9">
        <v>0.0</v>
      </c>
      <c r="I133" s="9">
        <v>0.0</v>
      </c>
      <c r="J133" s="17">
        <v>11564.0</v>
      </c>
      <c r="K133" s="18">
        <v>367.5</v>
      </c>
      <c r="L133" s="17">
        <v>441.0</v>
      </c>
      <c r="M133" s="18">
        <v>441.0</v>
      </c>
      <c r="N133" s="18">
        <v>0.0</v>
      </c>
      <c r="O133" s="18">
        <v>38.338</v>
      </c>
      <c r="P133" s="4"/>
    </row>
    <row r="134">
      <c r="A134" s="8" t="s">
        <v>139</v>
      </c>
      <c r="B134" s="9">
        <v>35.0</v>
      </c>
      <c r="C134" s="9" t="s">
        <v>8</v>
      </c>
      <c r="D134" s="9">
        <v>75.0</v>
      </c>
      <c r="E134" s="10">
        <v>2.0</v>
      </c>
      <c r="F134" s="9">
        <v>2.0</v>
      </c>
      <c r="G134" s="9">
        <v>1.0</v>
      </c>
      <c r="H134" s="9">
        <v>0.0</v>
      </c>
      <c r="I134" s="9">
        <v>0.0</v>
      </c>
      <c r="J134" s="17">
        <v>10496.0</v>
      </c>
      <c r="K134" s="18">
        <v>37.5833</v>
      </c>
      <c r="L134" s="17">
        <v>120.0</v>
      </c>
      <c r="M134" s="18">
        <v>120.0</v>
      </c>
      <c r="N134" s="18">
        <v>0.0</v>
      </c>
      <c r="O134" s="18">
        <v>65.428</v>
      </c>
      <c r="P134" s="4"/>
    </row>
    <row r="135">
      <c r="A135" s="8" t="s">
        <v>140</v>
      </c>
      <c r="B135" s="9">
        <v>35.0</v>
      </c>
      <c r="C135" s="9" t="s">
        <v>8</v>
      </c>
      <c r="D135" s="9">
        <v>75.0</v>
      </c>
      <c r="E135" s="10">
        <v>2.0</v>
      </c>
      <c r="F135" s="9">
        <v>3.0</v>
      </c>
      <c r="G135" s="9">
        <v>1.0</v>
      </c>
      <c r="H135" s="9">
        <v>0.0</v>
      </c>
      <c r="I135" s="9">
        <v>0.0</v>
      </c>
      <c r="J135" s="17">
        <v>13615.0</v>
      </c>
      <c r="K135" s="18">
        <v>958.0</v>
      </c>
      <c r="L135" s="17">
        <v>1060.0</v>
      </c>
      <c r="M135" s="18">
        <v>1060.0</v>
      </c>
      <c r="N135" s="18">
        <v>0.0</v>
      </c>
      <c r="O135" s="18">
        <v>445.584</v>
      </c>
      <c r="P135" s="4"/>
    </row>
    <row r="136">
      <c r="A136" s="8" t="s">
        <v>141</v>
      </c>
      <c r="B136" s="9">
        <v>35.0</v>
      </c>
      <c r="C136" s="9" t="s">
        <v>8</v>
      </c>
      <c r="D136" s="9">
        <v>75.0</v>
      </c>
      <c r="E136" s="10">
        <v>2.0</v>
      </c>
      <c r="F136" s="9">
        <v>4.0</v>
      </c>
      <c r="G136" s="9">
        <v>1.0</v>
      </c>
      <c r="H136" s="9">
        <v>0.0</v>
      </c>
      <c r="I136" s="9">
        <v>0.0</v>
      </c>
      <c r="J136" s="17">
        <v>-1207.0</v>
      </c>
      <c r="K136" s="18">
        <v>-1207.0</v>
      </c>
      <c r="L136" s="17">
        <v>-1207.0</v>
      </c>
      <c r="M136" s="18">
        <v>-1207.0</v>
      </c>
      <c r="N136" s="18">
        <v>0.0</v>
      </c>
      <c r="O136" s="18">
        <v>0.307</v>
      </c>
      <c r="P136" s="4"/>
    </row>
    <row r="137">
      <c r="A137" s="8" t="s">
        <v>142</v>
      </c>
      <c r="B137" s="9">
        <v>35.0</v>
      </c>
      <c r="C137" s="9" t="s">
        <v>8</v>
      </c>
      <c r="D137" s="9">
        <v>75.0</v>
      </c>
      <c r="E137" s="10">
        <v>2.0</v>
      </c>
      <c r="F137" s="9">
        <v>5.0</v>
      </c>
      <c r="G137" s="9">
        <v>1.0</v>
      </c>
      <c r="H137" s="9">
        <v>0.0</v>
      </c>
      <c r="I137" s="9">
        <v>0.0</v>
      </c>
      <c r="J137" s="17">
        <v>10151.0</v>
      </c>
      <c r="K137" s="18">
        <v>-220.5</v>
      </c>
      <c r="L137" s="17">
        <v>-204.0</v>
      </c>
      <c r="M137" s="18">
        <v>-204.0</v>
      </c>
      <c r="N137" s="18">
        <v>0.0</v>
      </c>
      <c r="O137" s="18">
        <v>2.721</v>
      </c>
      <c r="P137" s="4"/>
    </row>
    <row r="138">
      <c r="A138" s="8" t="s">
        <v>143</v>
      </c>
      <c r="B138" s="9">
        <v>40.0</v>
      </c>
      <c r="C138" s="9" t="s">
        <v>8</v>
      </c>
      <c r="D138" s="9">
        <v>25.0</v>
      </c>
      <c r="E138" s="10">
        <v>0.6</v>
      </c>
      <c r="F138" s="9">
        <v>1.0</v>
      </c>
      <c r="G138" s="9">
        <v>1.0</v>
      </c>
      <c r="H138" s="9">
        <v>0.0</v>
      </c>
      <c r="I138" s="9">
        <v>0.0</v>
      </c>
      <c r="J138" s="17">
        <v>-1463.0</v>
      </c>
      <c r="K138" s="18">
        <v>-1463.0</v>
      </c>
      <c r="L138" s="17">
        <v>-1463.0</v>
      </c>
      <c r="M138" s="18">
        <v>-1463.0</v>
      </c>
      <c r="N138" s="18">
        <v>0.0</v>
      </c>
      <c r="O138" s="18">
        <v>21.693</v>
      </c>
      <c r="P138" s="4"/>
    </row>
    <row r="139">
      <c r="A139" s="8" t="s">
        <v>144</v>
      </c>
      <c r="B139" s="9">
        <v>40.0</v>
      </c>
      <c r="C139" s="9" t="s">
        <v>8</v>
      </c>
      <c r="D139" s="9">
        <v>25.0</v>
      </c>
      <c r="E139" s="10">
        <v>0.6</v>
      </c>
      <c r="F139" s="9">
        <v>2.0</v>
      </c>
      <c r="G139" s="9">
        <v>1.0</v>
      </c>
      <c r="H139" s="9">
        <v>0.0</v>
      </c>
      <c r="I139" s="9">
        <v>0.0</v>
      </c>
      <c r="J139" s="17">
        <v>-1561.0</v>
      </c>
      <c r="K139" s="18">
        <v>-1561.0</v>
      </c>
      <c r="L139" s="17">
        <v>-1561.0</v>
      </c>
      <c r="M139" s="18">
        <v>-1561.0</v>
      </c>
      <c r="N139" s="18">
        <v>0.0</v>
      </c>
      <c r="O139" s="18">
        <v>91.262</v>
      </c>
      <c r="P139" s="4"/>
    </row>
    <row r="140">
      <c r="A140" s="8" t="s">
        <v>145</v>
      </c>
      <c r="B140" s="9">
        <v>40.0</v>
      </c>
      <c r="C140" s="9" t="s">
        <v>8</v>
      </c>
      <c r="D140" s="9">
        <v>25.0</v>
      </c>
      <c r="E140" s="10">
        <v>0.6</v>
      </c>
      <c r="F140" s="9">
        <v>3.0</v>
      </c>
      <c r="G140" s="9">
        <v>1.0</v>
      </c>
      <c r="H140" s="9">
        <v>0.0</v>
      </c>
      <c r="I140" s="9">
        <v>0.0</v>
      </c>
      <c r="J140" s="17">
        <v>3317.0</v>
      </c>
      <c r="K140" s="18">
        <v>-1292.5</v>
      </c>
      <c r="L140" s="17">
        <v>-1286.0</v>
      </c>
      <c r="M140" s="18">
        <v>-1286.0</v>
      </c>
      <c r="N140" s="18">
        <v>0.0</v>
      </c>
      <c r="O140" s="18">
        <v>97.34</v>
      </c>
      <c r="P140" s="4"/>
    </row>
    <row r="141">
      <c r="A141" s="8" t="s">
        <v>146</v>
      </c>
      <c r="B141" s="9">
        <v>40.0</v>
      </c>
      <c r="C141" s="9" t="s">
        <v>8</v>
      </c>
      <c r="D141" s="9">
        <v>25.0</v>
      </c>
      <c r="E141" s="10">
        <v>0.6</v>
      </c>
      <c r="F141" s="9">
        <v>4.0</v>
      </c>
      <c r="G141" s="9">
        <v>1.0</v>
      </c>
      <c r="H141" s="9">
        <v>0.0</v>
      </c>
      <c r="I141" s="9">
        <v>0.0</v>
      </c>
      <c r="J141" s="17">
        <v>-1587.0</v>
      </c>
      <c r="K141" s="18">
        <v>-1587.0</v>
      </c>
      <c r="L141" s="17">
        <v>-1587.0</v>
      </c>
      <c r="M141" s="18">
        <v>-1587.0</v>
      </c>
      <c r="N141" s="18">
        <v>0.0</v>
      </c>
      <c r="O141" s="18">
        <v>19.941</v>
      </c>
      <c r="P141" s="4"/>
    </row>
    <row r="142">
      <c r="A142" s="8" t="s">
        <v>147</v>
      </c>
      <c r="B142" s="9">
        <v>40.0</v>
      </c>
      <c r="C142" s="9" t="s">
        <v>8</v>
      </c>
      <c r="D142" s="9">
        <v>25.0</v>
      </c>
      <c r="E142" s="10">
        <v>0.6</v>
      </c>
      <c r="F142" s="9">
        <v>5.0</v>
      </c>
      <c r="G142" s="9">
        <v>1.0</v>
      </c>
      <c r="H142" s="9">
        <v>0.0</v>
      </c>
      <c r="I142" s="9">
        <v>0.0</v>
      </c>
      <c r="J142" s="17">
        <v>-1558.0</v>
      </c>
      <c r="K142" s="18">
        <v>-1558.0</v>
      </c>
      <c r="L142" s="17">
        <v>-1558.0</v>
      </c>
      <c r="M142" s="18">
        <v>-1558.0</v>
      </c>
      <c r="N142" s="18">
        <v>0.0</v>
      </c>
      <c r="O142" s="18">
        <v>24.235</v>
      </c>
      <c r="P142" s="4"/>
    </row>
    <row r="143">
      <c r="A143" s="8" t="s">
        <v>148</v>
      </c>
      <c r="B143" s="9">
        <v>40.0</v>
      </c>
      <c r="C143" s="9" t="s">
        <v>8</v>
      </c>
      <c r="D143" s="9">
        <v>25.0</v>
      </c>
      <c r="E143" s="10">
        <v>1.0</v>
      </c>
      <c r="F143" s="9">
        <v>1.0</v>
      </c>
      <c r="G143" s="9">
        <v>1.0</v>
      </c>
      <c r="H143" s="9">
        <v>0.0</v>
      </c>
      <c r="I143" s="9">
        <v>0.0</v>
      </c>
      <c r="J143" s="17">
        <v>-1320.0</v>
      </c>
      <c r="K143" s="18">
        <v>-1320.0</v>
      </c>
      <c r="L143" s="17">
        <v>-1320.0</v>
      </c>
      <c r="M143" s="18">
        <v>-1320.0</v>
      </c>
      <c r="N143" s="18">
        <v>0.0</v>
      </c>
      <c r="O143" s="18">
        <v>6.598</v>
      </c>
      <c r="P143" s="4"/>
    </row>
    <row r="144">
      <c r="A144" s="8" t="s">
        <v>149</v>
      </c>
      <c r="B144" s="9">
        <v>40.0</v>
      </c>
      <c r="C144" s="9" t="s">
        <v>8</v>
      </c>
      <c r="D144" s="9">
        <v>25.0</v>
      </c>
      <c r="E144" s="10">
        <v>1.0</v>
      </c>
      <c r="F144" s="9">
        <v>2.0</v>
      </c>
      <c r="G144" s="9">
        <v>1.0</v>
      </c>
      <c r="H144" s="9">
        <v>0.0</v>
      </c>
      <c r="I144" s="9">
        <v>0.0</v>
      </c>
      <c r="J144" s="17">
        <v>2863.0</v>
      </c>
      <c r="K144" s="18">
        <v>-1469.5</v>
      </c>
      <c r="L144" s="17">
        <v>-1464.0</v>
      </c>
      <c r="M144" s="18">
        <v>-1464.0</v>
      </c>
      <c r="N144" s="18">
        <v>0.0</v>
      </c>
      <c r="O144" s="18">
        <v>46.803</v>
      </c>
      <c r="P144" s="4"/>
    </row>
    <row r="145">
      <c r="A145" s="8" t="s">
        <v>150</v>
      </c>
      <c r="B145" s="9">
        <v>40.0</v>
      </c>
      <c r="C145" s="9" t="s">
        <v>8</v>
      </c>
      <c r="D145" s="9">
        <v>25.0</v>
      </c>
      <c r="E145" s="10">
        <v>1.0</v>
      </c>
      <c r="F145" s="9">
        <v>3.0</v>
      </c>
      <c r="G145" s="9">
        <v>1.0</v>
      </c>
      <c r="H145" s="9">
        <v>0.0</v>
      </c>
      <c r="I145" s="9">
        <v>0.0</v>
      </c>
      <c r="J145" s="17">
        <v>4077.0</v>
      </c>
      <c r="K145" s="18">
        <v>-1117.14</v>
      </c>
      <c r="L145" s="17">
        <v>-1109.0</v>
      </c>
      <c r="M145" s="18">
        <v>-1109.0</v>
      </c>
      <c r="N145" s="18">
        <v>0.0</v>
      </c>
      <c r="O145" s="18">
        <v>35.29</v>
      </c>
      <c r="P145" s="4"/>
    </row>
    <row r="146">
      <c r="A146" s="8" t="s">
        <v>151</v>
      </c>
      <c r="B146" s="9">
        <v>40.0</v>
      </c>
      <c r="C146" s="9" t="s">
        <v>8</v>
      </c>
      <c r="D146" s="9">
        <v>25.0</v>
      </c>
      <c r="E146" s="10">
        <v>1.0</v>
      </c>
      <c r="F146" s="9">
        <v>4.0</v>
      </c>
      <c r="G146" s="9">
        <v>1.0</v>
      </c>
      <c r="H146" s="9">
        <v>0.0</v>
      </c>
      <c r="I146" s="9">
        <v>0.0</v>
      </c>
      <c r="J146" s="17">
        <v>-1481.0</v>
      </c>
      <c r="K146" s="18">
        <v>-1481.0</v>
      </c>
      <c r="L146" s="17">
        <v>-1481.0</v>
      </c>
      <c r="M146" s="18">
        <v>-1481.0</v>
      </c>
      <c r="N146" s="18">
        <v>0.0</v>
      </c>
      <c r="O146" s="18">
        <v>10.366</v>
      </c>
      <c r="P146" s="4"/>
    </row>
    <row r="147">
      <c r="A147" s="8" t="s">
        <v>152</v>
      </c>
      <c r="B147" s="9">
        <v>40.0</v>
      </c>
      <c r="C147" s="9" t="s">
        <v>8</v>
      </c>
      <c r="D147" s="9">
        <v>25.0</v>
      </c>
      <c r="E147" s="10">
        <v>1.0</v>
      </c>
      <c r="F147" s="9">
        <v>5.0</v>
      </c>
      <c r="G147" s="9">
        <v>1.0</v>
      </c>
      <c r="H147" s="9">
        <v>0.0</v>
      </c>
      <c r="I147" s="9">
        <v>0.0</v>
      </c>
      <c r="J147" s="17">
        <v>-1441.0</v>
      </c>
      <c r="K147" s="18">
        <v>-1441.0</v>
      </c>
      <c r="L147" s="17">
        <v>-1441.0</v>
      </c>
      <c r="M147" s="18">
        <v>-1441.0</v>
      </c>
      <c r="N147" s="18">
        <v>0.0</v>
      </c>
      <c r="O147" s="18">
        <v>7.528</v>
      </c>
      <c r="P147" s="4"/>
    </row>
    <row r="148">
      <c r="A148" s="8" t="s">
        <v>153</v>
      </c>
      <c r="B148" s="9">
        <v>40.0</v>
      </c>
      <c r="C148" s="9" t="s">
        <v>8</v>
      </c>
      <c r="D148" s="9">
        <v>25.0</v>
      </c>
      <c r="E148" s="10">
        <v>2.0</v>
      </c>
      <c r="F148" s="9">
        <v>1.0</v>
      </c>
      <c r="G148" s="9">
        <v>1.0</v>
      </c>
      <c r="H148" s="9">
        <v>0.0</v>
      </c>
      <c r="I148" s="9">
        <v>0.0</v>
      </c>
      <c r="J148" s="17">
        <v>3934.0</v>
      </c>
      <c r="K148" s="18">
        <v>-708.0</v>
      </c>
      <c r="L148" s="17">
        <v>-700.0</v>
      </c>
      <c r="M148" s="18">
        <v>-700.0</v>
      </c>
      <c r="N148" s="18">
        <v>0.0</v>
      </c>
      <c r="O148" s="18">
        <v>1.989</v>
      </c>
      <c r="P148" s="4"/>
    </row>
    <row r="149">
      <c r="A149" s="8" t="s">
        <v>154</v>
      </c>
      <c r="B149" s="9">
        <v>40.0</v>
      </c>
      <c r="C149" s="9" t="s">
        <v>8</v>
      </c>
      <c r="D149" s="9">
        <v>25.0</v>
      </c>
      <c r="E149" s="10">
        <v>2.0</v>
      </c>
      <c r="F149" s="9">
        <v>2.0</v>
      </c>
      <c r="G149" s="9">
        <v>1.0</v>
      </c>
      <c r="H149" s="9">
        <v>0.0</v>
      </c>
      <c r="I149" s="9">
        <v>0.0</v>
      </c>
      <c r="J149" s="17">
        <v>-1032.0</v>
      </c>
      <c r="K149" s="18">
        <v>-1032.0</v>
      </c>
      <c r="L149" s="17">
        <v>-1032.0</v>
      </c>
      <c r="M149" s="18">
        <v>-1032.0</v>
      </c>
      <c r="N149" s="18">
        <v>0.0</v>
      </c>
      <c r="O149" s="18">
        <v>1.337</v>
      </c>
      <c r="P149" s="4"/>
    </row>
    <row r="150">
      <c r="A150" s="8" t="s">
        <v>155</v>
      </c>
      <c r="B150" s="9">
        <v>40.0</v>
      </c>
      <c r="C150" s="9" t="s">
        <v>8</v>
      </c>
      <c r="D150" s="9">
        <v>25.0</v>
      </c>
      <c r="E150" s="10">
        <v>2.0</v>
      </c>
      <c r="F150" s="9">
        <v>3.0</v>
      </c>
      <c r="G150" s="9">
        <v>1.0</v>
      </c>
      <c r="H150" s="9">
        <v>0.0</v>
      </c>
      <c r="I150" s="9">
        <v>0.0</v>
      </c>
      <c r="J150" s="17">
        <v>10197.0</v>
      </c>
      <c r="K150" s="18">
        <v>820.25</v>
      </c>
      <c r="L150" s="17">
        <v>870.0</v>
      </c>
      <c r="M150" s="18">
        <v>870.0</v>
      </c>
      <c r="N150" s="18">
        <v>0.0</v>
      </c>
      <c r="O150" s="18">
        <v>248.618</v>
      </c>
      <c r="P150" s="4"/>
    </row>
    <row r="151">
      <c r="A151" s="8" t="s">
        <v>156</v>
      </c>
      <c r="B151" s="9">
        <v>40.0</v>
      </c>
      <c r="C151" s="9" t="s">
        <v>8</v>
      </c>
      <c r="D151" s="9">
        <v>25.0</v>
      </c>
      <c r="E151" s="10">
        <v>2.0</v>
      </c>
      <c r="F151" s="9">
        <v>4.0</v>
      </c>
      <c r="G151" s="9">
        <v>1.0</v>
      </c>
      <c r="H151" s="9">
        <v>0.0</v>
      </c>
      <c r="I151" s="9">
        <v>0.0</v>
      </c>
      <c r="J151" s="17">
        <v>3254.0</v>
      </c>
      <c r="K151" s="18">
        <v>-1062.33</v>
      </c>
      <c r="L151" s="17">
        <v>-1058.0</v>
      </c>
      <c r="M151" s="18">
        <v>-1058.0</v>
      </c>
      <c r="N151" s="18">
        <v>0.0</v>
      </c>
      <c r="O151" s="18">
        <v>1.649</v>
      </c>
      <c r="P151" s="4"/>
    </row>
    <row r="152">
      <c r="A152" s="8" t="s">
        <v>157</v>
      </c>
      <c r="B152" s="9">
        <v>40.0</v>
      </c>
      <c r="C152" s="9" t="s">
        <v>8</v>
      </c>
      <c r="D152" s="9">
        <v>25.0</v>
      </c>
      <c r="E152" s="10">
        <v>2.0</v>
      </c>
      <c r="F152" s="9">
        <v>5.0</v>
      </c>
      <c r="G152" s="9">
        <v>1.0</v>
      </c>
      <c r="H152" s="9">
        <v>0.0</v>
      </c>
      <c r="I152" s="9">
        <v>0.0</v>
      </c>
      <c r="J152" s="17">
        <v>-981.0</v>
      </c>
      <c r="K152" s="18">
        <v>-981.0</v>
      </c>
      <c r="L152" s="17">
        <v>-981.0</v>
      </c>
      <c r="M152" s="18">
        <v>-981.0</v>
      </c>
      <c r="N152" s="18">
        <v>0.0</v>
      </c>
      <c r="O152" s="18">
        <v>0.342</v>
      </c>
      <c r="P152" s="4"/>
    </row>
    <row r="153">
      <c r="A153" s="8" t="s">
        <v>158</v>
      </c>
      <c r="B153" s="9">
        <v>40.0</v>
      </c>
      <c r="C153" s="9" t="s">
        <v>8</v>
      </c>
      <c r="D153" s="9">
        <v>50.0</v>
      </c>
      <c r="E153" s="10">
        <v>0.6</v>
      </c>
      <c r="F153" s="9">
        <v>1.0</v>
      </c>
      <c r="G153" s="9">
        <v>1.0</v>
      </c>
      <c r="H153" s="9">
        <v>0.0</v>
      </c>
      <c r="I153" s="9">
        <v>0.0</v>
      </c>
      <c r="J153" s="17">
        <v>5233.0</v>
      </c>
      <c r="K153" s="18">
        <v>-1945.36</v>
      </c>
      <c r="L153" s="17">
        <v>-1931.0</v>
      </c>
      <c r="M153" s="18">
        <v>-1931.0</v>
      </c>
      <c r="N153" s="18">
        <v>0.0</v>
      </c>
      <c r="O153" s="18">
        <v>679.47</v>
      </c>
      <c r="P153" s="4"/>
    </row>
    <row r="154">
      <c r="A154" s="8" t="s">
        <v>159</v>
      </c>
      <c r="B154" s="9">
        <v>40.0</v>
      </c>
      <c r="C154" s="9" t="s">
        <v>8</v>
      </c>
      <c r="D154" s="9">
        <v>50.0</v>
      </c>
      <c r="E154" s="10">
        <v>0.6</v>
      </c>
      <c r="F154" s="9">
        <v>2.0</v>
      </c>
      <c r="G154" s="9">
        <v>1.0</v>
      </c>
      <c r="H154" s="9">
        <v>0.0</v>
      </c>
      <c r="I154" s="9">
        <v>0.0</v>
      </c>
      <c r="J154" s="17">
        <v>-2066.0</v>
      </c>
      <c r="K154" s="18">
        <v>-2066.0</v>
      </c>
      <c r="L154" s="17">
        <v>-2066.0</v>
      </c>
      <c r="M154" s="18">
        <v>-2066.0</v>
      </c>
      <c r="N154" s="18">
        <v>0.0</v>
      </c>
      <c r="O154" s="18">
        <v>167.924</v>
      </c>
      <c r="P154" s="4"/>
    </row>
    <row r="155">
      <c r="A155" s="8" t="s">
        <v>160</v>
      </c>
      <c r="B155" s="9">
        <v>40.0</v>
      </c>
      <c r="C155" s="9" t="s">
        <v>8</v>
      </c>
      <c r="D155" s="9">
        <v>50.0</v>
      </c>
      <c r="E155" s="10">
        <v>0.6</v>
      </c>
      <c r="F155" s="9">
        <v>3.0</v>
      </c>
      <c r="G155" s="9">
        <v>1.0</v>
      </c>
      <c r="H155" s="9">
        <v>0.0</v>
      </c>
      <c r="I155" s="9">
        <v>0.0</v>
      </c>
      <c r="J155" s="17">
        <v>-2392.0</v>
      </c>
      <c r="K155" s="18">
        <v>-2392.0</v>
      </c>
      <c r="L155" s="17">
        <v>-2392.0</v>
      </c>
      <c r="M155" s="18">
        <v>-2392.0</v>
      </c>
      <c r="N155" s="18">
        <v>0.0</v>
      </c>
      <c r="O155" s="18">
        <v>128.889</v>
      </c>
      <c r="P155" s="4"/>
    </row>
    <row r="156">
      <c r="A156" s="8" t="s">
        <v>161</v>
      </c>
      <c r="B156" s="9">
        <v>40.0</v>
      </c>
      <c r="C156" s="9" t="s">
        <v>8</v>
      </c>
      <c r="D156" s="9">
        <v>50.0</v>
      </c>
      <c r="E156" s="10">
        <v>0.6</v>
      </c>
      <c r="F156" s="9">
        <v>4.0</v>
      </c>
      <c r="G156" s="9">
        <v>1.0</v>
      </c>
      <c r="H156" s="9">
        <v>0.0</v>
      </c>
      <c r="I156" s="9">
        <v>0.0</v>
      </c>
      <c r="J156" s="17">
        <v>4708.0</v>
      </c>
      <c r="K156" s="18">
        <v>-2440.33</v>
      </c>
      <c r="L156" s="17">
        <v>-2408.0</v>
      </c>
      <c r="M156" s="18">
        <v>-2408.0</v>
      </c>
      <c r="N156" s="18">
        <v>0.0</v>
      </c>
      <c r="O156" s="18">
        <v>829.379</v>
      </c>
      <c r="P156" s="4"/>
    </row>
    <row r="157">
      <c r="A157" s="8" t="s">
        <v>162</v>
      </c>
      <c r="B157" s="9">
        <v>40.0</v>
      </c>
      <c r="C157" s="9" t="s">
        <v>8</v>
      </c>
      <c r="D157" s="9">
        <v>50.0</v>
      </c>
      <c r="E157" s="10">
        <v>0.6</v>
      </c>
      <c r="F157" s="9">
        <v>5.0</v>
      </c>
      <c r="G157" s="9">
        <v>1.0</v>
      </c>
      <c r="H157" s="9">
        <v>0.0</v>
      </c>
      <c r="I157" s="9">
        <v>0.0</v>
      </c>
      <c r="J157" s="17">
        <v>5101.0</v>
      </c>
      <c r="K157" s="18">
        <v>-2212.33</v>
      </c>
      <c r="L157" s="17">
        <v>-2200.0</v>
      </c>
      <c r="M157" s="18">
        <v>-2200.0</v>
      </c>
      <c r="N157" s="18">
        <v>0.0</v>
      </c>
      <c r="O157" s="18">
        <v>476.527</v>
      </c>
      <c r="P157" s="4"/>
    </row>
    <row r="158">
      <c r="A158" s="8" t="s">
        <v>163</v>
      </c>
      <c r="B158" s="9">
        <v>40.0</v>
      </c>
      <c r="C158" s="9" t="s">
        <v>8</v>
      </c>
      <c r="D158" s="9">
        <v>50.0</v>
      </c>
      <c r="E158" s="10">
        <v>1.0</v>
      </c>
      <c r="F158" s="9">
        <v>1.0</v>
      </c>
      <c r="G158" s="9">
        <v>1.0</v>
      </c>
      <c r="H158" s="9">
        <v>0.0</v>
      </c>
      <c r="I158" s="9">
        <v>0.0</v>
      </c>
      <c r="J158" s="17">
        <v>5673.0</v>
      </c>
      <c r="K158" s="18">
        <v>-1763.36</v>
      </c>
      <c r="L158" s="17">
        <v>-1744.0</v>
      </c>
      <c r="M158" s="18">
        <v>-1744.0</v>
      </c>
      <c r="N158" s="18">
        <v>0.0</v>
      </c>
      <c r="O158" s="18">
        <v>190.333</v>
      </c>
      <c r="P158" s="4"/>
    </row>
    <row r="159">
      <c r="A159" s="8" t="s">
        <v>164</v>
      </c>
      <c r="B159" s="9">
        <v>40.0</v>
      </c>
      <c r="C159" s="9" t="s">
        <v>8</v>
      </c>
      <c r="D159" s="9">
        <v>50.0</v>
      </c>
      <c r="E159" s="10">
        <v>1.0</v>
      </c>
      <c r="F159" s="9">
        <v>2.0</v>
      </c>
      <c r="G159" s="9">
        <v>1.0</v>
      </c>
      <c r="H159" s="9">
        <v>0.0</v>
      </c>
      <c r="I159" s="9">
        <v>0.0</v>
      </c>
      <c r="J159" s="17">
        <v>4899.0</v>
      </c>
      <c r="K159" s="18">
        <v>-1923.25</v>
      </c>
      <c r="L159" s="17">
        <v>-1911.0</v>
      </c>
      <c r="M159" s="18">
        <v>-1911.0</v>
      </c>
      <c r="N159" s="18">
        <v>0.0</v>
      </c>
      <c r="O159" s="18">
        <v>110.849</v>
      </c>
      <c r="P159" s="4"/>
    </row>
    <row r="160">
      <c r="A160" s="8" t="s">
        <v>165</v>
      </c>
      <c r="B160" s="9">
        <v>40.0</v>
      </c>
      <c r="C160" s="9" t="s">
        <v>8</v>
      </c>
      <c r="D160" s="9">
        <v>50.0</v>
      </c>
      <c r="E160" s="10">
        <v>1.0</v>
      </c>
      <c r="F160" s="9">
        <v>3.0</v>
      </c>
      <c r="G160" s="9">
        <v>1.0</v>
      </c>
      <c r="H160" s="9">
        <v>0.0</v>
      </c>
      <c r="I160" s="9">
        <v>0.0</v>
      </c>
      <c r="J160" s="17">
        <v>5542.0</v>
      </c>
      <c r="K160" s="18">
        <v>-2005.79</v>
      </c>
      <c r="L160" s="17">
        <v>-1989.0</v>
      </c>
      <c r="M160" s="18">
        <v>-1989.0</v>
      </c>
      <c r="N160" s="18">
        <v>0.0</v>
      </c>
      <c r="O160" s="18">
        <v>182.794</v>
      </c>
      <c r="P160" s="4"/>
    </row>
    <row r="161">
      <c r="A161" s="8" t="s">
        <v>166</v>
      </c>
      <c r="B161" s="9">
        <v>40.0</v>
      </c>
      <c r="C161" s="9" t="s">
        <v>8</v>
      </c>
      <c r="D161" s="9">
        <v>50.0</v>
      </c>
      <c r="E161" s="10">
        <v>1.0</v>
      </c>
      <c r="F161" s="9">
        <v>4.0</v>
      </c>
      <c r="G161" s="9">
        <v>1.0</v>
      </c>
      <c r="H161" s="9">
        <v>0.0</v>
      </c>
      <c r="I161" s="9">
        <v>0.0</v>
      </c>
      <c r="J161" s="17">
        <v>5348.0</v>
      </c>
      <c r="K161" s="18">
        <v>-2130.0</v>
      </c>
      <c r="L161" s="17">
        <v>-2084.0</v>
      </c>
      <c r="M161" s="18">
        <v>-2084.0</v>
      </c>
      <c r="N161" s="18">
        <v>0.0</v>
      </c>
      <c r="O161" s="18">
        <v>458.947</v>
      </c>
      <c r="P161" s="4"/>
    </row>
    <row r="162">
      <c r="A162" s="8" t="s">
        <v>167</v>
      </c>
      <c r="B162" s="9">
        <v>40.0</v>
      </c>
      <c r="C162" s="9" t="s">
        <v>8</v>
      </c>
      <c r="D162" s="9">
        <v>50.0</v>
      </c>
      <c r="E162" s="10">
        <v>1.0</v>
      </c>
      <c r="F162" s="9">
        <v>5.0</v>
      </c>
      <c r="G162" s="9">
        <v>1.0</v>
      </c>
      <c r="H162" s="9">
        <v>0.0</v>
      </c>
      <c r="I162" s="9">
        <v>0.0</v>
      </c>
      <c r="J162" s="17">
        <v>5221.0</v>
      </c>
      <c r="K162" s="18">
        <v>-1995.26</v>
      </c>
      <c r="L162" s="17">
        <v>-1979.0</v>
      </c>
      <c r="M162" s="18">
        <v>-1979.0</v>
      </c>
      <c r="N162" s="18">
        <v>0.0</v>
      </c>
      <c r="O162" s="18">
        <v>97.604</v>
      </c>
      <c r="P162" s="4"/>
    </row>
    <row r="163">
      <c r="A163" s="8" t="s">
        <v>168</v>
      </c>
      <c r="B163" s="9">
        <v>40.0</v>
      </c>
      <c r="C163" s="9" t="s">
        <v>8</v>
      </c>
      <c r="D163" s="9">
        <v>50.0</v>
      </c>
      <c r="E163" s="10">
        <v>2.0</v>
      </c>
      <c r="F163" s="9">
        <v>1.0</v>
      </c>
      <c r="G163" s="9">
        <v>1.0</v>
      </c>
      <c r="H163" s="9">
        <v>0.0</v>
      </c>
      <c r="I163" s="9">
        <v>0.0</v>
      </c>
      <c r="J163" s="17">
        <v>9153.0</v>
      </c>
      <c r="K163" s="18">
        <v>-256.688</v>
      </c>
      <c r="L163" s="17">
        <v>-213.0</v>
      </c>
      <c r="M163" s="18">
        <v>-213.0</v>
      </c>
      <c r="N163" s="18">
        <v>0.0</v>
      </c>
      <c r="O163" s="18">
        <v>228.907</v>
      </c>
      <c r="P163" s="4"/>
    </row>
    <row r="164">
      <c r="A164" s="8" t="s">
        <v>169</v>
      </c>
      <c r="B164" s="9">
        <v>40.0</v>
      </c>
      <c r="C164" s="9" t="s">
        <v>8</v>
      </c>
      <c r="D164" s="9">
        <v>50.0</v>
      </c>
      <c r="E164" s="10">
        <v>2.0</v>
      </c>
      <c r="F164" s="9">
        <v>2.0</v>
      </c>
      <c r="G164" s="9">
        <v>1.0</v>
      </c>
      <c r="H164" s="9">
        <v>0.0</v>
      </c>
      <c r="I164" s="9">
        <v>0.0</v>
      </c>
      <c r="J164" s="17">
        <v>5059.0</v>
      </c>
      <c r="K164" s="18">
        <v>-1415.4</v>
      </c>
      <c r="L164" s="17">
        <v>-1410.0</v>
      </c>
      <c r="M164" s="18">
        <v>-1410.0</v>
      </c>
      <c r="N164" s="18">
        <v>0.0</v>
      </c>
      <c r="O164" s="18">
        <v>6.18</v>
      </c>
      <c r="P164" s="4"/>
    </row>
    <row r="165">
      <c r="A165" s="8" t="s">
        <v>170</v>
      </c>
      <c r="B165" s="9">
        <v>40.0</v>
      </c>
      <c r="C165" s="9" t="s">
        <v>8</v>
      </c>
      <c r="D165" s="9">
        <v>50.0</v>
      </c>
      <c r="E165" s="10">
        <v>2.0</v>
      </c>
      <c r="F165" s="9">
        <v>3.0</v>
      </c>
      <c r="G165" s="9">
        <v>1.0</v>
      </c>
      <c r="H165" s="9">
        <v>0.0</v>
      </c>
      <c r="I165" s="9">
        <v>0.0</v>
      </c>
      <c r="J165" s="17">
        <v>10782.0</v>
      </c>
      <c r="K165" s="18">
        <v>41.3333</v>
      </c>
      <c r="L165" s="17">
        <v>121.0</v>
      </c>
      <c r="M165" s="18">
        <v>121.0</v>
      </c>
      <c r="N165" s="18">
        <v>0.0</v>
      </c>
      <c r="O165" s="18">
        <v>919.371</v>
      </c>
      <c r="P165" s="4"/>
    </row>
    <row r="166">
      <c r="A166" s="8" t="s">
        <v>171</v>
      </c>
      <c r="B166" s="9">
        <v>40.0</v>
      </c>
      <c r="C166" s="9" t="s">
        <v>8</v>
      </c>
      <c r="D166" s="9">
        <v>50.0</v>
      </c>
      <c r="E166" s="10">
        <v>2.0</v>
      </c>
      <c r="F166" s="9">
        <v>4.0</v>
      </c>
      <c r="G166" s="9">
        <v>1.0</v>
      </c>
      <c r="H166" s="9">
        <v>0.0</v>
      </c>
      <c r="I166" s="9">
        <v>0.0</v>
      </c>
      <c r="J166" s="17">
        <v>10508.0</v>
      </c>
      <c r="K166" s="18">
        <v>-59.3846</v>
      </c>
      <c r="L166" s="17">
        <v>-36.0</v>
      </c>
      <c r="M166" s="18">
        <v>-36.0</v>
      </c>
      <c r="N166" s="18">
        <v>0.0</v>
      </c>
      <c r="O166" s="18">
        <v>13.797</v>
      </c>
      <c r="P166" s="4"/>
    </row>
    <row r="167">
      <c r="A167" s="8" t="s">
        <v>172</v>
      </c>
      <c r="B167" s="9">
        <v>40.0</v>
      </c>
      <c r="C167" s="9" t="s">
        <v>8</v>
      </c>
      <c r="D167" s="9">
        <v>50.0</v>
      </c>
      <c r="E167" s="10">
        <v>2.0</v>
      </c>
      <c r="F167" s="9">
        <v>5.0</v>
      </c>
      <c r="G167" s="9">
        <v>1.0</v>
      </c>
      <c r="H167" s="9">
        <v>0.0</v>
      </c>
      <c r="I167" s="9">
        <v>0.0</v>
      </c>
      <c r="J167" s="17">
        <v>6181.0</v>
      </c>
      <c r="K167" s="18">
        <v>-1218.5</v>
      </c>
      <c r="L167" s="17">
        <v>-1200.0</v>
      </c>
      <c r="M167" s="18">
        <v>-1200.0</v>
      </c>
      <c r="N167" s="18">
        <v>0.0</v>
      </c>
      <c r="O167" s="18">
        <v>9.539</v>
      </c>
      <c r="P167" s="4"/>
    </row>
    <row r="168">
      <c r="A168" s="8" t="s">
        <v>173</v>
      </c>
      <c r="B168" s="9">
        <v>40.0</v>
      </c>
      <c r="C168" s="9" t="s">
        <v>8</v>
      </c>
      <c r="D168" s="9">
        <v>75.0</v>
      </c>
      <c r="E168" s="10">
        <v>0.6</v>
      </c>
      <c r="F168" s="9">
        <v>1.0</v>
      </c>
      <c r="G168" s="9">
        <v>1.0</v>
      </c>
      <c r="H168" s="9">
        <v>0.0</v>
      </c>
      <c r="I168" s="9">
        <v>0.0</v>
      </c>
      <c r="J168" s="17">
        <v>8104.0</v>
      </c>
      <c r="K168" s="18">
        <v>-2695.0</v>
      </c>
      <c r="L168" s="17">
        <v>-2693.0</v>
      </c>
      <c r="M168" s="18">
        <v>-2693.0</v>
      </c>
      <c r="N168" s="18">
        <v>0.0</v>
      </c>
      <c r="O168" s="18">
        <v>670.545</v>
      </c>
      <c r="P168" s="4"/>
    </row>
    <row r="169">
      <c r="A169" s="8" t="s">
        <v>174</v>
      </c>
      <c r="B169" s="9">
        <v>40.0</v>
      </c>
      <c r="C169" s="9" t="s">
        <v>8</v>
      </c>
      <c r="D169" s="9">
        <v>75.0</v>
      </c>
      <c r="E169" s="10">
        <v>0.6</v>
      </c>
      <c r="F169" s="9">
        <v>2.0</v>
      </c>
      <c r="G169" s="9">
        <v>1.0</v>
      </c>
      <c r="H169" s="9">
        <v>0.0</v>
      </c>
      <c r="I169" s="9">
        <v>0.0</v>
      </c>
      <c r="J169" s="17">
        <v>-2630.0</v>
      </c>
      <c r="K169" s="18">
        <v>-2630.0</v>
      </c>
      <c r="L169" s="17">
        <v>-2630.0</v>
      </c>
      <c r="M169" s="18">
        <v>-2630.0</v>
      </c>
      <c r="N169" s="18">
        <v>0.0</v>
      </c>
      <c r="O169" s="18">
        <v>214.072</v>
      </c>
      <c r="P169" s="4"/>
    </row>
    <row r="170">
      <c r="A170" s="8" t="s">
        <v>175</v>
      </c>
      <c r="B170" s="9">
        <v>40.0</v>
      </c>
      <c r="C170" s="9" t="s">
        <v>8</v>
      </c>
      <c r="D170" s="9">
        <v>75.0</v>
      </c>
      <c r="E170" s="10">
        <v>0.6</v>
      </c>
      <c r="F170" s="9">
        <v>3.0</v>
      </c>
      <c r="G170" s="9">
        <v>1.0</v>
      </c>
      <c r="H170" s="9">
        <v>0.0</v>
      </c>
      <c r="I170" s="9">
        <v>0.0</v>
      </c>
      <c r="J170" s="17">
        <v>-2704.0</v>
      </c>
      <c r="K170" s="18">
        <v>-2704.0</v>
      </c>
      <c r="L170" s="17">
        <v>-2704.0</v>
      </c>
      <c r="M170" s="18">
        <v>-2704.0</v>
      </c>
      <c r="N170" s="18">
        <v>0.0</v>
      </c>
      <c r="O170" s="18">
        <v>166.318</v>
      </c>
      <c r="P170" s="4"/>
    </row>
    <row r="171">
      <c r="A171" s="8" t="s">
        <v>176</v>
      </c>
      <c r="B171" s="9">
        <v>40.0</v>
      </c>
      <c r="C171" s="9" t="s">
        <v>8</v>
      </c>
      <c r="D171" s="9">
        <v>75.0</v>
      </c>
      <c r="E171" s="10">
        <v>0.6</v>
      </c>
      <c r="F171" s="9">
        <v>4.0</v>
      </c>
      <c r="G171" s="9">
        <v>1.0</v>
      </c>
      <c r="H171" s="9">
        <v>0.0</v>
      </c>
      <c r="I171" s="9">
        <v>0.0</v>
      </c>
      <c r="J171" s="17">
        <v>7443.0</v>
      </c>
      <c r="K171" s="18">
        <v>-2678.01</v>
      </c>
      <c r="L171" s="17">
        <v>-2662.0</v>
      </c>
      <c r="M171" s="18">
        <v>-2662.0</v>
      </c>
      <c r="N171" s="18">
        <v>0.0</v>
      </c>
      <c r="O171" s="18">
        <v>1739.97</v>
      </c>
      <c r="P171" s="4"/>
    </row>
    <row r="172">
      <c r="A172" s="8" t="s">
        <v>177</v>
      </c>
      <c r="B172" s="9">
        <v>40.0</v>
      </c>
      <c r="C172" s="9" t="s">
        <v>8</v>
      </c>
      <c r="D172" s="9">
        <v>75.0</v>
      </c>
      <c r="E172" s="10">
        <v>0.6</v>
      </c>
      <c r="F172" s="9">
        <v>5.0</v>
      </c>
      <c r="G172" s="9">
        <v>1.0</v>
      </c>
      <c r="H172" s="9">
        <v>0.0</v>
      </c>
      <c r="I172" s="9">
        <v>0.0</v>
      </c>
      <c r="J172" s="17">
        <v>7133.0</v>
      </c>
      <c r="K172" s="18">
        <v>-3001.67</v>
      </c>
      <c r="L172" s="17">
        <v>-2997.0</v>
      </c>
      <c r="M172" s="18">
        <v>-2997.0</v>
      </c>
      <c r="N172" s="18">
        <v>0.0</v>
      </c>
      <c r="O172" s="18">
        <v>1282.64</v>
      </c>
      <c r="P172" s="4"/>
    </row>
    <row r="173">
      <c r="A173" s="8" t="s">
        <v>178</v>
      </c>
      <c r="B173" s="9">
        <v>40.0</v>
      </c>
      <c r="C173" s="9" t="s">
        <v>8</v>
      </c>
      <c r="D173" s="9">
        <v>75.0</v>
      </c>
      <c r="E173" s="10">
        <v>1.0</v>
      </c>
      <c r="F173" s="9">
        <v>1.0</v>
      </c>
      <c r="G173" s="9">
        <v>1.0</v>
      </c>
      <c r="H173" s="9">
        <v>0.0</v>
      </c>
      <c r="I173" s="9">
        <v>0.0</v>
      </c>
      <c r="J173" s="17">
        <v>8384.0</v>
      </c>
      <c r="K173" s="18">
        <v>-2377.19</v>
      </c>
      <c r="L173" s="17">
        <v>-2350.0</v>
      </c>
      <c r="M173" s="18">
        <v>-2350.0</v>
      </c>
      <c r="N173" s="18">
        <v>0.0</v>
      </c>
      <c r="O173" s="18">
        <v>323.435</v>
      </c>
      <c r="P173" s="4"/>
    </row>
    <row r="174">
      <c r="A174" s="8" t="s">
        <v>179</v>
      </c>
      <c r="B174" s="9">
        <v>40.0</v>
      </c>
      <c r="C174" s="9" t="s">
        <v>8</v>
      </c>
      <c r="D174" s="9">
        <v>75.0</v>
      </c>
      <c r="E174" s="10">
        <v>1.0</v>
      </c>
      <c r="F174" s="9">
        <v>2.0</v>
      </c>
      <c r="G174" s="9">
        <v>1.0</v>
      </c>
      <c r="H174" s="9">
        <v>0.0</v>
      </c>
      <c r="I174" s="9">
        <v>0.0</v>
      </c>
      <c r="J174" s="17">
        <v>7958.0</v>
      </c>
      <c r="K174" s="18">
        <v>-2370.5</v>
      </c>
      <c r="L174" s="17">
        <v>-2362.0</v>
      </c>
      <c r="M174" s="18">
        <v>-2362.0</v>
      </c>
      <c r="N174" s="18">
        <v>0.0</v>
      </c>
      <c r="O174" s="18">
        <v>129.414</v>
      </c>
      <c r="P174" s="4"/>
    </row>
    <row r="175">
      <c r="A175" s="8" t="s">
        <v>180</v>
      </c>
      <c r="B175" s="9">
        <v>40.0</v>
      </c>
      <c r="C175" s="9" t="s">
        <v>8</v>
      </c>
      <c r="D175" s="9">
        <v>75.0</v>
      </c>
      <c r="E175" s="10">
        <v>1.0</v>
      </c>
      <c r="F175" s="9">
        <v>3.0</v>
      </c>
      <c r="G175" s="9">
        <v>1.0</v>
      </c>
      <c r="H175" s="9">
        <v>0.0</v>
      </c>
      <c r="I175" s="9">
        <v>0.0</v>
      </c>
      <c r="J175" s="17">
        <v>7449.0</v>
      </c>
      <c r="K175" s="18">
        <v>-2448.71</v>
      </c>
      <c r="L175" s="17">
        <v>-2391.0</v>
      </c>
      <c r="M175" s="18">
        <v>-2391.0</v>
      </c>
      <c r="N175" s="18">
        <v>0.0</v>
      </c>
      <c r="O175" s="18">
        <v>525.319</v>
      </c>
      <c r="P175" s="4"/>
    </row>
    <row r="176">
      <c r="A176" s="8" t="s">
        <v>181</v>
      </c>
      <c r="B176" s="9">
        <v>40.0</v>
      </c>
      <c r="C176" s="9" t="s">
        <v>8</v>
      </c>
      <c r="D176" s="9">
        <v>75.0</v>
      </c>
      <c r="E176" s="10">
        <v>1.0</v>
      </c>
      <c r="F176" s="9">
        <v>4.0</v>
      </c>
      <c r="G176" s="9">
        <v>1.0</v>
      </c>
      <c r="H176" s="9">
        <v>0.0</v>
      </c>
      <c r="I176" s="9">
        <v>0.0</v>
      </c>
      <c r="J176" s="17">
        <v>7683.0</v>
      </c>
      <c r="K176" s="18">
        <v>-2408.5</v>
      </c>
      <c r="L176" s="17">
        <v>-2382.0</v>
      </c>
      <c r="M176" s="18">
        <v>-2382.0</v>
      </c>
      <c r="N176" s="18">
        <v>0.0</v>
      </c>
      <c r="O176" s="18">
        <v>337.543</v>
      </c>
      <c r="P176" s="4"/>
    </row>
    <row r="177">
      <c r="A177" s="8" t="s">
        <v>182</v>
      </c>
      <c r="B177" s="9">
        <v>40.0</v>
      </c>
      <c r="C177" s="9" t="s">
        <v>8</v>
      </c>
      <c r="D177" s="9">
        <v>75.0</v>
      </c>
      <c r="E177" s="10">
        <v>1.0</v>
      </c>
      <c r="F177" s="9">
        <v>5.0</v>
      </c>
      <c r="G177" s="9">
        <v>1.0</v>
      </c>
      <c r="H177" s="9">
        <v>0.0</v>
      </c>
      <c r="I177" s="9">
        <v>0.0</v>
      </c>
      <c r="J177" s="17">
        <v>7973.0</v>
      </c>
      <c r="K177" s="18">
        <v>-2471.4</v>
      </c>
      <c r="L177" s="17">
        <v>-2402.0</v>
      </c>
      <c r="M177" s="18">
        <v>-2402.0</v>
      </c>
      <c r="N177" s="18">
        <v>0.0</v>
      </c>
      <c r="O177" s="18">
        <v>1351.67</v>
      </c>
      <c r="P177" s="4"/>
    </row>
    <row r="178">
      <c r="A178" s="8" t="s">
        <v>183</v>
      </c>
      <c r="B178" s="9">
        <v>40.0</v>
      </c>
      <c r="C178" s="9" t="s">
        <v>8</v>
      </c>
      <c r="D178" s="9">
        <v>75.0</v>
      </c>
      <c r="E178" s="10">
        <v>2.0</v>
      </c>
      <c r="F178" s="9">
        <v>1.0</v>
      </c>
      <c r="G178" s="9">
        <v>1.0</v>
      </c>
      <c r="H178" s="9">
        <v>0.0</v>
      </c>
      <c r="I178" s="9">
        <v>0.0</v>
      </c>
      <c r="J178" s="17">
        <v>10664.0</v>
      </c>
      <c r="K178" s="18">
        <v>-1006.46</v>
      </c>
      <c r="L178" s="17">
        <v>-969.0</v>
      </c>
      <c r="M178" s="18">
        <v>-969.0</v>
      </c>
      <c r="N178" s="18">
        <v>0.0</v>
      </c>
      <c r="O178" s="18">
        <v>109.755</v>
      </c>
      <c r="P178" s="4"/>
    </row>
    <row r="179">
      <c r="A179" s="8" t="s">
        <v>184</v>
      </c>
      <c r="B179" s="9">
        <v>40.0</v>
      </c>
      <c r="C179" s="9" t="s">
        <v>8</v>
      </c>
      <c r="D179" s="9">
        <v>75.0</v>
      </c>
      <c r="E179" s="10">
        <v>2.0</v>
      </c>
      <c r="F179" s="9">
        <v>2.0</v>
      </c>
      <c r="G179" s="9">
        <v>1.0</v>
      </c>
      <c r="H179" s="9">
        <v>0.0</v>
      </c>
      <c r="I179" s="9">
        <v>0.0</v>
      </c>
      <c r="J179" s="17">
        <v>9638.0</v>
      </c>
      <c r="K179" s="18">
        <v>-1224.97</v>
      </c>
      <c r="L179" s="17">
        <v>-1187.0</v>
      </c>
      <c r="M179" s="18">
        <v>-1187.0</v>
      </c>
      <c r="N179" s="18">
        <v>0.0</v>
      </c>
      <c r="O179" s="18">
        <v>47.632</v>
      </c>
      <c r="P179" s="4"/>
    </row>
    <row r="180">
      <c r="A180" s="8" t="s">
        <v>185</v>
      </c>
      <c r="B180" s="9">
        <v>40.0</v>
      </c>
      <c r="C180" s="9" t="s">
        <v>8</v>
      </c>
      <c r="D180" s="9">
        <v>75.0</v>
      </c>
      <c r="E180" s="10">
        <v>2.0</v>
      </c>
      <c r="F180" s="9">
        <v>3.0</v>
      </c>
      <c r="G180" s="9">
        <v>1.0</v>
      </c>
      <c r="H180" s="9">
        <v>0.0</v>
      </c>
      <c r="I180" s="9">
        <v>0.0</v>
      </c>
      <c r="J180" s="17">
        <v>-1607.0</v>
      </c>
      <c r="K180" s="18">
        <v>-1607.0</v>
      </c>
      <c r="L180" s="17">
        <v>-1607.0</v>
      </c>
      <c r="M180" s="18">
        <v>-1607.0</v>
      </c>
      <c r="N180" s="18">
        <v>0.0</v>
      </c>
      <c r="O180" s="18">
        <v>1.709</v>
      </c>
      <c r="P180" s="4"/>
    </row>
    <row r="181">
      <c r="A181" s="8" t="s">
        <v>186</v>
      </c>
      <c r="B181" s="9">
        <v>40.0</v>
      </c>
      <c r="C181" s="9" t="s">
        <v>8</v>
      </c>
      <c r="D181" s="9">
        <v>75.0</v>
      </c>
      <c r="E181" s="10">
        <v>2.0</v>
      </c>
      <c r="F181" s="9">
        <v>4.0</v>
      </c>
      <c r="G181" s="9">
        <v>1.0</v>
      </c>
      <c r="H181" s="9">
        <v>0.0</v>
      </c>
      <c r="I181" s="9">
        <v>0.0</v>
      </c>
      <c r="J181" s="17">
        <v>9523.0</v>
      </c>
      <c r="K181" s="18">
        <v>-1172.02</v>
      </c>
      <c r="L181" s="17">
        <v>-1134.0</v>
      </c>
      <c r="M181" s="18">
        <v>-1134.0</v>
      </c>
      <c r="N181" s="18">
        <v>0.0</v>
      </c>
      <c r="O181" s="18">
        <v>70.507</v>
      </c>
      <c r="P181" s="4"/>
    </row>
    <row r="182">
      <c r="A182" s="8" t="s">
        <v>187</v>
      </c>
      <c r="B182" s="9">
        <v>40.0</v>
      </c>
      <c r="C182" s="9" t="s">
        <v>8</v>
      </c>
      <c r="D182" s="9">
        <v>75.0</v>
      </c>
      <c r="E182" s="10">
        <v>2.0</v>
      </c>
      <c r="F182" s="9">
        <v>5.0</v>
      </c>
      <c r="G182" s="9">
        <v>1.0</v>
      </c>
      <c r="H182" s="9">
        <v>0.0</v>
      </c>
      <c r="I182" s="9">
        <v>0.0</v>
      </c>
      <c r="J182" s="17">
        <v>14853.0</v>
      </c>
      <c r="K182" s="18">
        <v>278.513</v>
      </c>
      <c r="L182" s="17">
        <v>385.0</v>
      </c>
      <c r="M182" s="18">
        <v>385.0</v>
      </c>
      <c r="N182" s="18">
        <v>0.0</v>
      </c>
      <c r="O182" s="18">
        <v>2260.62</v>
      </c>
      <c r="P182" s="4"/>
    </row>
    <row r="183">
      <c r="A183" s="8" t="s">
        <v>188</v>
      </c>
      <c r="B183" s="9">
        <v>45.0</v>
      </c>
      <c r="C183" s="9" t="s">
        <v>8</v>
      </c>
      <c r="D183" s="9">
        <v>25.0</v>
      </c>
      <c r="E183" s="10">
        <v>0.6</v>
      </c>
      <c r="F183" s="9">
        <v>1.0</v>
      </c>
      <c r="G183" s="9">
        <v>1.0</v>
      </c>
      <c r="H183" s="9">
        <v>0.0</v>
      </c>
      <c r="I183" s="9">
        <v>0.0</v>
      </c>
      <c r="J183" s="17">
        <v>-1858.0</v>
      </c>
      <c r="K183" s="18">
        <v>-1858.0</v>
      </c>
      <c r="L183" s="17">
        <v>-1858.0</v>
      </c>
      <c r="M183" s="18">
        <v>-1858.0</v>
      </c>
      <c r="N183" s="18">
        <v>0.0</v>
      </c>
      <c r="O183" s="18">
        <v>267.273</v>
      </c>
      <c r="P183" s="4"/>
    </row>
    <row r="184">
      <c r="A184" s="8" t="s">
        <v>189</v>
      </c>
      <c r="B184" s="9">
        <v>45.0</v>
      </c>
      <c r="C184" s="9" t="s">
        <v>8</v>
      </c>
      <c r="D184" s="9">
        <v>25.0</v>
      </c>
      <c r="E184" s="10">
        <v>0.6</v>
      </c>
      <c r="F184" s="9">
        <v>2.0</v>
      </c>
      <c r="G184" s="9">
        <v>1.0</v>
      </c>
      <c r="H184" s="9">
        <v>0.0</v>
      </c>
      <c r="I184" s="9">
        <v>0.0</v>
      </c>
      <c r="J184" s="17">
        <v>-1728.0</v>
      </c>
      <c r="K184" s="18">
        <v>-1728.0</v>
      </c>
      <c r="L184" s="17">
        <v>-1728.0</v>
      </c>
      <c r="M184" s="18">
        <v>-1728.0</v>
      </c>
      <c r="N184" s="18">
        <v>0.0</v>
      </c>
      <c r="O184" s="18">
        <v>68.414</v>
      </c>
      <c r="P184" s="4"/>
    </row>
    <row r="185">
      <c r="A185" s="8" t="s">
        <v>190</v>
      </c>
      <c r="B185" s="9">
        <v>45.0</v>
      </c>
      <c r="C185" s="9" t="s">
        <v>8</v>
      </c>
      <c r="D185" s="9">
        <v>25.0</v>
      </c>
      <c r="E185" s="10">
        <v>0.6</v>
      </c>
      <c r="F185" s="9">
        <v>3.0</v>
      </c>
      <c r="G185" s="9">
        <v>1.0</v>
      </c>
      <c r="H185" s="9">
        <v>0.0</v>
      </c>
      <c r="I185" s="9">
        <v>0.0</v>
      </c>
      <c r="J185" s="17">
        <v>3088.0</v>
      </c>
      <c r="K185" s="18">
        <v>-1762.25</v>
      </c>
      <c r="L185" s="17">
        <v>-1756.0</v>
      </c>
      <c r="M185" s="18">
        <v>-1756.0</v>
      </c>
      <c r="N185" s="18">
        <v>0.0</v>
      </c>
      <c r="O185" s="18">
        <v>322.762</v>
      </c>
      <c r="P185" s="4"/>
    </row>
    <row r="186">
      <c r="A186" s="8" t="s">
        <v>191</v>
      </c>
      <c r="B186" s="9">
        <v>45.0</v>
      </c>
      <c r="C186" s="9" t="s">
        <v>8</v>
      </c>
      <c r="D186" s="9">
        <v>25.0</v>
      </c>
      <c r="E186" s="10">
        <v>0.6</v>
      </c>
      <c r="F186" s="9">
        <v>4.0</v>
      </c>
      <c r="G186" s="9">
        <v>1.0</v>
      </c>
      <c r="H186" s="9">
        <v>0.0</v>
      </c>
      <c r="I186" s="9">
        <v>0.0</v>
      </c>
      <c r="J186" s="17">
        <v>-1944.0</v>
      </c>
      <c r="K186" s="18">
        <v>-1944.0</v>
      </c>
      <c r="L186" s="17">
        <v>-1944.0</v>
      </c>
      <c r="M186" s="18">
        <v>-1944.0</v>
      </c>
      <c r="N186" s="18">
        <v>0.0</v>
      </c>
      <c r="O186" s="18">
        <v>208.569</v>
      </c>
      <c r="P186" s="4"/>
    </row>
    <row r="187">
      <c r="A187" s="8" t="s">
        <v>192</v>
      </c>
      <c r="B187" s="9">
        <v>45.0</v>
      </c>
      <c r="C187" s="9" t="s">
        <v>8</v>
      </c>
      <c r="D187" s="9">
        <v>25.0</v>
      </c>
      <c r="E187" s="10">
        <v>0.6</v>
      </c>
      <c r="F187" s="9">
        <v>5.0</v>
      </c>
      <c r="G187" s="9">
        <v>1.0</v>
      </c>
      <c r="H187" s="9">
        <v>0.0</v>
      </c>
      <c r="I187" s="9">
        <v>0.0</v>
      </c>
      <c r="J187" s="17">
        <v>3028.0</v>
      </c>
      <c r="K187" s="18">
        <v>-1756.0</v>
      </c>
      <c r="L187" s="17">
        <v>-1753.0</v>
      </c>
      <c r="M187" s="18">
        <v>-1753.0</v>
      </c>
      <c r="N187" s="18">
        <v>0.0</v>
      </c>
      <c r="O187" s="18">
        <v>449.051</v>
      </c>
      <c r="P187" s="4"/>
    </row>
    <row r="188">
      <c r="A188" s="8" t="s">
        <v>193</v>
      </c>
      <c r="B188" s="9">
        <v>45.0</v>
      </c>
      <c r="C188" s="9" t="s">
        <v>8</v>
      </c>
      <c r="D188" s="9">
        <v>25.0</v>
      </c>
      <c r="E188" s="10">
        <v>1.0</v>
      </c>
      <c r="F188" s="9">
        <v>1.0</v>
      </c>
      <c r="G188" s="9">
        <v>1.0</v>
      </c>
      <c r="H188" s="9">
        <v>0.0</v>
      </c>
      <c r="I188" s="9">
        <v>0.0</v>
      </c>
      <c r="J188" s="17">
        <v>3293.0</v>
      </c>
      <c r="K188" s="18">
        <v>-1711.64</v>
      </c>
      <c r="L188" s="17">
        <v>-1702.0</v>
      </c>
      <c r="M188" s="18">
        <v>-1702.0</v>
      </c>
      <c r="N188" s="18">
        <v>0.0</v>
      </c>
      <c r="O188" s="18">
        <v>217.36</v>
      </c>
      <c r="P188" s="4"/>
    </row>
    <row r="189">
      <c r="A189" s="8" t="s">
        <v>194</v>
      </c>
      <c r="B189" s="9">
        <v>45.0</v>
      </c>
      <c r="C189" s="9" t="s">
        <v>8</v>
      </c>
      <c r="D189" s="9">
        <v>25.0</v>
      </c>
      <c r="E189" s="10">
        <v>1.0</v>
      </c>
      <c r="F189" s="9">
        <v>2.0</v>
      </c>
      <c r="G189" s="9">
        <v>1.0</v>
      </c>
      <c r="H189" s="9">
        <v>0.0</v>
      </c>
      <c r="I189" s="9">
        <v>0.0</v>
      </c>
      <c r="J189" s="17">
        <v>3165.0</v>
      </c>
      <c r="K189" s="18">
        <v>-1586.0</v>
      </c>
      <c r="L189" s="17">
        <v>-1560.0</v>
      </c>
      <c r="M189" s="18">
        <v>-1560.0</v>
      </c>
      <c r="N189" s="18">
        <v>0.0</v>
      </c>
      <c r="O189" s="18">
        <v>248.42</v>
      </c>
      <c r="P189" s="4"/>
    </row>
    <row r="190">
      <c r="A190" s="8" t="s">
        <v>195</v>
      </c>
      <c r="B190" s="9">
        <v>45.0</v>
      </c>
      <c r="C190" s="9" t="s">
        <v>8</v>
      </c>
      <c r="D190" s="9">
        <v>25.0</v>
      </c>
      <c r="E190" s="10">
        <v>1.0</v>
      </c>
      <c r="F190" s="9">
        <v>3.0</v>
      </c>
      <c r="G190" s="9">
        <v>1.0</v>
      </c>
      <c r="H190" s="9">
        <v>0.0</v>
      </c>
      <c r="I190" s="9">
        <v>0.0</v>
      </c>
      <c r="J190" s="17">
        <v>3178.0</v>
      </c>
      <c r="K190" s="18">
        <v>-1623.0</v>
      </c>
      <c r="L190" s="17">
        <v>-1620.0</v>
      </c>
      <c r="M190" s="18">
        <v>-1620.0</v>
      </c>
      <c r="N190" s="18">
        <v>0.0</v>
      </c>
      <c r="O190" s="18">
        <v>68.753</v>
      </c>
      <c r="P190" s="4"/>
    </row>
    <row r="191">
      <c r="A191" s="8" t="s">
        <v>196</v>
      </c>
      <c r="B191" s="9">
        <v>45.0</v>
      </c>
      <c r="C191" s="9" t="s">
        <v>8</v>
      </c>
      <c r="D191" s="9">
        <v>25.0</v>
      </c>
      <c r="E191" s="10">
        <v>1.0</v>
      </c>
      <c r="F191" s="9">
        <v>4.0</v>
      </c>
      <c r="G191" s="9">
        <v>1.0</v>
      </c>
      <c r="H191" s="9">
        <v>0.0</v>
      </c>
      <c r="I191" s="9">
        <v>0.0</v>
      </c>
      <c r="J191" s="17">
        <v>3415.0</v>
      </c>
      <c r="K191" s="18">
        <v>-1782.45</v>
      </c>
      <c r="L191" s="17">
        <v>-1758.0</v>
      </c>
      <c r="M191" s="18">
        <v>-1758.0</v>
      </c>
      <c r="N191" s="18">
        <v>0.0</v>
      </c>
      <c r="O191" s="18">
        <v>754.623</v>
      </c>
      <c r="P191" s="4"/>
    </row>
    <row r="192">
      <c r="A192" s="8" t="s">
        <v>197</v>
      </c>
      <c r="B192" s="9">
        <v>45.0</v>
      </c>
      <c r="C192" s="9" t="s">
        <v>8</v>
      </c>
      <c r="D192" s="9">
        <v>25.0</v>
      </c>
      <c r="E192" s="10">
        <v>1.0</v>
      </c>
      <c r="F192" s="9">
        <v>5.0</v>
      </c>
      <c r="G192" s="9">
        <v>1.0</v>
      </c>
      <c r="H192" s="9">
        <v>0.0</v>
      </c>
      <c r="I192" s="9">
        <v>0.0</v>
      </c>
      <c r="J192" s="17">
        <v>-1656.0</v>
      </c>
      <c r="K192" s="18">
        <v>-1656.0</v>
      </c>
      <c r="L192" s="17">
        <v>-1656.0</v>
      </c>
      <c r="M192" s="18">
        <v>-1656.0</v>
      </c>
      <c r="N192" s="18">
        <v>0.0</v>
      </c>
      <c r="O192" s="18">
        <v>21.094</v>
      </c>
      <c r="P192" s="4"/>
    </row>
    <row r="193">
      <c r="A193" s="8" t="s">
        <v>198</v>
      </c>
      <c r="B193" s="9">
        <v>45.0</v>
      </c>
      <c r="C193" s="9" t="s">
        <v>8</v>
      </c>
      <c r="D193" s="9">
        <v>25.0</v>
      </c>
      <c r="E193" s="10">
        <v>2.0</v>
      </c>
      <c r="F193" s="9">
        <v>1.0</v>
      </c>
      <c r="G193" s="9">
        <v>1.0</v>
      </c>
      <c r="H193" s="9">
        <v>0.0</v>
      </c>
      <c r="I193" s="9">
        <v>0.0</v>
      </c>
      <c r="J193" s="17">
        <v>3968.0</v>
      </c>
      <c r="K193" s="18">
        <v>-1204.67</v>
      </c>
      <c r="L193" s="17">
        <v>-1197.0</v>
      </c>
      <c r="M193" s="18">
        <v>-1197.0</v>
      </c>
      <c r="N193" s="18">
        <v>0.0</v>
      </c>
      <c r="O193" s="18">
        <v>19.777</v>
      </c>
      <c r="P193" s="4"/>
    </row>
    <row r="194">
      <c r="A194" s="8" t="s">
        <v>199</v>
      </c>
      <c r="B194" s="9">
        <v>45.0</v>
      </c>
      <c r="C194" s="9" t="s">
        <v>8</v>
      </c>
      <c r="D194" s="9">
        <v>25.0</v>
      </c>
      <c r="E194" s="10">
        <v>2.0</v>
      </c>
      <c r="F194" s="9">
        <v>2.0</v>
      </c>
      <c r="G194" s="9">
        <v>1.0</v>
      </c>
      <c r="H194" s="9">
        <v>0.0</v>
      </c>
      <c r="I194" s="9">
        <v>0.0</v>
      </c>
      <c r="J194" s="17">
        <v>4335.0</v>
      </c>
      <c r="K194" s="18">
        <v>-960.5</v>
      </c>
      <c r="L194" s="17">
        <v>-945.0</v>
      </c>
      <c r="M194" s="18">
        <v>-945.0</v>
      </c>
      <c r="N194" s="18">
        <v>0.0</v>
      </c>
      <c r="O194" s="18">
        <v>18.564</v>
      </c>
      <c r="P194" s="4"/>
    </row>
    <row r="195">
      <c r="A195" s="8" t="s">
        <v>200</v>
      </c>
      <c r="B195" s="9">
        <v>45.0</v>
      </c>
      <c r="C195" s="9" t="s">
        <v>8</v>
      </c>
      <c r="D195" s="9">
        <v>25.0</v>
      </c>
      <c r="E195" s="10">
        <v>2.0</v>
      </c>
      <c r="F195" s="9">
        <v>3.0</v>
      </c>
      <c r="G195" s="9">
        <v>1.0</v>
      </c>
      <c r="H195" s="9">
        <v>0.0</v>
      </c>
      <c r="I195" s="9">
        <v>0.0</v>
      </c>
      <c r="J195" s="17">
        <v>3808.0</v>
      </c>
      <c r="K195" s="18">
        <v>-1150.43</v>
      </c>
      <c r="L195" s="17">
        <v>-1139.0</v>
      </c>
      <c r="M195" s="18">
        <v>-1139.0</v>
      </c>
      <c r="N195" s="18">
        <v>0.0</v>
      </c>
      <c r="O195" s="18">
        <v>14.241</v>
      </c>
      <c r="P195" s="4"/>
    </row>
    <row r="196">
      <c r="A196" s="8" t="s">
        <v>201</v>
      </c>
      <c r="B196" s="9">
        <v>45.0</v>
      </c>
      <c r="C196" s="9" t="s">
        <v>8</v>
      </c>
      <c r="D196" s="9">
        <v>25.0</v>
      </c>
      <c r="E196" s="10">
        <v>2.0</v>
      </c>
      <c r="F196" s="9">
        <v>4.0</v>
      </c>
      <c r="G196" s="9">
        <v>1.0</v>
      </c>
      <c r="H196" s="9">
        <v>0.0</v>
      </c>
      <c r="I196" s="9">
        <v>0.0</v>
      </c>
      <c r="J196" s="17">
        <v>5485.0</v>
      </c>
      <c r="K196" s="18">
        <v>-878.541</v>
      </c>
      <c r="L196" s="17">
        <v>-857.0</v>
      </c>
      <c r="M196" s="18">
        <v>-857.0</v>
      </c>
      <c r="N196" s="18">
        <v>0.0</v>
      </c>
      <c r="O196" s="18">
        <v>39.886</v>
      </c>
      <c r="P196" s="4"/>
    </row>
    <row r="197">
      <c r="A197" s="8" t="s">
        <v>202</v>
      </c>
      <c r="B197" s="9">
        <v>45.0</v>
      </c>
      <c r="C197" s="9" t="s">
        <v>8</v>
      </c>
      <c r="D197" s="9">
        <v>25.0</v>
      </c>
      <c r="E197" s="10">
        <v>2.0</v>
      </c>
      <c r="F197" s="9">
        <v>5.0</v>
      </c>
      <c r="G197" s="9">
        <v>1.0</v>
      </c>
      <c r="H197" s="9">
        <v>0.0</v>
      </c>
      <c r="I197" s="9">
        <v>0.0</v>
      </c>
      <c r="J197" s="17">
        <v>3118.0</v>
      </c>
      <c r="K197" s="18">
        <v>-1345.67</v>
      </c>
      <c r="L197" s="17">
        <v>-1345.0</v>
      </c>
      <c r="M197" s="18">
        <v>-1345.0</v>
      </c>
      <c r="N197" s="18">
        <v>0.0</v>
      </c>
      <c r="O197" s="18">
        <v>7.345</v>
      </c>
      <c r="P197" s="4"/>
    </row>
    <row r="198">
      <c r="A198" s="8" t="s">
        <v>203</v>
      </c>
      <c r="B198" s="9">
        <v>45.0</v>
      </c>
      <c r="C198" s="9" t="s">
        <v>8</v>
      </c>
      <c r="D198" s="9">
        <v>50.0</v>
      </c>
      <c r="E198" s="10">
        <v>0.6</v>
      </c>
      <c r="F198" s="9">
        <v>1.0</v>
      </c>
      <c r="G198" s="9">
        <v>0.0</v>
      </c>
      <c r="H198" s="9">
        <v>1.0</v>
      </c>
      <c r="I198" s="9">
        <v>0.0</v>
      </c>
      <c r="J198" s="17">
        <v>6423.0</v>
      </c>
      <c r="K198" s="18">
        <v>-2644.03</v>
      </c>
      <c r="L198" s="17">
        <v>-2617.0</v>
      </c>
      <c r="M198" s="18">
        <v>-2628.5</v>
      </c>
      <c r="N198" s="18">
        <v>0.439434</v>
      </c>
      <c r="O198" s="18">
        <v>3600.0</v>
      </c>
      <c r="P198" s="4"/>
    </row>
    <row r="199">
      <c r="A199" s="8" t="s">
        <v>204</v>
      </c>
      <c r="B199" s="9">
        <v>45.0</v>
      </c>
      <c r="C199" s="9" t="s">
        <v>8</v>
      </c>
      <c r="D199" s="9">
        <v>50.0</v>
      </c>
      <c r="E199" s="10">
        <v>0.6</v>
      </c>
      <c r="F199" s="9">
        <v>2.0</v>
      </c>
      <c r="G199" s="9">
        <v>1.0</v>
      </c>
      <c r="H199" s="9">
        <v>0.0</v>
      </c>
      <c r="I199" s="9">
        <v>0.0</v>
      </c>
      <c r="J199" s="17">
        <v>6601.0</v>
      </c>
      <c r="K199" s="18">
        <v>-2743.67</v>
      </c>
      <c r="L199" s="17">
        <v>-2743.0</v>
      </c>
      <c r="M199" s="18">
        <v>-2743.0</v>
      </c>
      <c r="N199" s="18">
        <v>0.0</v>
      </c>
      <c r="O199" s="18">
        <v>1036.49</v>
      </c>
      <c r="P199" s="4"/>
    </row>
    <row r="200">
      <c r="A200" s="8" t="s">
        <v>205</v>
      </c>
      <c r="B200" s="9">
        <v>45.0</v>
      </c>
      <c r="C200" s="9" t="s">
        <v>8</v>
      </c>
      <c r="D200" s="9">
        <v>50.0</v>
      </c>
      <c r="E200" s="10">
        <v>0.6</v>
      </c>
      <c r="F200" s="9">
        <v>3.0</v>
      </c>
      <c r="G200" s="9">
        <v>1.0</v>
      </c>
      <c r="H200" s="9">
        <v>0.0</v>
      </c>
      <c r="I200" s="9">
        <v>0.0</v>
      </c>
      <c r="J200" s="17">
        <v>-2767.0</v>
      </c>
      <c r="K200" s="18">
        <v>-2767.0</v>
      </c>
      <c r="L200" s="17">
        <v>-2767.0</v>
      </c>
      <c r="M200" s="18">
        <v>-2767.0</v>
      </c>
      <c r="N200" s="18">
        <v>0.0</v>
      </c>
      <c r="O200" s="18">
        <v>330.657</v>
      </c>
      <c r="P200" s="4"/>
    </row>
    <row r="201">
      <c r="A201" s="8" t="s">
        <v>206</v>
      </c>
      <c r="B201" s="9">
        <v>45.0</v>
      </c>
      <c r="C201" s="9" t="s">
        <v>8</v>
      </c>
      <c r="D201" s="9">
        <v>50.0</v>
      </c>
      <c r="E201" s="10">
        <v>0.6</v>
      </c>
      <c r="F201" s="9">
        <v>4.0</v>
      </c>
      <c r="G201" s="9">
        <v>1.0</v>
      </c>
      <c r="H201" s="9">
        <v>0.0</v>
      </c>
      <c r="I201" s="9">
        <v>0.0</v>
      </c>
      <c r="J201" s="17">
        <v>5970.0</v>
      </c>
      <c r="K201" s="18">
        <v>-2510.1</v>
      </c>
      <c r="L201" s="17">
        <v>-2497.0</v>
      </c>
      <c r="M201" s="18">
        <v>-2497.0</v>
      </c>
      <c r="N201" s="18">
        <v>0.0</v>
      </c>
      <c r="O201" s="18">
        <v>1624.01</v>
      </c>
      <c r="P201" s="4"/>
    </row>
    <row r="202">
      <c r="A202" s="8" t="s">
        <v>207</v>
      </c>
      <c r="B202" s="9">
        <v>45.0</v>
      </c>
      <c r="C202" s="9" t="s">
        <v>8</v>
      </c>
      <c r="D202" s="9">
        <v>50.0</v>
      </c>
      <c r="E202" s="10">
        <v>0.6</v>
      </c>
      <c r="F202" s="9">
        <v>5.0</v>
      </c>
      <c r="G202" s="9">
        <v>1.0</v>
      </c>
      <c r="H202" s="9">
        <v>0.0</v>
      </c>
      <c r="I202" s="9">
        <v>0.0</v>
      </c>
      <c r="J202" s="17">
        <v>-2783.0</v>
      </c>
      <c r="K202" s="18">
        <v>-2783.0</v>
      </c>
      <c r="L202" s="17">
        <v>-2783.0</v>
      </c>
      <c r="M202" s="18">
        <v>-2783.0</v>
      </c>
      <c r="N202" s="18">
        <v>0.0</v>
      </c>
      <c r="O202" s="18">
        <v>1989.22</v>
      </c>
      <c r="P202" s="4"/>
    </row>
    <row r="203">
      <c r="A203" s="8" t="s">
        <v>208</v>
      </c>
      <c r="B203" s="9">
        <v>45.0</v>
      </c>
      <c r="C203" s="9" t="s">
        <v>8</v>
      </c>
      <c r="D203" s="9">
        <v>50.0</v>
      </c>
      <c r="E203" s="10">
        <v>1.0</v>
      </c>
      <c r="F203" s="9">
        <v>1.0</v>
      </c>
      <c r="G203" s="9">
        <v>1.0</v>
      </c>
      <c r="H203" s="9">
        <v>0.0</v>
      </c>
      <c r="I203" s="9">
        <v>0.0</v>
      </c>
      <c r="J203" s="17">
        <v>6468.0</v>
      </c>
      <c r="K203" s="18">
        <v>-2518.02</v>
      </c>
      <c r="L203" s="17">
        <v>-2496.0</v>
      </c>
      <c r="M203" s="18">
        <v>-2496.0</v>
      </c>
      <c r="N203" s="18">
        <v>0.0</v>
      </c>
      <c r="O203" s="18">
        <v>1035.01</v>
      </c>
      <c r="P203" s="4"/>
    </row>
    <row r="204">
      <c r="A204" s="8" t="s">
        <v>209</v>
      </c>
      <c r="B204" s="9">
        <v>45.0</v>
      </c>
      <c r="C204" s="9" t="s">
        <v>8</v>
      </c>
      <c r="D204" s="9">
        <v>50.0</v>
      </c>
      <c r="E204" s="10">
        <v>1.0</v>
      </c>
      <c r="F204" s="9">
        <v>2.0</v>
      </c>
      <c r="G204" s="9">
        <v>1.0</v>
      </c>
      <c r="H204" s="9">
        <v>0.0</v>
      </c>
      <c r="I204" s="9">
        <v>0.0</v>
      </c>
      <c r="J204" s="17">
        <v>6736.0</v>
      </c>
      <c r="K204" s="18">
        <v>-2582.0</v>
      </c>
      <c r="L204" s="17">
        <v>-2568.0</v>
      </c>
      <c r="M204" s="18">
        <v>-2568.0</v>
      </c>
      <c r="N204" s="18">
        <v>0.0</v>
      </c>
      <c r="O204" s="18">
        <v>349.634</v>
      </c>
      <c r="P204" s="4"/>
    </row>
    <row r="205">
      <c r="A205" s="8" t="s">
        <v>210</v>
      </c>
      <c r="B205" s="9">
        <v>45.0</v>
      </c>
      <c r="C205" s="9" t="s">
        <v>8</v>
      </c>
      <c r="D205" s="9">
        <v>50.0</v>
      </c>
      <c r="E205" s="10">
        <v>1.0</v>
      </c>
      <c r="F205" s="9">
        <v>3.0</v>
      </c>
      <c r="G205" s="9">
        <v>1.0</v>
      </c>
      <c r="H205" s="9">
        <v>0.0</v>
      </c>
      <c r="I205" s="9">
        <v>0.0</v>
      </c>
      <c r="J205" s="17">
        <v>6487.0</v>
      </c>
      <c r="K205" s="18">
        <v>-2457.94</v>
      </c>
      <c r="L205" s="17">
        <v>-2438.0</v>
      </c>
      <c r="M205" s="18">
        <v>-2438.0</v>
      </c>
      <c r="N205" s="18">
        <v>0.0</v>
      </c>
      <c r="O205" s="18">
        <v>563.767</v>
      </c>
      <c r="P205" s="4"/>
    </row>
    <row r="206">
      <c r="A206" s="8" t="s">
        <v>211</v>
      </c>
      <c r="B206" s="9">
        <v>45.0</v>
      </c>
      <c r="C206" s="9" t="s">
        <v>8</v>
      </c>
      <c r="D206" s="9">
        <v>50.0</v>
      </c>
      <c r="E206" s="10">
        <v>1.0</v>
      </c>
      <c r="F206" s="9">
        <v>4.0</v>
      </c>
      <c r="G206" s="9">
        <v>1.0</v>
      </c>
      <c r="H206" s="9">
        <v>0.0</v>
      </c>
      <c r="I206" s="9">
        <v>0.0</v>
      </c>
      <c r="J206" s="17">
        <v>-2360.0</v>
      </c>
      <c r="K206" s="18">
        <v>-2360.0</v>
      </c>
      <c r="L206" s="17">
        <v>-2360.0</v>
      </c>
      <c r="M206" s="18">
        <v>-2360.0</v>
      </c>
      <c r="N206" s="18">
        <v>0.0</v>
      </c>
      <c r="O206" s="18">
        <v>52.554</v>
      </c>
      <c r="P206" s="4"/>
    </row>
    <row r="207">
      <c r="A207" s="8" t="s">
        <v>212</v>
      </c>
      <c r="B207" s="9">
        <v>45.0</v>
      </c>
      <c r="C207" s="9" t="s">
        <v>8</v>
      </c>
      <c r="D207" s="9">
        <v>50.0</v>
      </c>
      <c r="E207" s="10">
        <v>1.0</v>
      </c>
      <c r="F207" s="9">
        <v>5.0</v>
      </c>
      <c r="G207" s="9">
        <v>1.0</v>
      </c>
      <c r="H207" s="9">
        <v>0.0</v>
      </c>
      <c r="I207" s="9">
        <v>0.0</v>
      </c>
      <c r="J207" s="17">
        <v>6767.0</v>
      </c>
      <c r="K207" s="18">
        <v>-2423.4</v>
      </c>
      <c r="L207" s="17">
        <v>-2388.0</v>
      </c>
      <c r="M207" s="18">
        <v>-2388.0</v>
      </c>
      <c r="N207" s="18">
        <v>0.0</v>
      </c>
      <c r="O207" s="18">
        <v>1595.83</v>
      </c>
      <c r="P207" s="4"/>
    </row>
    <row r="208">
      <c r="A208" s="8" t="s">
        <v>213</v>
      </c>
      <c r="B208" s="9">
        <v>45.0</v>
      </c>
      <c r="C208" s="9" t="s">
        <v>8</v>
      </c>
      <c r="D208" s="9">
        <v>50.0</v>
      </c>
      <c r="E208" s="10">
        <v>2.0</v>
      </c>
      <c r="F208" s="9">
        <v>1.0</v>
      </c>
      <c r="G208" s="9">
        <v>1.0</v>
      </c>
      <c r="H208" s="9">
        <v>0.0</v>
      </c>
      <c r="I208" s="9">
        <v>0.0</v>
      </c>
      <c r="J208" s="17">
        <v>7053.0</v>
      </c>
      <c r="K208" s="18">
        <v>-1775.07</v>
      </c>
      <c r="L208" s="17">
        <v>-1758.0</v>
      </c>
      <c r="M208" s="18">
        <v>-1758.0</v>
      </c>
      <c r="N208" s="18">
        <v>0.0</v>
      </c>
      <c r="O208" s="18">
        <v>29.524</v>
      </c>
      <c r="P208" s="4"/>
    </row>
    <row r="209">
      <c r="A209" s="8" t="s">
        <v>214</v>
      </c>
      <c r="B209" s="9">
        <v>45.0</v>
      </c>
      <c r="C209" s="9" t="s">
        <v>8</v>
      </c>
      <c r="D209" s="9">
        <v>50.0</v>
      </c>
      <c r="E209" s="10">
        <v>2.0</v>
      </c>
      <c r="F209" s="9">
        <v>2.0</v>
      </c>
      <c r="G209" s="9">
        <v>1.0</v>
      </c>
      <c r="H209" s="9">
        <v>0.0</v>
      </c>
      <c r="I209" s="9">
        <v>0.0</v>
      </c>
      <c r="J209" s="17">
        <v>7726.0</v>
      </c>
      <c r="K209" s="18">
        <v>-1676.33</v>
      </c>
      <c r="L209" s="17">
        <v>-1670.0</v>
      </c>
      <c r="M209" s="18">
        <v>-1670.0</v>
      </c>
      <c r="N209" s="18">
        <v>0.0</v>
      </c>
      <c r="O209" s="18">
        <v>6.621</v>
      </c>
      <c r="P209" s="4"/>
    </row>
    <row r="210">
      <c r="A210" s="8" t="s">
        <v>215</v>
      </c>
      <c r="B210" s="9">
        <v>45.0</v>
      </c>
      <c r="C210" s="9" t="s">
        <v>8</v>
      </c>
      <c r="D210" s="9">
        <v>50.0</v>
      </c>
      <c r="E210" s="10">
        <v>2.0</v>
      </c>
      <c r="F210" s="9">
        <v>3.0</v>
      </c>
      <c r="G210" s="9">
        <v>1.0</v>
      </c>
      <c r="H210" s="9">
        <v>0.0</v>
      </c>
      <c r="I210" s="9">
        <v>0.0</v>
      </c>
      <c r="J210" s="17">
        <v>8062.0</v>
      </c>
      <c r="K210" s="18">
        <v>-1468.61</v>
      </c>
      <c r="L210" s="17">
        <v>-1459.0</v>
      </c>
      <c r="M210" s="18">
        <v>-1459.0</v>
      </c>
      <c r="N210" s="18">
        <v>0.0</v>
      </c>
      <c r="O210" s="18">
        <v>26.478</v>
      </c>
      <c r="P210" s="4"/>
    </row>
    <row r="211">
      <c r="A211" s="8" t="s">
        <v>216</v>
      </c>
      <c r="B211" s="9">
        <v>45.0</v>
      </c>
      <c r="C211" s="9" t="s">
        <v>8</v>
      </c>
      <c r="D211" s="9">
        <v>50.0</v>
      </c>
      <c r="E211" s="10">
        <v>2.0</v>
      </c>
      <c r="F211" s="9">
        <v>4.0</v>
      </c>
      <c r="G211" s="9">
        <v>1.0</v>
      </c>
      <c r="H211" s="9">
        <v>0.0</v>
      </c>
      <c r="I211" s="9">
        <v>0.0</v>
      </c>
      <c r="J211" s="17">
        <v>7365.0</v>
      </c>
      <c r="K211" s="18">
        <v>-1356.37</v>
      </c>
      <c r="L211" s="17">
        <v>-1336.0</v>
      </c>
      <c r="M211" s="18">
        <v>-1336.0</v>
      </c>
      <c r="N211" s="18">
        <v>0.0</v>
      </c>
      <c r="O211" s="18">
        <v>29.996</v>
      </c>
      <c r="P211" s="4"/>
    </row>
    <row r="212">
      <c r="A212" s="8" t="s">
        <v>217</v>
      </c>
      <c r="B212" s="9">
        <v>45.0</v>
      </c>
      <c r="C212" s="9" t="s">
        <v>8</v>
      </c>
      <c r="D212" s="9">
        <v>50.0</v>
      </c>
      <c r="E212" s="10">
        <v>2.0</v>
      </c>
      <c r="F212" s="9">
        <v>5.0</v>
      </c>
      <c r="G212" s="9">
        <v>1.0</v>
      </c>
      <c r="H212" s="9">
        <v>0.0</v>
      </c>
      <c r="I212" s="9">
        <v>0.0</v>
      </c>
      <c r="J212" s="17">
        <v>10952.0</v>
      </c>
      <c r="K212" s="18">
        <v>-793.17</v>
      </c>
      <c r="L212" s="17">
        <v>-727.0</v>
      </c>
      <c r="M212" s="18">
        <v>-727.0</v>
      </c>
      <c r="N212" s="18">
        <v>0.0</v>
      </c>
      <c r="O212" s="18">
        <v>1530.33</v>
      </c>
      <c r="P212" s="4"/>
    </row>
    <row r="213">
      <c r="A213" s="8" t="s">
        <v>218</v>
      </c>
      <c r="B213" s="9">
        <v>45.0</v>
      </c>
      <c r="C213" s="9" t="s">
        <v>8</v>
      </c>
      <c r="D213" s="9">
        <v>75.0</v>
      </c>
      <c r="E213" s="10">
        <v>0.6</v>
      </c>
      <c r="F213" s="9">
        <v>1.0</v>
      </c>
      <c r="G213" s="9">
        <v>0.0</v>
      </c>
      <c r="H213" s="9">
        <v>1.0</v>
      </c>
      <c r="I213" s="9">
        <v>0.0</v>
      </c>
      <c r="J213" s="17">
        <v>-3476.0</v>
      </c>
      <c r="K213" s="18">
        <v>-3483.33</v>
      </c>
      <c r="L213" s="17">
        <v>-3476.0</v>
      </c>
      <c r="M213" s="18">
        <v>-3483.33</v>
      </c>
      <c r="N213" s="18">
        <v>0.211</v>
      </c>
      <c r="O213" s="18">
        <v>3600.0</v>
      </c>
      <c r="P213" s="4"/>
    </row>
    <row r="214">
      <c r="A214" s="8" t="s">
        <v>219</v>
      </c>
      <c r="B214" s="9">
        <v>45.0</v>
      </c>
      <c r="C214" s="9" t="s">
        <v>8</v>
      </c>
      <c r="D214" s="9">
        <v>75.0</v>
      </c>
      <c r="E214" s="10">
        <v>0.6</v>
      </c>
      <c r="F214" s="9">
        <v>2.0</v>
      </c>
      <c r="G214" s="9">
        <v>0.0</v>
      </c>
      <c r="H214" s="9">
        <v>1.0</v>
      </c>
      <c r="I214" s="9">
        <v>0.0</v>
      </c>
      <c r="J214" s="17">
        <v>9624.0</v>
      </c>
      <c r="K214" s="18">
        <v>-3204.37</v>
      </c>
      <c r="L214" s="17">
        <v>9624.0</v>
      </c>
      <c r="M214" s="18">
        <v>-3191.44</v>
      </c>
      <c r="N214" s="18">
        <v>133.2</v>
      </c>
      <c r="O214" s="18">
        <v>3600.0</v>
      </c>
      <c r="P214" s="4"/>
    </row>
    <row r="215">
      <c r="A215" s="8" t="s">
        <v>220</v>
      </c>
      <c r="B215" s="9">
        <v>45.0</v>
      </c>
      <c r="C215" s="9" t="s">
        <v>8</v>
      </c>
      <c r="D215" s="9">
        <v>75.0</v>
      </c>
      <c r="E215" s="10">
        <v>0.6</v>
      </c>
      <c r="F215" s="9">
        <v>3.0</v>
      </c>
      <c r="G215" s="9">
        <v>0.0</v>
      </c>
      <c r="H215" s="9">
        <v>1.0</v>
      </c>
      <c r="I215" s="9">
        <v>0.0</v>
      </c>
      <c r="J215" s="17">
        <v>9508.0</v>
      </c>
      <c r="K215" s="18">
        <v>-3437.69</v>
      </c>
      <c r="L215" s="17">
        <v>9508.0</v>
      </c>
      <c r="M215" s="18">
        <v>-3408.0</v>
      </c>
      <c r="N215" s="18">
        <v>135.8</v>
      </c>
      <c r="O215" s="18">
        <v>3600.0</v>
      </c>
      <c r="P215" s="4"/>
    </row>
    <row r="216">
      <c r="A216" s="8" t="s">
        <v>221</v>
      </c>
      <c r="B216" s="9">
        <v>45.0</v>
      </c>
      <c r="C216" s="9" t="s">
        <v>8</v>
      </c>
      <c r="D216" s="9">
        <v>75.0</v>
      </c>
      <c r="E216" s="10">
        <v>0.6</v>
      </c>
      <c r="F216" s="9">
        <v>4.0</v>
      </c>
      <c r="G216" s="9">
        <v>1.0</v>
      </c>
      <c r="H216" s="9">
        <v>0.0</v>
      </c>
      <c r="I216" s="9">
        <v>0.0</v>
      </c>
      <c r="J216" s="17">
        <v>-3543.0</v>
      </c>
      <c r="K216" s="18">
        <v>-3543.0</v>
      </c>
      <c r="L216" s="17">
        <v>-3543.0</v>
      </c>
      <c r="M216" s="18">
        <v>-3543.0</v>
      </c>
      <c r="N216" s="18">
        <v>0.0</v>
      </c>
      <c r="O216" s="18">
        <v>2333.97</v>
      </c>
      <c r="P216" s="4"/>
    </row>
    <row r="217">
      <c r="A217" s="8" t="s">
        <v>222</v>
      </c>
      <c r="B217" s="9">
        <v>45.0</v>
      </c>
      <c r="C217" s="9" t="s">
        <v>8</v>
      </c>
      <c r="D217" s="9">
        <v>75.0</v>
      </c>
      <c r="E217" s="10">
        <v>0.6</v>
      </c>
      <c r="F217" s="9">
        <v>5.0</v>
      </c>
      <c r="G217" s="9">
        <v>0.0</v>
      </c>
      <c r="H217" s="9">
        <v>1.0</v>
      </c>
      <c r="I217" s="9">
        <v>0.0</v>
      </c>
      <c r="J217" s="17">
        <v>9109.0</v>
      </c>
      <c r="K217" s="18">
        <v>-9543.0</v>
      </c>
      <c r="L217" s="17">
        <v>9109.0</v>
      </c>
      <c r="M217" s="18">
        <v>-9543.0</v>
      </c>
      <c r="N217" s="18">
        <v>204.7</v>
      </c>
      <c r="O217" s="18">
        <v>3600.0</v>
      </c>
      <c r="P217" s="4"/>
    </row>
    <row r="218">
      <c r="A218" s="8" t="s">
        <v>223</v>
      </c>
      <c r="B218" s="9">
        <v>45.0</v>
      </c>
      <c r="C218" s="9" t="s">
        <v>8</v>
      </c>
      <c r="D218" s="9">
        <v>75.0</v>
      </c>
      <c r="E218" s="10">
        <v>1.0</v>
      </c>
      <c r="F218" s="9">
        <v>1.0</v>
      </c>
      <c r="G218" s="9">
        <v>1.0</v>
      </c>
      <c r="H218" s="9">
        <v>0.0</v>
      </c>
      <c r="I218" s="9">
        <v>0.0</v>
      </c>
      <c r="J218" s="17">
        <v>9616.0</v>
      </c>
      <c r="K218" s="18">
        <v>-3091.98</v>
      </c>
      <c r="L218" s="17">
        <v>-3077.0</v>
      </c>
      <c r="M218" s="18">
        <v>-3077.0</v>
      </c>
      <c r="N218" s="18">
        <v>0.0</v>
      </c>
      <c r="O218" s="18">
        <v>729.211</v>
      </c>
      <c r="P218" s="4"/>
    </row>
    <row r="219">
      <c r="A219" s="8" t="s">
        <v>224</v>
      </c>
      <c r="B219" s="9">
        <v>45.0</v>
      </c>
      <c r="C219" s="9" t="s">
        <v>8</v>
      </c>
      <c r="D219" s="9">
        <v>75.0</v>
      </c>
      <c r="E219" s="10">
        <v>1.0</v>
      </c>
      <c r="F219" s="9">
        <v>2.0</v>
      </c>
      <c r="G219" s="9">
        <v>1.0</v>
      </c>
      <c r="H219" s="9">
        <v>0.0</v>
      </c>
      <c r="I219" s="9">
        <v>0.0</v>
      </c>
      <c r="J219" s="17">
        <v>9714.0</v>
      </c>
      <c r="K219" s="18">
        <v>-2947.8</v>
      </c>
      <c r="L219" s="17">
        <v>-2898.0</v>
      </c>
      <c r="M219" s="18">
        <v>-2898.0</v>
      </c>
      <c r="N219" s="18">
        <v>0.0</v>
      </c>
      <c r="O219" s="18">
        <v>2442.4</v>
      </c>
      <c r="P219" s="4"/>
    </row>
    <row r="220">
      <c r="A220" s="8" t="s">
        <v>225</v>
      </c>
      <c r="B220" s="9">
        <v>45.0</v>
      </c>
      <c r="C220" s="9" t="s">
        <v>8</v>
      </c>
      <c r="D220" s="9">
        <v>75.0</v>
      </c>
      <c r="E220" s="10">
        <v>1.0</v>
      </c>
      <c r="F220" s="9">
        <v>3.0</v>
      </c>
      <c r="G220" s="9">
        <v>1.0</v>
      </c>
      <c r="H220" s="9">
        <v>0.0</v>
      </c>
      <c r="I220" s="9">
        <v>0.0</v>
      </c>
      <c r="J220" s="17">
        <v>9733.0</v>
      </c>
      <c r="K220" s="18">
        <v>-3191.06</v>
      </c>
      <c r="L220" s="17">
        <v>-3155.0</v>
      </c>
      <c r="M220" s="18">
        <v>-3155.0</v>
      </c>
      <c r="N220" s="18">
        <v>0.0</v>
      </c>
      <c r="O220" s="18">
        <v>2334.66</v>
      </c>
      <c r="P220" s="4"/>
    </row>
    <row r="221">
      <c r="A221" s="8" t="s">
        <v>226</v>
      </c>
      <c r="B221" s="9">
        <v>45.0</v>
      </c>
      <c r="C221" s="9" t="s">
        <v>8</v>
      </c>
      <c r="D221" s="9">
        <v>75.0</v>
      </c>
      <c r="E221" s="10">
        <v>1.0</v>
      </c>
      <c r="F221" s="9">
        <v>4.0</v>
      </c>
      <c r="G221" s="9">
        <v>1.0</v>
      </c>
      <c r="H221" s="9">
        <v>0.0</v>
      </c>
      <c r="I221" s="9">
        <v>0.0</v>
      </c>
      <c r="J221" s="17">
        <v>10002.0</v>
      </c>
      <c r="K221" s="18">
        <v>-3169.0</v>
      </c>
      <c r="L221" s="17">
        <v>-3167.0</v>
      </c>
      <c r="M221" s="18">
        <v>-3167.0</v>
      </c>
      <c r="N221" s="18">
        <v>0.0</v>
      </c>
      <c r="O221" s="18">
        <v>329.509</v>
      </c>
      <c r="P221" s="4"/>
    </row>
    <row r="222">
      <c r="A222" s="8" t="s">
        <v>227</v>
      </c>
      <c r="B222" s="9">
        <v>45.0</v>
      </c>
      <c r="C222" s="9" t="s">
        <v>8</v>
      </c>
      <c r="D222" s="9">
        <v>75.0</v>
      </c>
      <c r="E222" s="10">
        <v>1.0</v>
      </c>
      <c r="F222" s="9">
        <v>5.0</v>
      </c>
      <c r="G222" s="9">
        <v>1.0</v>
      </c>
      <c r="H222" s="9">
        <v>0.0</v>
      </c>
      <c r="I222" s="9">
        <v>0.0</v>
      </c>
      <c r="J222" s="17">
        <v>9559.0</v>
      </c>
      <c r="K222" s="18">
        <v>-2972.57</v>
      </c>
      <c r="L222" s="17">
        <v>-2965.0</v>
      </c>
      <c r="M222" s="18">
        <v>-2965.0</v>
      </c>
      <c r="N222" s="18">
        <v>0.0</v>
      </c>
      <c r="O222" s="18">
        <v>725.069</v>
      </c>
      <c r="P222" s="4"/>
    </row>
    <row r="223">
      <c r="A223" s="8" t="s">
        <v>228</v>
      </c>
      <c r="B223" s="9">
        <v>45.0</v>
      </c>
      <c r="C223" s="9" t="s">
        <v>8</v>
      </c>
      <c r="D223" s="9">
        <v>75.0</v>
      </c>
      <c r="E223" s="10">
        <v>2.0</v>
      </c>
      <c r="F223" s="9">
        <v>1.0</v>
      </c>
      <c r="G223" s="9">
        <v>1.0</v>
      </c>
      <c r="H223" s="9">
        <v>0.0</v>
      </c>
      <c r="I223" s="9">
        <v>0.0</v>
      </c>
      <c r="J223" s="17">
        <v>14836.0</v>
      </c>
      <c r="K223" s="18">
        <v>-924.842</v>
      </c>
      <c r="L223" s="17">
        <v>-858.0</v>
      </c>
      <c r="M223" s="18">
        <v>-858.0</v>
      </c>
      <c r="N223" s="18">
        <v>0.0</v>
      </c>
      <c r="O223" s="18">
        <v>292.946</v>
      </c>
      <c r="P223" s="4"/>
    </row>
    <row r="224">
      <c r="A224" s="8" t="s">
        <v>229</v>
      </c>
      <c r="B224" s="9">
        <v>45.0</v>
      </c>
      <c r="C224" s="9" t="s">
        <v>8</v>
      </c>
      <c r="D224" s="9">
        <v>75.0</v>
      </c>
      <c r="E224" s="10">
        <v>2.0</v>
      </c>
      <c r="F224" s="9">
        <v>2.0</v>
      </c>
      <c r="G224" s="9">
        <v>1.0</v>
      </c>
      <c r="H224" s="9">
        <v>0.0</v>
      </c>
      <c r="I224" s="9">
        <v>0.0</v>
      </c>
      <c r="J224" s="17">
        <v>10479.0</v>
      </c>
      <c r="K224" s="18">
        <v>-1988.29</v>
      </c>
      <c r="L224" s="17">
        <v>-1955.0</v>
      </c>
      <c r="M224" s="18">
        <v>-1955.0</v>
      </c>
      <c r="N224" s="18">
        <v>0.0</v>
      </c>
      <c r="O224" s="18">
        <v>92.314</v>
      </c>
      <c r="P224" s="4"/>
    </row>
    <row r="225">
      <c r="A225" s="8" t="s">
        <v>230</v>
      </c>
      <c r="B225" s="9">
        <v>45.0</v>
      </c>
      <c r="C225" s="9" t="s">
        <v>8</v>
      </c>
      <c r="D225" s="9">
        <v>75.0</v>
      </c>
      <c r="E225" s="10">
        <v>2.0</v>
      </c>
      <c r="F225" s="9">
        <v>3.0</v>
      </c>
      <c r="G225" s="9">
        <v>1.0</v>
      </c>
      <c r="H225" s="9">
        <v>0.0</v>
      </c>
      <c r="I225" s="9">
        <v>0.0</v>
      </c>
      <c r="J225" s="17">
        <v>11533.0</v>
      </c>
      <c r="K225" s="18">
        <v>-1985.5</v>
      </c>
      <c r="L225" s="17">
        <v>-1962.0</v>
      </c>
      <c r="M225" s="18">
        <v>-1962.0</v>
      </c>
      <c r="N225" s="18">
        <v>0.0</v>
      </c>
      <c r="O225" s="18">
        <v>27.484</v>
      </c>
      <c r="P225" s="4"/>
    </row>
    <row r="226">
      <c r="A226" s="8" t="s">
        <v>231</v>
      </c>
      <c r="B226" s="9">
        <v>45.0</v>
      </c>
      <c r="C226" s="9" t="s">
        <v>8</v>
      </c>
      <c r="D226" s="9">
        <v>75.0</v>
      </c>
      <c r="E226" s="10">
        <v>2.0</v>
      </c>
      <c r="F226" s="9">
        <v>4.0</v>
      </c>
      <c r="G226" s="9">
        <v>1.0</v>
      </c>
      <c r="H226" s="9">
        <v>0.0</v>
      </c>
      <c r="I226" s="9">
        <v>0.0</v>
      </c>
      <c r="J226" s="17">
        <v>13737.0</v>
      </c>
      <c r="K226" s="18">
        <v>-1370.36</v>
      </c>
      <c r="L226" s="17">
        <v>-1263.0</v>
      </c>
      <c r="M226" s="18">
        <v>-1263.0</v>
      </c>
      <c r="N226" s="18">
        <v>0.0</v>
      </c>
      <c r="O226" s="18">
        <v>1550.25</v>
      </c>
      <c r="P226" s="4"/>
    </row>
    <row r="227">
      <c r="A227" s="8" t="s">
        <v>232</v>
      </c>
      <c r="B227" s="9">
        <v>45.0</v>
      </c>
      <c r="C227" s="9" t="s">
        <v>8</v>
      </c>
      <c r="D227" s="9">
        <v>75.0</v>
      </c>
      <c r="E227" s="10">
        <v>2.0</v>
      </c>
      <c r="F227" s="9">
        <v>5.0</v>
      </c>
      <c r="G227" s="9">
        <v>1.0</v>
      </c>
      <c r="H227" s="9">
        <v>0.0</v>
      </c>
      <c r="I227" s="9">
        <v>0.0</v>
      </c>
      <c r="J227" s="17">
        <v>13519.0</v>
      </c>
      <c r="K227" s="18">
        <v>-1169.8</v>
      </c>
      <c r="L227" s="17">
        <v>-1127.0</v>
      </c>
      <c r="M227" s="18">
        <v>-1127.0</v>
      </c>
      <c r="N227" s="18">
        <v>0.0</v>
      </c>
      <c r="O227" s="18">
        <v>165.018</v>
      </c>
      <c r="P227" s="4"/>
    </row>
    <row r="228">
      <c r="A228" s="8" t="s">
        <v>233</v>
      </c>
      <c r="B228" s="9">
        <v>25.0</v>
      </c>
      <c r="C228" s="14" t="s">
        <v>234</v>
      </c>
      <c r="D228" s="9">
        <v>25.0</v>
      </c>
      <c r="E228" s="10">
        <v>0.6</v>
      </c>
      <c r="F228" s="9">
        <v>1.0</v>
      </c>
      <c r="G228" s="9">
        <v>1.0</v>
      </c>
      <c r="H228" s="9">
        <v>0.0</v>
      </c>
      <c r="I228" s="9">
        <v>0.0</v>
      </c>
      <c r="J228" s="17">
        <v>5791.0</v>
      </c>
      <c r="K228" s="18">
        <v>261.0</v>
      </c>
      <c r="L228" s="17">
        <v>261.0</v>
      </c>
      <c r="M228" s="18">
        <v>261.0</v>
      </c>
      <c r="N228" s="18">
        <v>0.0</v>
      </c>
      <c r="O228" s="18">
        <v>0.238</v>
      </c>
      <c r="P228" s="4"/>
    </row>
    <row r="229">
      <c r="A229" s="8" t="s">
        <v>235</v>
      </c>
      <c r="B229" s="9">
        <v>25.0</v>
      </c>
      <c r="C229" s="14" t="s">
        <v>234</v>
      </c>
      <c r="D229" s="9">
        <v>25.0</v>
      </c>
      <c r="E229" s="10">
        <v>0.6</v>
      </c>
      <c r="F229" s="9">
        <v>2.0</v>
      </c>
      <c r="G229" s="9">
        <v>1.0</v>
      </c>
      <c r="H229" s="9">
        <v>0.0</v>
      </c>
      <c r="I229" s="9">
        <v>0.0</v>
      </c>
      <c r="J229" s="17">
        <v>5270.0</v>
      </c>
      <c r="K229" s="18">
        <v>236.0</v>
      </c>
      <c r="L229" s="17">
        <v>236.0</v>
      </c>
      <c r="M229" s="18">
        <v>236.0</v>
      </c>
      <c r="N229" s="18">
        <v>0.0</v>
      </c>
      <c r="O229" s="18">
        <v>0.212</v>
      </c>
      <c r="P229" s="4"/>
    </row>
    <row r="230">
      <c r="A230" s="8" t="s">
        <v>236</v>
      </c>
      <c r="B230" s="9">
        <v>25.0</v>
      </c>
      <c r="C230" s="14" t="s">
        <v>234</v>
      </c>
      <c r="D230" s="9">
        <v>25.0</v>
      </c>
      <c r="E230" s="10">
        <v>0.6</v>
      </c>
      <c r="F230" s="9">
        <v>3.0</v>
      </c>
      <c r="G230" s="9">
        <v>1.0</v>
      </c>
      <c r="H230" s="9">
        <v>0.0</v>
      </c>
      <c r="I230" s="9">
        <v>0.0</v>
      </c>
      <c r="J230" s="17">
        <v>6187.0</v>
      </c>
      <c r="K230" s="18">
        <v>280.6</v>
      </c>
      <c r="L230" s="17">
        <v>281.0</v>
      </c>
      <c r="M230" s="18">
        <v>281.0</v>
      </c>
      <c r="N230" s="18">
        <v>0.0</v>
      </c>
      <c r="O230" s="18">
        <v>0.507</v>
      </c>
      <c r="P230" s="4"/>
    </row>
    <row r="231">
      <c r="A231" s="8" t="s">
        <v>237</v>
      </c>
      <c r="B231" s="9">
        <v>25.0</v>
      </c>
      <c r="C231" s="14" t="s">
        <v>234</v>
      </c>
      <c r="D231" s="9">
        <v>25.0</v>
      </c>
      <c r="E231" s="10">
        <v>0.6</v>
      </c>
      <c r="F231" s="9">
        <v>4.0</v>
      </c>
      <c r="G231" s="9">
        <v>1.0</v>
      </c>
      <c r="H231" s="9">
        <v>0.0</v>
      </c>
      <c r="I231" s="9">
        <v>0.0</v>
      </c>
      <c r="J231" s="17">
        <v>5270.0</v>
      </c>
      <c r="K231" s="18">
        <v>234.773</v>
      </c>
      <c r="L231" s="17">
        <v>236.0</v>
      </c>
      <c r="M231" s="18">
        <v>236.0</v>
      </c>
      <c r="N231" s="18">
        <v>0.0</v>
      </c>
      <c r="O231" s="18">
        <v>0.439</v>
      </c>
      <c r="P231" s="4"/>
    </row>
    <row r="232">
      <c r="A232" s="8" t="s">
        <v>238</v>
      </c>
      <c r="B232" s="9">
        <v>25.0</v>
      </c>
      <c r="C232" s="14" t="s">
        <v>234</v>
      </c>
      <c r="D232" s="9">
        <v>25.0</v>
      </c>
      <c r="E232" s="10">
        <v>0.6</v>
      </c>
      <c r="F232" s="9">
        <v>5.0</v>
      </c>
      <c r="G232" s="9">
        <v>1.0</v>
      </c>
      <c r="H232" s="9">
        <v>0.0</v>
      </c>
      <c r="I232" s="9">
        <v>0.0</v>
      </c>
      <c r="J232" s="17">
        <v>5958.0</v>
      </c>
      <c r="K232" s="18">
        <v>249.048</v>
      </c>
      <c r="L232" s="17">
        <v>268.0</v>
      </c>
      <c r="M232" s="18">
        <v>268.0</v>
      </c>
      <c r="N232" s="18">
        <v>0.0</v>
      </c>
      <c r="O232" s="18">
        <v>2.396</v>
      </c>
      <c r="P232" s="4"/>
    </row>
    <row r="233">
      <c r="A233" s="8" t="s">
        <v>239</v>
      </c>
      <c r="B233" s="9">
        <v>25.0</v>
      </c>
      <c r="C233" s="14" t="s">
        <v>234</v>
      </c>
      <c r="D233" s="9">
        <v>25.0</v>
      </c>
      <c r="E233" s="10">
        <v>1.0</v>
      </c>
      <c r="F233" s="9">
        <v>1.0</v>
      </c>
      <c r="G233" s="9">
        <v>1.0</v>
      </c>
      <c r="H233" s="9">
        <v>0.0</v>
      </c>
      <c r="I233" s="9">
        <v>0.0</v>
      </c>
      <c r="J233" s="17">
        <v>1390.0</v>
      </c>
      <c r="K233" s="18">
        <v>1390.0</v>
      </c>
      <c r="L233" s="17">
        <v>1390.0</v>
      </c>
      <c r="M233" s="18">
        <v>1390.0</v>
      </c>
      <c r="N233" s="18">
        <v>0.0</v>
      </c>
      <c r="O233" s="18">
        <v>0.275</v>
      </c>
      <c r="P233" s="4"/>
    </row>
    <row r="234">
      <c r="A234" s="8" t="s">
        <v>240</v>
      </c>
      <c r="B234" s="9">
        <v>25.0</v>
      </c>
      <c r="C234" s="14" t="s">
        <v>234</v>
      </c>
      <c r="D234" s="9">
        <v>25.0</v>
      </c>
      <c r="E234" s="10">
        <v>1.0</v>
      </c>
      <c r="F234" s="9">
        <v>2.0</v>
      </c>
      <c r="G234" s="9">
        <v>1.0</v>
      </c>
      <c r="H234" s="9">
        <v>0.0</v>
      </c>
      <c r="I234" s="9">
        <v>0.0</v>
      </c>
      <c r="J234" s="17">
        <v>10120.0</v>
      </c>
      <c r="K234" s="18">
        <v>1269.76</v>
      </c>
      <c r="L234" s="17">
        <v>1306.0</v>
      </c>
      <c r="M234" s="18">
        <v>1306.0</v>
      </c>
      <c r="N234" s="18">
        <v>0.0</v>
      </c>
      <c r="O234" s="18">
        <v>36.771</v>
      </c>
      <c r="P234" s="4"/>
    </row>
    <row r="235">
      <c r="A235" s="8" t="s">
        <v>241</v>
      </c>
      <c r="B235" s="9">
        <v>25.0</v>
      </c>
      <c r="C235" s="14" t="s">
        <v>234</v>
      </c>
      <c r="D235" s="9">
        <v>25.0</v>
      </c>
      <c r="E235" s="10">
        <v>1.0</v>
      </c>
      <c r="F235" s="9">
        <v>3.0</v>
      </c>
      <c r="G235" s="9">
        <v>1.0</v>
      </c>
      <c r="H235" s="9">
        <v>0.0</v>
      </c>
      <c r="I235" s="9">
        <v>0.0</v>
      </c>
      <c r="J235" s="17">
        <v>11912.0</v>
      </c>
      <c r="K235" s="18">
        <v>1497.01</v>
      </c>
      <c r="L235" s="17">
        <v>1510.0</v>
      </c>
      <c r="M235" s="18">
        <v>1510.0</v>
      </c>
      <c r="N235" s="18">
        <v>0.0</v>
      </c>
      <c r="O235" s="18">
        <v>1.447</v>
      </c>
      <c r="P235" s="4"/>
    </row>
    <row r="236">
      <c r="A236" s="8" t="s">
        <v>242</v>
      </c>
      <c r="B236" s="9">
        <v>25.0</v>
      </c>
      <c r="C236" s="14" t="s">
        <v>234</v>
      </c>
      <c r="D236" s="9">
        <v>25.0</v>
      </c>
      <c r="E236" s="10">
        <v>1.0</v>
      </c>
      <c r="F236" s="9">
        <v>4.0</v>
      </c>
      <c r="G236" s="9">
        <v>1.0</v>
      </c>
      <c r="H236" s="9">
        <v>0.0</v>
      </c>
      <c r="I236" s="9">
        <v>0.0</v>
      </c>
      <c r="J236" s="17">
        <v>10120.0</v>
      </c>
      <c r="K236" s="18">
        <v>1261.35</v>
      </c>
      <c r="L236" s="17">
        <v>1265.0</v>
      </c>
      <c r="M236" s="18">
        <v>1265.0</v>
      </c>
      <c r="N236" s="18">
        <v>0.0</v>
      </c>
      <c r="O236" s="18">
        <v>0.676</v>
      </c>
      <c r="P236" s="4"/>
    </row>
    <row r="237">
      <c r="A237" s="8" t="s">
        <v>243</v>
      </c>
      <c r="B237" s="9">
        <v>25.0</v>
      </c>
      <c r="C237" s="14" t="s">
        <v>234</v>
      </c>
      <c r="D237" s="9">
        <v>25.0</v>
      </c>
      <c r="E237" s="10">
        <v>1.0</v>
      </c>
      <c r="F237" s="9">
        <v>5.0</v>
      </c>
      <c r="G237" s="9">
        <v>1.0</v>
      </c>
      <c r="H237" s="9">
        <v>0.0</v>
      </c>
      <c r="I237" s="9">
        <v>0.0</v>
      </c>
      <c r="J237" s="17">
        <v>11433.0</v>
      </c>
      <c r="K237" s="18">
        <v>1424.62</v>
      </c>
      <c r="L237" s="17">
        <v>1430.0</v>
      </c>
      <c r="M237" s="18">
        <v>1430.0</v>
      </c>
      <c r="N237" s="18">
        <v>0.0</v>
      </c>
      <c r="O237" s="18">
        <v>0.724</v>
      </c>
      <c r="P237" s="4"/>
    </row>
    <row r="238">
      <c r="A238" s="8" t="s">
        <v>244</v>
      </c>
      <c r="B238" s="9">
        <v>25.0</v>
      </c>
      <c r="C238" s="14" t="s">
        <v>234</v>
      </c>
      <c r="D238" s="9">
        <v>25.0</v>
      </c>
      <c r="E238" s="10">
        <v>2.0</v>
      </c>
      <c r="F238" s="9">
        <v>1.0</v>
      </c>
      <c r="G238" s="9">
        <v>1.0</v>
      </c>
      <c r="H238" s="9">
        <v>0.0</v>
      </c>
      <c r="I238" s="9">
        <v>0.0</v>
      </c>
      <c r="J238" s="17">
        <v>51791.0</v>
      </c>
      <c r="K238" s="18">
        <v>20002.5</v>
      </c>
      <c r="L238" s="17">
        <v>20955.0</v>
      </c>
      <c r="M238" s="18">
        <v>20955.0</v>
      </c>
      <c r="N238" s="18">
        <v>0.0</v>
      </c>
      <c r="O238" s="18">
        <v>43.533</v>
      </c>
      <c r="P238" s="4"/>
    </row>
    <row r="239">
      <c r="A239" s="8" t="s">
        <v>245</v>
      </c>
      <c r="B239" s="9">
        <v>25.0</v>
      </c>
      <c r="C239" s="14" t="s">
        <v>234</v>
      </c>
      <c r="D239" s="9">
        <v>25.0</v>
      </c>
      <c r="E239" s="10">
        <v>2.0</v>
      </c>
      <c r="F239" s="9">
        <v>2.0</v>
      </c>
      <c r="G239" s="9">
        <v>1.0</v>
      </c>
      <c r="H239" s="9">
        <v>0.0</v>
      </c>
      <c r="I239" s="9">
        <v>0.0</v>
      </c>
      <c r="J239" s="17">
        <v>22555.0</v>
      </c>
      <c r="K239" s="18">
        <v>22555.0</v>
      </c>
      <c r="L239" s="17">
        <v>22555.0</v>
      </c>
      <c r="M239" s="18">
        <v>22555.0</v>
      </c>
      <c r="N239" s="18">
        <v>0.0</v>
      </c>
      <c r="O239" s="18">
        <v>0.012</v>
      </c>
      <c r="P239" s="4"/>
    </row>
    <row r="240">
      <c r="A240" s="8" t="s">
        <v>246</v>
      </c>
      <c r="B240" s="9">
        <v>25.0</v>
      </c>
      <c r="C240" s="14" t="s">
        <v>234</v>
      </c>
      <c r="D240" s="9">
        <v>25.0</v>
      </c>
      <c r="E240" s="10">
        <v>2.0</v>
      </c>
      <c r="F240" s="9">
        <v>3.0</v>
      </c>
      <c r="G240" s="9">
        <v>0.0</v>
      </c>
      <c r="H240" s="9">
        <v>1.0</v>
      </c>
      <c r="I240" s="9">
        <v>0.0</v>
      </c>
      <c r="J240" s="17">
        <v>55462.0</v>
      </c>
      <c r="K240" s="18">
        <v>20603.8</v>
      </c>
      <c r="L240" s="17">
        <v>22440.0</v>
      </c>
      <c r="M240" s="18">
        <v>21444.5</v>
      </c>
      <c r="N240" s="18">
        <v>4.43627</v>
      </c>
      <c r="O240" s="18">
        <v>3600.0</v>
      </c>
      <c r="P240" s="4"/>
    </row>
    <row r="241">
      <c r="A241" s="8" t="s">
        <v>247</v>
      </c>
      <c r="B241" s="9">
        <v>25.0</v>
      </c>
      <c r="C241" s="14" t="s">
        <v>234</v>
      </c>
      <c r="D241" s="9">
        <v>25.0</v>
      </c>
      <c r="E241" s="10">
        <v>2.0</v>
      </c>
      <c r="F241" s="9">
        <v>4.0</v>
      </c>
      <c r="G241" s="9">
        <v>1.0</v>
      </c>
      <c r="H241" s="9">
        <v>0.0</v>
      </c>
      <c r="I241" s="9">
        <v>0.0</v>
      </c>
      <c r="J241" s="17">
        <v>47170.0</v>
      </c>
      <c r="K241" s="18">
        <v>17250.0</v>
      </c>
      <c r="L241" s="17">
        <v>17350.0</v>
      </c>
      <c r="M241" s="18">
        <v>17350.0</v>
      </c>
      <c r="N241" s="18">
        <v>0.0</v>
      </c>
      <c r="O241" s="18">
        <v>0.547</v>
      </c>
      <c r="P241" s="4"/>
    </row>
    <row r="242">
      <c r="A242" s="8" t="s">
        <v>248</v>
      </c>
      <c r="B242" s="9">
        <v>25.0</v>
      </c>
      <c r="C242" s="14" t="s">
        <v>234</v>
      </c>
      <c r="D242" s="9">
        <v>25.0</v>
      </c>
      <c r="E242" s="10">
        <v>2.0</v>
      </c>
      <c r="F242" s="9">
        <v>5.0</v>
      </c>
      <c r="G242" s="9">
        <v>1.0</v>
      </c>
      <c r="H242" s="9">
        <v>0.0</v>
      </c>
      <c r="I242" s="9">
        <v>0.0</v>
      </c>
      <c r="J242" s="17">
        <v>19638.0</v>
      </c>
      <c r="K242" s="18">
        <v>19638.0</v>
      </c>
      <c r="L242" s="17">
        <v>19638.0</v>
      </c>
      <c r="M242" s="18">
        <v>19638.0</v>
      </c>
      <c r="N242" s="18">
        <v>0.0</v>
      </c>
      <c r="O242" s="18">
        <v>0.033</v>
      </c>
      <c r="P242" s="4"/>
    </row>
    <row r="243">
      <c r="A243" s="8" t="s">
        <v>249</v>
      </c>
      <c r="B243" s="9">
        <v>25.0</v>
      </c>
      <c r="C243" s="14" t="s">
        <v>234</v>
      </c>
      <c r="D243" s="9">
        <v>50.0</v>
      </c>
      <c r="E243" s="10">
        <v>0.6</v>
      </c>
      <c r="F243" s="9">
        <v>1.0</v>
      </c>
      <c r="G243" s="9">
        <v>1.0</v>
      </c>
      <c r="H243" s="9">
        <v>0.0</v>
      </c>
      <c r="I243" s="9">
        <v>0.0</v>
      </c>
      <c r="J243" s="17">
        <v>9923.0</v>
      </c>
      <c r="K243" s="18">
        <v>614.3</v>
      </c>
      <c r="L243" s="17">
        <v>627.0</v>
      </c>
      <c r="M243" s="18">
        <v>627.0</v>
      </c>
      <c r="N243" s="18">
        <v>0.0</v>
      </c>
      <c r="O243" s="18">
        <v>0.886</v>
      </c>
      <c r="P243" s="4"/>
    </row>
    <row r="244">
      <c r="A244" s="8" t="s">
        <v>250</v>
      </c>
      <c r="B244" s="9">
        <v>25.0</v>
      </c>
      <c r="C244" s="14" t="s">
        <v>234</v>
      </c>
      <c r="D244" s="9">
        <v>50.0</v>
      </c>
      <c r="E244" s="10">
        <v>0.6</v>
      </c>
      <c r="F244" s="9">
        <v>2.0</v>
      </c>
      <c r="G244" s="9">
        <v>1.0</v>
      </c>
      <c r="H244" s="9">
        <v>0.0</v>
      </c>
      <c r="I244" s="9">
        <v>0.0</v>
      </c>
      <c r="J244" s="17">
        <v>11378.0</v>
      </c>
      <c r="K244" s="18">
        <v>760.333</v>
      </c>
      <c r="L244" s="17">
        <v>769.0</v>
      </c>
      <c r="M244" s="18">
        <v>769.0</v>
      </c>
      <c r="N244" s="18">
        <v>0.0</v>
      </c>
      <c r="O244" s="18">
        <v>0.352</v>
      </c>
      <c r="P244" s="4"/>
    </row>
    <row r="245">
      <c r="A245" s="8" t="s">
        <v>251</v>
      </c>
      <c r="B245" s="9">
        <v>25.0</v>
      </c>
      <c r="C245" s="14" t="s">
        <v>234</v>
      </c>
      <c r="D245" s="9">
        <v>50.0</v>
      </c>
      <c r="E245" s="10">
        <v>0.6</v>
      </c>
      <c r="F245" s="9">
        <v>3.0</v>
      </c>
      <c r="G245" s="9">
        <v>1.0</v>
      </c>
      <c r="H245" s="9">
        <v>0.0</v>
      </c>
      <c r="I245" s="9">
        <v>0.0</v>
      </c>
      <c r="J245" s="17">
        <v>605.0</v>
      </c>
      <c r="K245" s="18">
        <v>605.0</v>
      </c>
      <c r="L245" s="17">
        <v>605.0</v>
      </c>
      <c r="M245" s="18">
        <v>605.0</v>
      </c>
      <c r="N245" s="18">
        <v>0.0</v>
      </c>
      <c r="O245" s="18">
        <v>0.292</v>
      </c>
      <c r="P245" s="4"/>
    </row>
    <row r="246">
      <c r="A246" s="8" t="s">
        <v>252</v>
      </c>
      <c r="B246" s="9">
        <v>25.0</v>
      </c>
      <c r="C246" s="14" t="s">
        <v>234</v>
      </c>
      <c r="D246" s="9">
        <v>50.0</v>
      </c>
      <c r="E246" s="10">
        <v>0.6</v>
      </c>
      <c r="F246" s="9">
        <v>4.0</v>
      </c>
      <c r="G246" s="9">
        <v>1.0</v>
      </c>
      <c r="H246" s="9">
        <v>0.0</v>
      </c>
      <c r="I246" s="9">
        <v>0.0</v>
      </c>
      <c r="J246" s="17">
        <v>552.0</v>
      </c>
      <c r="K246" s="18">
        <v>552.0</v>
      </c>
      <c r="L246" s="17">
        <v>552.0</v>
      </c>
      <c r="M246" s="18">
        <v>552.0</v>
      </c>
      <c r="N246" s="18">
        <v>0.0</v>
      </c>
      <c r="O246" s="18">
        <v>0.333</v>
      </c>
      <c r="P246" s="4"/>
    </row>
    <row r="247">
      <c r="A247" s="8" t="s">
        <v>253</v>
      </c>
      <c r="B247" s="9">
        <v>25.0</v>
      </c>
      <c r="C247" s="14" t="s">
        <v>234</v>
      </c>
      <c r="D247" s="9">
        <v>50.0</v>
      </c>
      <c r="E247" s="10">
        <v>0.6</v>
      </c>
      <c r="F247" s="9">
        <v>5.0</v>
      </c>
      <c r="G247" s="9">
        <v>1.0</v>
      </c>
      <c r="H247" s="9">
        <v>0.0</v>
      </c>
      <c r="I247" s="9">
        <v>0.0</v>
      </c>
      <c r="J247" s="17">
        <v>553.0</v>
      </c>
      <c r="K247" s="18">
        <v>553.0</v>
      </c>
      <c r="L247" s="17">
        <v>553.0</v>
      </c>
      <c r="M247" s="18">
        <v>553.0</v>
      </c>
      <c r="N247" s="18">
        <v>0.0</v>
      </c>
      <c r="O247" s="18">
        <v>0.271</v>
      </c>
      <c r="P247" s="4"/>
    </row>
    <row r="248">
      <c r="A248" s="8" t="s">
        <v>254</v>
      </c>
      <c r="B248" s="9">
        <v>25.0</v>
      </c>
      <c r="C248" s="14" t="s">
        <v>234</v>
      </c>
      <c r="D248" s="9">
        <v>50.0</v>
      </c>
      <c r="E248" s="10">
        <v>1.0</v>
      </c>
      <c r="F248" s="9">
        <v>1.0</v>
      </c>
      <c r="G248" s="9">
        <v>1.0</v>
      </c>
      <c r="H248" s="9">
        <v>0.0</v>
      </c>
      <c r="I248" s="9">
        <v>0.0</v>
      </c>
      <c r="J248" s="17">
        <v>19073.0</v>
      </c>
      <c r="K248" s="18">
        <v>2576.02</v>
      </c>
      <c r="L248" s="17">
        <v>2726.0</v>
      </c>
      <c r="M248" s="18">
        <v>2726.0</v>
      </c>
      <c r="N248" s="18">
        <v>0.0</v>
      </c>
      <c r="O248" s="18">
        <v>101.277</v>
      </c>
      <c r="P248" s="4"/>
    </row>
    <row r="249">
      <c r="A249" s="8" t="s">
        <v>255</v>
      </c>
      <c r="B249" s="9">
        <v>25.0</v>
      </c>
      <c r="C249" s="14" t="s">
        <v>234</v>
      </c>
      <c r="D249" s="9">
        <v>50.0</v>
      </c>
      <c r="E249" s="10">
        <v>1.0</v>
      </c>
      <c r="F249" s="9">
        <v>2.0</v>
      </c>
      <c r="G249" s="9">
        <v>1.0</v>
      </c>
      <c r="H249" s="9">
        <v>0.0</v>
      </c>
      <c r="I249" s="9">
        <v>0.0</v>
      </c>
      <c r="J249" s="17">
        <v>21878.0</v>
      </c>
      <c r="K249" s="18">
        <v>3004.95</v>
      </c>
      <c r="L249" s="17">
        <v>3074.0</v>
      </c>
      <c r="M249" s="18">
        <v>3074.0</v>
      </c>
      <c r="N249" s="18">
        <v>0.0</v>
      </c>
      <c r="O249" s="18">
        <v>2.98</v>
      </c>
      <c r="P249" s="4"/>
    </row>
    <row r="250">
      <c r="A250" s="8" t="s">
        <v>256</v>
      </c>
      <c r="B250" s="9">
        <v>25.0</v>
      </c>
      <c r="C250" s="14" t="s">
        <v>234</v>
      </c>
      <c r="D250" s="9">
        <v>50.0</v>
      </c>
      <c r="E250" s="10">
        <v>1.0</v>
      </c>
      <c r="F250" s="9">
        <v>3.0</v>
      </c>
      <c r="G250" s="9">
        <v>1.0</v>
      </c>
      <c r="H250" s="9">
        <v>0.0</v>
      </c>
      <c r="I250" s="9">
        <v>0.0</v>
      </c>
      <c r="J250" s="17">
        <v>18479.0</v>
      </c>
      <c r="K250" s="18">
        <v>2475.51</v>
      </c>
      <c r="L250" s="17">
        <v>2505.0</v>
      </c>
      <c r="M250" s="18">
        <v>2505.0</v>
      </c>
      <c r="N250" s="18">
        <v>0.0</v>
      </c>
      <c r="O250" s="18">
        <v>0.806</v>
      </c>
      <c r="P250" s="4"/>
    </row>
    <row r="251">
      <c r="A251" s="8" t="s">
        <v>257</v>
      </c>
      <c r="B251" s="9">
        <v>25.0</v>
      </c>
      <c r="C251" s="14" t="s">
        <v>234</v>
      </c>
      <c r="D251" s="9">
        <v>50.0</v>
      </c>
      <c r="E251" s="10">
        <v>1.0</v>
      </c>
      <c r="F251" s="9">
        <v>4.0</v>
      </c>
      <c r="G251" s="9">
        <v>1.0</v>
      </c>
      <c r="H251" s="9">
        <v>0.0</v>
      </c>
      <c r="I251" s="9">
        <v>0.0</v>
      </c>
      <c r="J251" s="17">
        <v>18551.0</v>
      </c>
      <c r="K251" s="18">
        <v>2436.9</v>
      </c>
      <c r="L251" s="17">
        <v>2475.0</v>
      </c>
      <c r="M251" s="18">
        <v>2475.0</v>
      </c>
      <c r="N251" s="18">
        <v>0.0</v>
      </c>
      <c r="O251" s="18">
        <v>1.38</v>
      </c>
      <c r="P251" s="4"/>
    </row>
    <row r="252">
      <c r="A252" s="8" t="s">
        <v>258</v>
      </c>
      <c r="B252" s="9">
        <v>25.0</v>
      </c>
      <c r="C252" s="14" t="s">
        <v>234</v>
      </c>
      <c r="D252" s="9">
        <v>50.0</v>
      </c>
      <c r="E252" s="10">
        <v>1.0</v>
      </c>
      <c r="F252" s="9">
        <v>5.0</v>
      </c>
      <c r="G252" s="9">
        <v>1.0</v>
      </c>
      <c r="H252" s="9">
        <v>0.0</v>
      </c>
      <c r="I252" s="9">
        <v>0.0</v>
      </c>
      <c r="J252" s="17">
        <v>17956.0</v>
      </c>
      <c r="K252" s="18">
        <v>2375.78</v>
      </c>
      <c r="L252" s="17">
        <v>2419.0</v>
      </c>
      <c r="M252" s="18">
        <v>2419.0</v>
      </c>
      <c r="N252" s="18">
        <v>0.0</v>
      </c>
      <c r="O252" s="18">
        <v>1.351</v>
      </c>
      <c r="P252" s="4"/>
    </row>
    <row r="253">
      <c r="A253" s="8" t="s">
        <v>259</v>
      </c>
      <c r="B253" s="9">
        <v>25.0</v>
      </c>
      <c r="C253" s="14" t="s">
        <v>234</v>
      </c>
      <c r="D253" s="9">
        <v>50.0</v>
      </c>
      <c r="E253" s="10">
        <v>2.0</v>
      </c>
      <c r="F253" s="9">
        <v>1.0</v>
      </c>
      <c r="G253" s="9">
        <v>0.0</v>
      </c>
      <c r="H253" s="9">
        <v>1.0</v>
      </c>
      <c r="I253" s="9">
        <v>0.0</v>
      </c>
      <c r="J253" s="17">
        <v>88848.0</v>
      </c>
      <c r="K253" s="18">
        <v>33077.5</v>
      </c>
      <c r="L253" s="17">
        <v>35971.0</v>
      </c>
      <c r="M253" s="18">
        <v>34455.0</v>
      </c>
      <c r="N253" s="18">
        <v>4.21451</v>
      </c>
      <c r="O253" s="18">
        <v>3600.0</v>
      </c>
      <c r="P253" s="4"/>
    </row>
    <row r="254">
      <c r="A254" s="8" t="s">
        <v>260</v>
      </c>
      <c r="B254" s="9">
        <v>25.0</v>
      </c>
      <c r="C254" s="14" t="s">
        <v>234</v>
      </c>
      <c r="D254" s="9">
        <v>50.0</v>
      </c>
      <c r="E254" s="10">
        <v>2.0</v>
      </c>
      <c r="F254" s="9">
        <v>2.0</v>
      </c>
      <c r="G254" s="9">
        <v>1.0</v>
      </c>
      <c r="H254" s="9">
        <v>0.0</v>
      </c>
      <c r="I254" s="9">
        <v>0.0</v>
      </c>
      <c r="J254" s="17">
        <v>37779.0</v>
      </c>
      <c r="K254" s="18">
        <v>37779.0</v>
      </c>
      <c r="L254" s="17">
        <v>37779.0</v>
      </c>
      <c r="M254" s="18">
        <v>37779.0</v>
      </c>
      <c r="N254" s="18">
        <v>0.0</v>
      </c>
      <c r="O254" s="18">
        <v>0.032</v>
      </c>
      <c r="P254" s="4"/>
    </row>
    <row r="255">
      <c r="A255" s="8" t="s">
        <v>261</v>
      </c>
      <c r="B255" s="9">
        <v>25.0</v>
      </c>
      <c r="C255" s="14" t="s">
        <v>234</v>
      </c>
      <c r="D255" s="9">
        <v>50.0</v>
      </c>
      <c r="E255" s="10">
        <v>2.0</v>
      </c>
      <c r="F255" s="9">
        <v>3.0</v>
      </c>
      <c r="G255" s="9">
        <v>1.0</v>
      </c>
      <c r="H255" s="9">
        <v>0.0</v>
      </c>
      <c r="I255" s="9">
        <v>0.0</v>
      </c>
      <c r="J255" s="17">
        <v>34848.0</v>
      </c>
      <c r="K255" s="18">
        <v>34848.0</v>
      </c>
      <c r="L255" s="17">
        <v>34848.0</v>
      </c>
      <c r="M255" s="18">
        <v>34848.0</v>
      </c>
      <c r="N255" s="18">
        <v>0.0</v>
      </c>
      <c r="O255" s="18">
        <v>0.027</v>
      </c>
      <c r="P255" s="4"/>
    </row>
    <row r="256">
      <c r="A256" s="8" t="s">
        <v>262</v>
      </c>
      <c r="B256" s="9">
        <v>25.0</v>
      </c>
      <c r="C256" s="14" t="s">
        <v>234</v>
      </c>
      <c r="D256" s="9">
        <v>50.0</v>
      </c>
      <c r="E256" s="10">
        <v>2.0</v>
      </c>
      <c r="F256" s="9">
        <v>4.0</v>
      </c>
      <c r="G256" s="9">
        <v>1.0</v>
      </c>
      <c r="H256" s="9">
        <v>0.0</v>
      </c>
      <c r="I256" s="9">
        <v>0.0</v>
      </c>
      <c r="J256" s="17">
        <v>31879.0</v>
      </c>
      <c r="K256" s="18">
        <v>31879.0</v>
      </c>
      <c r="L256" s="17">
        <v>31879.0</v>
      </c>
      <c r="M256" s="18">
        <v>31879.0</v>
      </c>
      <c r="N256" s="18">
        <v>0.0</v>
      </c>
      <c r="O256" s="18">
        <v>0.035</v>
      </c>
      <c r="P256" s="4"/>
    </row>
    <row r="257">
      <c r="A257" s="8" t="s">
        <v>263</v>
      </c>
      <c r="B257" s="9">
        <v>25.0</v>
      </c>
      <c r="C257" s="14" t="s">
        <v>234</v>
      </c>
      <c r="D257" s="9">
        <v>50.0</v>
      </c>
      <c r="E257" s="10">
        <v>2.0</v>
      </c>
      <c r="F257" s="9">
        <v>5.0</v>
      </c>
      <c r="G257" s="9">
        <v>1.0</v>
      </c>
      <c r="H257" s="9">
        <v>0.0</v>
      </c>
      <c r="I257" s="9">
        <v>0.0</v>
      </c>
      <c r="J257" s="17">
        <v>33939.0</v>
      </c>
      <c r="K257" s="18">
        <v>33939.0</v>
      </c>
      <c r="L257" s="17">
        <v>33939.0</v>
      </c>
      <c r="M257" s="18">
        <v>33939.0</v>
      </c>
      <c r="N257" s="18">
        <v>0.0</v>
      </c>
      <c r="O257" s="18">
        <v>0.022</v>
      </c>
      <c r="P257" s="4"/>
    </row>
    <row r="258">
      <c r="A258" s="8" t="s">
        <v>264</v>
      </c>
      <c r="B258" s="9">
        <v>25.0</v>
      </c>
      <c r="C258" s="14" t="s">
        <v>234</v>
      </c>
      <c r="D258" s="9">
        <v>75.0</v>
      </c>
      <c r="E258" s="10">
        <v>0.6</v>
      </c>
      <c r="F258" s="9">
        <v>1.0</v>
      </c>
      <c r="G258" s="9">
        <v>1.0</v>
      </c>
      <c r="H258" s="9">
        <v>0.0</v>
      </c>
      <c r="I258" s="9">
        <v>0.0</v>
      </c>
      <c r="J258" s="17">
        <v>16048.0</v>
      </c>
      <c r="K258" s="18">
        <v>1424.89</v>
      </c>
      <c r="L258" s="17">
        <v>1426.0</v>
      </c>
      <c r="M258" s="18">
        <v>1426.0</v>
      </c>
      <c r="N258" s="18">
        <v>0.0</v>
      </c>
      <c r="O258" s="18">
        <v>0.64</v>
      </c>
      <c r="P258" s="4"/>
    </row>
    <row r="259">
      <c r="A259" s="8" t="s">
        <v>265</v>
      </c>
      <c r="B259" s="9">
        <v>25.0</v>
      </c>
      <c r="C259" s="14" t="s">
        <v>234</v>
      </c>
      <c r="D259" s="9">
        <v>75.0</v>
      </c>
      <c r="E259" s="10">
        <v>0.6</v>
      </c>
      <c r="F259" s="9">
        <v>2.0</v>
      </c>
      <c r="G259" s="9">
        <v>1.0</v>
      </c>
      <c r="H259" s="9">
        <v>0.0</v>
      </c>
      <c r="I259" s="9">
        <v>0.0</v>
      </c>
      <c r="J259" s="17">
        <v>1230.0</v>
      </c>
      <c r="K259" s="18">
        <v>1230.0</v>
      </c>
      <c r="L259" s="17">
        <v>1230.0</v>
      </c>
      <c r="M259" s="18">
        <v>1230.0</v>
      </c>
      <c r="N259" s="18">
        <v>0.0</v>
      </c>
      <c r="O259" s="18">
        <v>0.269</v>
      </c>
      <c r="P259" s="4"/>
    </row>
    <row r="260">
      <c r="A260" s="8" t="s">
        <v>266</v>
      </c>
      <c r="B260" s="9">
        <v>25.0</v>
      </c>
      <c r="C260" s="14" t="s">
        <v>234</v>
      </c>
      <c r="D260" s="9">
        <v>75.0</v>
      </c>
      <c r="E260" s="10">
        <v>0.6</v>
      </c>
      <c r="F260" s="9">
        <v>3.0</v>
      </c>
      <c r="G260" s="9">
        <v>1.0</v>
      </c>
      <c r="H260" s="9">
        <v>0.0</v>
      </c>
      <c r="I260" s="9">
        <v>0.0</v>
      </c>
      <c r="J260" s="17">
        <v>15335.0</v>
      </c>
      <c r="K260" s="18">
        <v>1312.0</v>
      </c>
      <c r="L260" s="17">
        <v>1313.0</v>
      </c>
      <c r="M260" s="18">
        <v>1313.0</v>
      </c>
      <c r="N260" s="18">
        <v>0.0</v>
      </c>
      <c r="O260" s="18">
        <v>0.429</v>
      </c>
      <c r="P260" s="4"/>
    </row>
    <row r="261">
      <c r="A261" s="8" t="s">
        <v>267</v>
      </c>
      <c r="B261" s="9">
        <v>25.0</v>
      </c>
      <c r="C261" s="14" t="s">
        <v>234</v>
      </c>
      <c r="D261" s="9">
        <v>75.0</v>
      </c>
      <c r="E261" s="10">
        <v>0.6</v>
      </c>
      <c r="F261" s="9">
        <v>4.0</v>
      </c>
      <c r="G261" s="9">
        <v>1.0</v>
      </c>
      <c r="H261" s="9">
        <v>0.0</v>
      </c>
      <c r="I261" s="9">
        <v>0.0</v>
      </c>
      <c r="J261" s="17">
        <v>15687.0</v>
      </c>
      <c r="K261" s="18">
        <v>1255.67</v>
      </c>
      <c r="L261" s="17">
        <v>1271.0</v>
      </c>
      <c r="M261" s="18">
        <v>1271.0</v>
      </c>
      <c r="N261" s="18">
        <v>0.0</v>
      </c>
      <c r="O261" s="18">
        <v>0.565</v>
      </c>
      <c r="P261" s="4"/>
    </row>
    <row r="262">
      <c r="A262" s="8" t="s">
        <v>268</v>
      </c>
      <c r="B262" s="9">
        <v>25.0</v>
      </c>
      <c r="C262" s="14" t="s">
        <v>234</v>
      </c>
      <c r="D262" s="9">
        <v>75.0</v>
      </c>
      <c r="E262" s="10">
        <v>0.6</v>
      </c>
      <c r="F262" s="9">
        <v>5.0</v>
      </c>
      <c r="G262" s="9">
        <v>1.0</v>
      </c>
      <c r="H262" s="9">
        <v>0.0</v>
      </c>
      <c r="I262" s="9">
        <v>0.0</v>
      </c>
      <c r="J262" s="17">
        <v>1315.0</v>
      </c>
      <c r="K262" s="18">
        <v>1315.0</v>
      </c>
      <c r="L262" s="17">
        <v>1315.0</v>
      </c>
      <c r="M262" s="18">
        <v>1315.0</v>
      </c>
      <c r="N262" s="18">
        <v>0.0</v>
      </c>
      <c r="O262" s="18">
        <v>0.364</v>
      </c>
      <c r="P262" s="4"/>
    </row>
    <row r="263">
      <c r="A263" s="8" t="s">
        <v>269</v>
      </c>
      <c r="B263" s="9">
        <v>25.0</v>
      </c>
      <c r="C263" s="14" t="s">
        <v>234</v>
      </c>
      <c r="D263" s="9">
        <v>75.0</v>
      </c>
      <c r="E263" s="10">
        <v>1.0</v>
      </c>
      <c r="F263" s="9">
        <v>1.0</v>
      </c>
      <c r="G263" s="9">
        <v>1.0</v>
      </c>
      <c r="H263" s="9">
        <v>0.0</v>
      </c>
      <c r="I263" s="9">
        <v>0.0</v>
      </c>
      <c r="J263" s="17">
        <v>30873.0</v>
      </c>
      <c r="K263" s="18">
        <v>4671.39</v>
      </c>
      <c r="L263" s="17">
        <v>4768.0</v>
      </c>
      <c r="M263" s="18">
        <v>4768.0</v>
      </c>
      <c r="N263" s="18">
        <v>0.0</v>
      </c>
      <c r="O263" s="18">
        <v>13.619</v>
      </c>
      <c r="P263" s="4"/>
    </row>
    <row r="264">
      <c r="A264" s="8" t="s">
        <v>270</v>
      </c>
      <c r="B264" s="9">
        <v>25.0</v>
      </c>
      <c r="C264" s="14" t="s">
        <v>234</v>
      </c>
      <c r="D264" s="9">
        <v>75.0</v>
      </c>
      <c r="E264" s="10">
        <v>1.0</v>
      </c>
      <c r="F264" s="9">
        <v>2.0</v>
      </c>
      <c r="G264" s="9">
        <v>1.0</v>
      </c>
      <c r="H264" s="9">
        <v>0.0</v>
      </c>
      <c r="I264" s="9">
        <v>0.0</v>
      </c>
      <c r="J264" s="17">
        <v>29627.0</v>
      </c>
      <c r="K264" s="18">
        <v>4364.14</v>
      </c>
      <c r="L264" s="17">
        <v>4581.0</v>
      </c>
      <c r="M264" s="18">
        <v>4581.0</v>
      </c>
      <c r="N264" s="18">
        <v>0.0</v>
      </c>
      <c r="O264" s="18">
        <v>341.68</v>
      </c>
      <c r="P264" s="4"/>
    </row>
    <row r="265">
      <c r="A265" s="8" t="s">
        <v>271</v>
      </c>
      <c r="B265" s="9">
        <v>25.0</v>
      </c>
      <c r="C265" s="14" t="s">
        <v>234</v>
      </c>
      <c r="D265" s="9">
        <v>75.0</v>
      </c>
      <c r="E265" s="10">
        <v>1.0</v>
      </c>
      <c r="F265" s="9">
        <v>3.0</v>
      </c>
      <c r="G265" s="9">
        <v>1.0</v>
      </c>
      <c r="H265" s="9">
        <v>0.0</v>
      </c>
      <c r="I265" s="9">
        <v>0.0</v>
      </c>
      <c r="J265" s="17">
        <v>29510.0</v>
      </c>
      <c r="K265" s="18">
        <v>4399.38</v>
      </c>
      <c r="L265" s="17">
        <v>4506.0</v>
      </c>
      <c r="M265" s="18">
        <v>4506.0</v>
      </c>
      <c r="N265" s="18">
        <v>0.0</v>
      </c>
      <c r="O265" s="18">
        <v>7.554</v>
      </c>
      <c r="P265" s="4"/>
    </row>
    <row r="266">
      <c r="A266" s="8" t="s">
        <v>272</v>
      </c>
      <c r="B266" s="9">
        <v>25.0</v>
      </c>
      <c r="C266" s="14" t="s">
        <v>234</v>
      </c>
      <c r="D266" s="9">
        <v>75.0</v>
      </c>
      <c r="E266" s="10">
        <v>1.0</v>
      </c>
      <c r="F266" s="9">
        <v>4.0</v>
      </c>
      <c r="G266" s="9">
        <v>1.0</v>
      </c>
      <c r="H266" s="9">
        <v>0.0</v>
      </c>
      <c r="I266" s="9">
        <v>0.0</v>
      </c>
      <c r="J266" s="17">
        <v>30187.0</v>
      </c>
      <c r="K266" s="18">
        <v>4417.71</v>
      </c>
      <c r="L266" s="17">
        <v>4540.0</v>
      </c>
      <c r="M266" s="18">
        <v>4540.0</v>
      </c>
      <c r="N266" s="18">
        <v>0.0</v>
      </c>
      <c r="O266" s="18">
        <v>7.981</v>
      </c>
      <c r="P266" s="4"/>
    </row>
    <row r="267">
      <c r="A267" s="8" t="s">
        <v>273</v>
      </c>
      <c r="B267" s="9">
        <v>25.0</v>
      </c>
      <c r="C267" s="14" t="s">
        <v>234</v>
      </c>
      <c r="D267" s="9">
        <v>75.0</v>
      </c>
      <c r="E267" s="10">
        <v>1.0</v>
      </c>
      <c r="F267" s="9">
        <v>5.0</v>
      </c>
      <c r="G267" s="9">
        <v>1.0</v>
      </c>
      <c r="H267" s="9">
        <v>0.0</v>
      </c>
      <c r="I267" s="9">
        <v>0.0</v>
      </c>
      <c r="J267" s="17">
        <v>29794.0</v>
      </c>
      <c r="K267" s="18">
        <v>4433.91</v>
      </c>
      <c r="L267" s="17">
        <v>4577.0</v>
      </c>
      <c r="M267" s="18">
        <v>4577.0</v>
      </c>
      <c r="N267" s="18">
        <v>0.0</v>
      </c>
      <c r="O267" s="18">
        <v>17.219</v>
      </c>
      <c r="P267" s="4"/>
    </row>
    <row r="268">
      <c r="A268" s="8" t="s">
        <v>274</v>
      </c>
      <c r="B268" s="9">
        <v>25.0</v>
      </c>
      <c r="C268" s="14" t="s">
        <v>234</v>
      </c>
      <c r="D268" s="9">
        <v>75.0</v>
      </c>
      <c r="E268" s="10">
        <v>2.0</v>
      </c>
      <c r="F268" s="9">
        <v>1.0</v>
      </c>
      <c r="G268" s="9">
        <v>0.0</v>
      </c>
      <c r="H268" s="9">
        <v>1.0</v>
      </c>
      <c r="I268" s="9">
        <v>0.0</v>
      </c>
      <c r="J268" s="17">
        <v>143848.0</v>
      </c>
      <c r="K268" s="18">
        <v>53972.1</v>
      </c>
      <c r="L268" s="17">
        <v>58398.0</v>
      </c>
      <c r="M268" s="18">
        <v>54966.8</v>
      </c>
      <c r="N268" s="18">
        <v>5.87563</v>
      </c>
      <c r="O268" s="18">
        <v>3600.0</v>
      </c>
      <c r="P268" s="4"/>
    </row>
    <row r="269">
      <c r="A269" s="8" t="s">
        <v>275</v>
      </c>
      <c r="B269" s="9">
        <v>25.0</v>
      </c>
      <c r="C269" s="14" t="s">
        <v>234</v>
      </c>
      <c r="D269" s="9">
        <v>75.0</v>
      </c>
      <c r="E269" s="10">
        <v>2.0</v>
      </c>
      <c r="F269" s="9">
        <v>2.0</v>
      </c>
      <c r="G269" s="9">
        <v>0.0</v>
      </c>
      <c r="H269" s="9">
        <v>1.0</v>
      </c>
      <c r="I269" s="9">
        <v>0.0</v>
      </c>
      <c r="J269" s="17">
        <v>138002.0</v>
      </c>
      <c r="K269" s="18">
        <v>52601.6</v>
      </c>
      <c r="L269" s="17">
        <v>56113.0</v>
      </c>
      <c r="M269" s="18">
        <v>53811.5</v>
      </c>
      <c r="N269" s="18">
        <v>4.10155</v>
      </c>
      <c r="O269" s="18">
        <v>3600.0</v>
      </c>
      <c r="P269" s="4"/>
    </row>
    <row r="270">
      <c r="A270" s="8" t="s">
        <v>276</v>
      </c>
      <c r="B270" s="9">
        <v>25.0</v>
      </c>
      <c r="C270" s="14" t="s">
        <v>234</v>
      </c>
      <c r="D270" s="9">
        <v>75.0</v>
      </c>
      <c r="E270" s="10">
        <v>2.0</v>
      </c>
      <c r="F270" s="9">
        <v>3.0</v>
      </c>
      <c r="G270" s="9">
        <v>1.0</v>
      </c>
      <c r="H270" s="9">
        <v>0.0</v>
      </c>
      <c r="I270" s="9">
        <v>0.0</v>
      </c>
      <c r="J270" s="17">
        <v>50997.0</v>
      </c>
      <c r="K270" s="18">
        <v>50997.0</v>
      </c>
      <c r="L270" s="17">
        <v>50997.0</v>
      </c>
      <c r="M270" s="18">
        <v>50997.0</v>
      </c>
      <c r="N270" s="18">
        <v>0.0</v>
      </c>
      <c r="O270" s="18">
        <v>0.046</v>
      </c>
      <c r="P270" s="4"/>
    </row>
    <row r="271">
      <c r="A271" s="8" t="s">
        <v>277</v>
      </c>
      <c r="B271" s="9">
        <v>25.0</v>
      </c>
      <c r="C271" s="14" t="s">
        <v>234</v>
      </c>
      <c r="D271" s="9">
        <v>75.0</v>
      </c>
      <c r="E271" s="10">
        <v>2.0</v>
      </c>
      <c r="F271" s="9">
        <v>4.0</v>
      </c>
      <c r="G271" s="9">
        <v>1.0</v>
      </c>
      <c r="H271" s="9">
        <v>0.0</v>
      </c>
      <c r="I271" s="9">
        <v>0.0</v>
      </c>
      <c r="J271" s="17">
        <v>56934.0</v>
      </c>
      <c r="K271" s="18">
        <v>56934.0</v>
      </c>
      <c r="L271" s="17">
        <v>56934.0</v>
      </c>
      <c r="M271" s="18">
        <v>56934.0</v>
      </c>
      <c r="N271" s="18">
        <v>0.0</v>
      </c>
      <c r="O271" s="18">
        <v>0.043</v>
      </c>
      <c r="P271" s="4"/>
    </row>
    <row r="272">
      <c r="A272" s="8" t="s">
        <v>278</v>
      </c>
      <c r="B272" s="9">
        <v>25.0</v>
      </c>
      <c r="C272" s="14" t="s">
        <v>234</v>
      </c>
      <c r="D272" s="9">
        <v>75.0</v>
      </c>
      <c r="E272" s="10">
        <v>2.0</v>
      </c>
      <c r="F272" s="9">
        <v>5.0</v>
      </c>
      <c r="G272" s="9">
        <v>1.0</v>
      </c>
      <c r="H272" s="9">
        <v>0.0</v>
      </c>
      <c r="I272" s="9">
        <v>0.0</v>
      </c>
      <c r="J272" s="17">
        <v>51591.0</v>
      </c>
      <c r="K272" s="18">
        <v>51591.0</v>
      </c>
      <c r="L272" s="17">
        <v>51591.0</v>
      </c>
      <c r="M272" s="18">
        <v>51591.0</v>
      </c>
      <c r="N272" s="18">
        <v>0.0</v>
      </c>
      <c r="O272" s="18">
        <v>0.045</v>
      </c>
      <c r="P272" s="4"/>
    </row>
    <row r="273">
      <c r="A273" s="8" t="s">
        <v>279</v>
      </c>
      <c r="B273" s="9">
        <v>30.0</v>
      </c>
      <c r="C273" s="14" t="s">
        <v>234</v>
      </c>
      <c r="D273" s="9">
        <v>25.0</v>
      </c>
      <c r="E273" s="10">
        <v>0.6</v>
      </c>
      <c r="F273" s="9">
        <v>1.0</v>
      </c>
      <c r="G273" s="9">
        <v>1.0</v>
      </c>
      <c r="H273" s="9">
        <v>0.0</v>
      </c>
      <c r="I273" s="9">
        <v>0.0</v>
      </c>
      <c r="J273" s="17">
        <v>240.0</v>
      </c>
      <c r="K273" s="18">
        <v>240.0</v>
      </c>
      <c r="L273" s="17">
        <v>240.0</v>
      </c>
      <c r="M273" s="18">
        <v>240.0</v>
      </c>
      <c r="N273" s="18">
        <v>0.0</v>
      </c>
      <c r="O273" s="18">
        <v>0.236</v>
      </c>
      <c r="P273" s="4"/>
    </row>
    <row r="274">
      <c r="A274" s="8" t="s">
        <v>280</v>
      </c>
      <c r="B274" s="9">
        <v>30.0</v>
      </c>
      <c r="C274" s="14" t="s">
        <v>234</v>
      </c>
      <c r="D274" s="9">
        <v>25.0</v>
      </c>
      <c r="E274" s="10">
        <v>0.6</v>
      </c>
      <c r="F274" s="9">
        <v>2.0</v>
      </c>
      <c r="G274" s="9">
        <v>1.0</v>
      </c>
      <c r="H274" s="9">
        <v>0.0</v>
      </c>
      <c r="I274" s="9">
        <v>0.0</v>
      </c>
      <c r="J274" s="17">
        <v>7162.0</v>
      </c>
      <c r="K274" s="18">
        <v>235.385</v>
      </c>
      <c r="L274" s="17">
        <v>236.0</v>
      </c>
      <c r="M274" s="18">
        <v>236.0</v>
      </c>
      <c r="N274" s="18">
        <v>0.0</v>
      </c>
      <c r="O274" s="18">
        <v>1.253</v>
      </c>
      <c r="P274" s="4"/>
    </row>
    <row r="275">
      <c r="A275" s="8" t="s">
        <v>281</v>
      </c>
      <c r="B275" s="9">
        <v>30.0</v>
      </c>
      <c r="C275" s="14" t="s">
        <v>234</v>
      </c>
      <c r="D275" s="9">
        <v>25.0</v>
      </c>
      <c r="E275" s="10">
        <v>0.6</v>
      </c>
      <c r="F275" s="9">
        <v>3.0</v>
      </c>
      <c r="G275" s="9">
        <v>1.0</v>
      </c>
      <c r="H275" s="9">
        <v>0.0</v>
      </c>
      <c r="I275" s="9">
        <v>0.0</v>
      </c>
      <c r="J275" s="17">
        <v>7824.0</v>
      </c>
      <c r="K275" s="18">
        <v>289.545</v>
      </c>
      <c r="L275" s="17">
        <v>305.0</v>
      </c>
      <c r="M275" s="18">
        <v>305.0</v>
      </c>
      <c r="N275" s="18">
        <v>0.0</v>
      </c>
      <c r="O275" s="18">
        <v>13.136</v>
      </c>
      <c r="P275" s="4"/>
    </row>
    <row r="276">
      <c r="A276" s="8" t="s">
        <v>282</v>
      </c>
      <c r="B276" s="9">
        <v>30.0</v>
      </c>
      <c r="C276" s="14" t="s">
        <v>234</v>
      </c>
      <c r="D276" s="9">
        <v>25.0</v>
      </c>
      <c r="E276" s="10">
        <v>0.6</v>
      </c>
      <c r="F276" s="9">
        <v>4.0</v>
      </c>
      <c r="G276" s="9">
        <v>1.0</v>
      </c>
      <c r="H276" s="9">
        <v>0.0</v>
      </c>
      <c r="I276" s="9">
        <v>0.0</v>
      </c>
      <c r="J276" s="17">
        <v>6902.0</v>
      </c>
      <c r="K276" s="18">
        <v>215.333</v>
      </c>
      <c r="L276" s="17">
        <v>228.0</v>
      </c>
      <c r="M276" s="18">
        <v>228.0</v>
      </c>
      <c r="N276" s="18">
        <v>0.0</v>
      </c>
      <c r="O276" s="18">
        <v>8.366</v>
      </c>
      <c r="P276" s="4"/>
    </row>
    <row r="277">
      <c r="A277" s="8" t="s">
        <v>283</v>
      </c>
      <c r="B277" s="9">
        <v>30.0</v>
      </c>
      <c r="C277" s="14" t="s">
        <v>234</v>
      </c>
      <c r="D277" s="9">
        <v>25.0</v>
      </c>
      <c r="E277" s="10">
        <v>0.6</v>
      </c>
      <c r="F277" s="9">
        <v>5.0</v>
      </c>
      <c r="G277" s="9">
        <v>1.0</v>
      </c>
      <c r="H277" s="9">
        <v>0.0</v>
      </c>
      <c r="I277" s="9">
        <v>0.0</v>
      </c>
      <c r="J277" s="17">
        <v>6688.0</v>
      </c>
      <c r="K277" s="18">
        <v>211.667</v>
      </c>
      <c r="L277" s="17">
        <v>220.0</v>
      </c>
      <c r="M277" s="18">
        <v>220.0</v>
      </c>
      <c r="N277" s="18">
        <v>0.0</v>
      </c>
      <c r="O277" s="18">
        <v>7.674</v>
      </c>
      <c r="P277" s="4"/>
    </row>
    <row r="278">
      <c r="A278" s="8" t="s">
        <v>284</v>
      </c>
      <c r="B278" s="9">
        <v>30.0</v>
      </c>
      <c r="C278" s="14" t="s">
        <v>234</v>
      </c>
      <c r="D278" s="9">
        <v>25.0</v>
      </c>
      <c r="E278" s="10">
        <v>1.0</v>
      </c>
      <c r="F278" s="9">
        <v>1.0</v>
      </c>
      <c r="G278" s="9">
        <v>1.0</v>
      </c>
      <c r="H278" s="9">
        <v>0.0</v>
      </c>
      <c r="I278" s="9">
        <v>0.0</v>
      </c>
      <c r="J278" s="17">
        <v>13243.0</v>
      </c>
      <c r="K278" s="18">
        <v>1294.88</v>
      </c>
      <c r="L278" s="17">
        <v>1300.0</v>
      </c>
      <c r="M278" s="18">
        <v>1300.0</v>
      </c>
      <c r="N278" s="18">
        <v>0.0</v>
      </c>
      <c r="O278" s="18">
        <v>7.252</v>
      </c>
      <c r="P278" s="4"/>
    </row>
    <row r="279">
      <c r="A279" s="8" t="s">
        <v>285</v>
      </c>
      <c r="B279" s="9">
        <v>30.0</v>
      </c>
      <c r="C279" s="14" t="s">
        <v>234</v>
      </c>
      <c r="D279" s="9">
        <v>25.0</v>
      </c>
      <c r="E279" s="10">
        <v>1.0</v>
      </c>
      <c r="F279" s="9">
        <v>2.0</v>
      </c>
      <c r="G279" s="9">
        <v>1.0</v>
      </c>
      <c r="H279" s="9">
        <v>0.0</v>
      </c>
      <c r="I279" s="9">
        <v>0.0</v>
      </c>
      <c r="J279" s="17">
        <v>13102.0</v>
      </c>
      <c r="K279" s="18">
        <v>1280.16</v>
      </c>
      <c r="L279" s="17">
        <v>1285.0</v>
      </c>
      <c r="M279" s="18">
        <v>1285.0</v>
      </c>
      <c r="N279" s="18">
        <v>0.0</v>
      </c>
      <c r="O279" s="18">
        <v>8.809</v>
      </c>
      <c r="P279" s="4"/>
    </row>
    <row r="280">
      <c r="A280" s="8" t="s">
        <v>286</v>
      </c>
      <c r="B280" s="9">
        <v>30.0</v>
      </c>
      <c r="C280" s="14" t="s">
        <v>234</v>
      </c>
      <c r="D280" s="9">
        <v>25.0</v>
      </c>
      <c r="E280" s="10">
        <v>1.0</v>
      </c>
      <c r="F280" s="9">
        <v>3.0</v>
      </c>
      <c r="G280" s="9">
        <v>1.0</v>
      </c>
      <c r="H280" s="9">
        <v>0.0</v>
      </c>
      <c r="I280" s="9">
        <v>0.0</v>
      </c>
      <c r="J280" s="17">
        <v>14274.0</v>
      </c>
      <c r="K280" s="18">
        <v>1417.25</v>
      </c>
      <c r="L280" s="17">
        <v>1442.0</v>
      </c>
      <c r="M280" s="18">
        <v>1442.0</v>
      </c>
      <c r="N280" s="18">
        <v>0.0</v>
      </c>
      <c r="O280" s="18">
        <v>30.606</v>
      </c>
      <c r="P280" s="4"/>
    </row>
    <row r="281">
      <c r="A281" s="8" t="s">
        <v>287</v>
      </c>
      <c r="B281" s="9">
        <v>30.0</v>
      </c>
      <c r="C281" s="14" t="s">
        <v>234</v>
      </c>
      <c r="D281" s="9">
        <v>25.0</v>
      </c>
      <c r="E281" s="10">
        <v>1.0</v>
      </c>
      <c r="F281" s="9">
        <v>4.0</v>
      </c>
      <c r="G281" s="9">
        <v>1.0</v>
      </c>
      <c r="H281" s="9">
        <v>0.0</v>
      </c>
      <c r="I281" s="9">
        <v>0.0</v>
      </c>
      <c r="J281" s="17">
        <v>12632.0</v>
      </c>
      <c r="K281" s="18">
        <v>1240.33</v>
      </c>
      <c r="L281" s="17">
        <v>1249.0</v>
      </c>
      <c r="M281" s="18">
        <v>1249.0</v>
      </c>
      <c r="N281" s="18">
        <v>0.0</v>
      </c>
      <c r="O281" s="18">
        <v>18.586</v>
      </c>
      <c r="P281" s="4"/>
    </row>
    <row r="282">
      <c r="A282" s="8" t="s">
        <v>288</v>
      </c>
      <c r="B282" s="9">
        <v>30.0</v>
      </c>
      <c r="C282" s="14" t="s">
        <v>234</v>
      </c>
      <c r="D282" s="9">
        <v>25.0</v>
      </c>
      <c r="E282" s="10">
        <v>1.0</v>
      </c>
      <c r="F282" s="9">
        <v>5.0</v>
      </c>
      <c r="G282" s="9">
        <v>1.0</v>
      </c>
      <c r="H282" s="9">
        <v>0.0</v>
      </c>
      <c r="I282" s="9">
        <v>0.0</v>
      </c>
      <c r="J282" s="17">
        <v>12238.0</v>
      </c>
      <c r="K282" s="18">
        <v>1195.14</v>
      </c>
      <c r="L282" s="17">
        <v>1200.0</v>
      </c>
      <c r="M282" s="18">
        <v>1200.0</v>
      </c>
      <c r="N282" s="18">
        <v>0.0</v>
      </c>
      <c r="O282" s="18">
        <v>24.092</v>
      </c>
      <c r="P282" s="4"/>
    </row>
    <row r="283">
      <c r="A283" s="8" t="s">
        <v>289</v>
      </c>
      <c r="B283" s="9">
        <v>30.0</v>
      </c>
      <c r="C283" s="14" t="s">
        <v>234</v>
      </c>
      <c r="D283" s="9">
        <v>25.0</v>
      </c>
      <c r="E283" s="10">
        <v>2.0</v>
      </c>
      <c r="F283" s="9">
        <v>1.0</v>
      </c>
      <c r="G283" s="9">
        <v>0.0</v>
      </c>
      <c r="H283" s="9">
        <v>1.0</v>
      </c>
      <c r="I283" s="9">
        <v>0.0</v>
      </c>
      <c r="J283" s="17">
        <v>59893.0</v>
      </c>
      <c r="K283" s="18">
        <v>19057.5</v>
      </c>
      <c r="L283" s="17">
        <v>19965.0</v>
      </c>
      <c r="M283" s="18">
        <v>19057.5</v>
      </c>
      <c r="N283" s="18">
        <v>4.54545</v>
      </c>
      <c r="O283" s="18">
        <v>3600.0</v>
      </c>
      <c r="P283" s="4"/>
    </row>
    <row r="284">
      <c r="A284" s="8" t="s">
        <v>290</v>
      </c>
      <c r="B284" s="9">
        <v>30.0</v>
      </c>
      <c r="C284" s="14" t="s">
        <v>234</v>
      </c>
      <c r="D284" s="9">
        <v>25.0</v>
      </c>
      <c r="E284" s="10">
        <v>2.0</v>
      </c>
      <c r="F284" s="9">
        <v>2.0</v>
      </c>
      <c r="G284" s="9">
        <v>1.0</v>
      </c>
      <c r="H284" s="9">
        <v>0.0</v>
      </c>
      <c r="I284" s="9">
        <v>0.0</v>
      </c>
      <c r="J284" s="17">
        <v>59332.0</v>
      </c>
      <c r="K284" s="18">
        <v>17945.8</v>
      </c>
      <c r="L284" s="17">
        <v>17980.0</v>
      </c>
      <c r="M284" s="18">
        <v>17980.0</v>
      </c>
      <c r="N284" s="18">
        <v>0.0</v>
      </c>
      <c r="O284" s="18">
        <v>0.416</v>
      </c>
      <c r="P284" s="4"/>
    </row>
    <row r="285">
      <c r="A285" s="8" t="s">
        <v>291</v>
      </c>
      <c r="B285" s="9">
        <v>30.0</v>
      </c>
      <c r="C285" s="14" t="s">
        <v>234</v>
      </c>
      <c r="D285" s="9">
        <v>25.0</v>
      </c>
      <c r="E285" s="10">
        <v>2.0</v>
      </c>
      <c r="F285" s="9">
        <v>3.0</v>
      </c>
      <c r="G285" s="9">
        <v>1.0</v>
      </c>
      <c r="H285" s="9">
        <v>0.0</v>
      </c>
      <c r="I285" s="9">
        <v>0.0</v>
      </c>
      <c r="J285" s="17">
        <v>64614.0</v>
      </c>
      <c r="K285" s="18">
        <v>19468.1</v>
      </c>
      <c r="L285" s="17">
        <v>19580.0</v>
      </c>
      <c r="M285" s="18">
        <v>19580.0</v>
      </c>
      <c r="N285" s="18">
        <v>0.0</v>
      </c>
      <c r="O285" s="18">
        <v>8.972</v>
      </c>
      <c r="P285" s="4"/>
    </row>
    <row r="286">
      <c r="A286" s="8" t="s">
        <v>292</v>
      </c>
      <c r="B286" s="9">
        <v>30.0</v>
      </c>
      <c r="C286" s="14" t="s">
        <v>234</v>
      </c>
      <c r="D286" s="9">
        <v>25.0</v>
      </c>
      <c r="E286" s="10">
        <v>2.0</v>
      </c>
      <c r="F286" s="9">
        <v>4.0</v>
      </c>
      <c r="G286" s="9">
        <v>1.0</v>
      </c>
      <c r="H286" s="9">
        <v>0.0</v>
      </c>
      <c r="I286" s="9">
        <v>0.0</v>
      </c>
      <c r="J286" s="17">
        <v>57122.0</v>
      </c>
      <c r="K286" s="18">
        <v>17235.3</v>
      </c>
      <c r="L286" s="17">
        <v>17310.0</v>
      </c>
      <c r="M286" s="18">
        <v>17310.0</v>
      </c>
      <c r="N286" s="18">
        <v>0.0</v>
      </c>
      <c r="O286" s="18">
        <v>2.737</v>
      </c>
      <c r="P286" s="4"/>
    </row>
    <row r="287">
      <c r="A287" s="8" t="s">
        <v>293</v>
      </c>
      <c r="B287" s="9">
        <v>30.0</v>
      </c>
      <c r="C287" s="14" t="s">
        <v>234</v>
      </c>
      <c r="D287" s="9">
        <v>25.0</v>
      </c>
      <c r="E287" s="10">
        <v>2.0</v>
      </c>
      <c r="F287" s="9">
        <v>5.0</v>
      </c>
      <c r="G287" s="9">
        <v>1.0</v>
      </c>
      <c r="H287" s="9">
        <v>0.0</v>
      </c>
      <c r="I287" s="9">
        <v>0.0</v>
      </c>
      <c r="J287" s="17">
        <v>55438.0</v>
      </c>
      <c r="K287" s="18">
        <v>16758.6</v>
      </c>
      <c r="L287" s="17">
        <v>16800.0</v>
      </c>
      <c r="M287" s="18">
        <v>16800.0</v>
      </c>
      <c r="N287" s="18">
        <v>0.0</v>
      </c>
      <c r="O287" s="18">
        <v>0.897</v>
      </c>
      <c r="P287" s="4"/>
    </row>
    <row r="288">
      <c r="A288" s="8" t="s">
        <v>294</v>
      </c>
      <c r="B288" s="9">
        <v>30.0</v>
      </c>
      <c r="C288" s="14" t="s">
        <v>234</v>
      </c>
      <c r="D288" s="9">
        <v>50.0</v>
      </c>
      <c r="E288" s="10">
        <v>0.6</v>
      </c>
      <c r="F288" s="9">
        <v>1.0</v>
      </c>
      <c r="G288" s="9">
        <v>1.0</v>
      </c>
      <c r="H288" s="9">
        <v>0.0</v>
      </c>
      <c r="I288" s="9">
        <v>0.0</v>
      </c>
      <c r="J288" s="17">
        <v>13787.0</v>
      </c>
      <c r="K288" s="18">
        <v>676.083</v>
      </c>
      <c r="L288" s="17">
        <v>704.0</v>
      </c>
      <c r="M288" s="18">
        <v>704.0</v>
      </c>
      <c r="N288" s="18">
        <v>0.0</v>
      </c>
      <c r="O288" s="18">
        <v>11.686</v>
      </c>
      <c r="P288" s="4"/>
    </row>
    <row r="289">
      <c r="A289" s="8" t="s">
        <v>295</v>
      </c>
      <c r="B289" s="9">
        <v>30.0</v>
      </c>
      <c r="C289" s="14" t="s">
        <v>234</v>
      </c>
      <c r="D289" s="9">
        <v>50.0</v>
      </c>
      <c r="E289" s="10">
        <v>0.6</v>
      </c>
      <c r="F289" s="9">
        <v>2.0</v>
      </c>
      <c r="G289" s="9">
        <v>1.0</v>
      </c>
      <c r="H289" s="9">
        <v>0.0</v>
      </c>
      <c r="I289" s="9">
        <v>0.0</v>
      </c>
      <c r="J289" s="17">
        <v>14957.0</v>
      </c>
      <c r="K289" s="18">
        <v>746.607</v>
      </c>
      <c r="L289" s="17">
        <v>770.0</v>
      </c>
      <c r="M289" s="18">
        <v>770.0</v>
      </c>
      <c r="N289" s="18">
        <v>0.0</v>
      </c>
      <c r="O289" s="18">
        <v>5.369</v>
      </c>
      <c r="P289" s="4"/>
    </row>
    <row r="290">
      <c r="A290" s="8" t="s">
        <v>296</v>
      </c>
      <c r="B290" s="9">
        <v>30.0</v>
      </c>
      <c r="C290" s="14" t="s">
        <v>234</v>
      </c>
      <c r="D290" s="9">
        <v>50.0</v>
      </c>
      <c r="E290" s="10">
        <v>0.6</v>
      </c>
      <c r="F290" s="9">
        <v>3.0</v>
      </c>
      <c r="G290" s="9">
        <v>1.0</v>
      </c>
      <c r="H290" s="9">
        <v>0.0</v>
      </c>
      <c r="I290" s="9">
        <v>0.0</v>
      </c>
      <c r="J290" s="17">
        <v>13710.0</v>
      </c>
      <c r="K290" s="18">
        <v>680.667</v>
      </c>
      <c r="L290" s="17">
        <v>696.0</v>
      </c>
      <c r="M290" s="18">
        <v>696.0</v>
      </c>
      <c r="N290" s="18">
        <v>0.0</v>
      </c>
      <c r="O290" s="18">
        <v>4.515</v>
      </c>
      <c r="P290" s="4"/>
    </row>
    <row r="291">
      <c r="A291" s="8" t="s">
        <v>297</v>
      </c>
      <c r="B291" s="9">
        <v>30.0</v>
      </c>
      <c r="C291" s="14" t="s">
        <v>234</v>
      </c>
      <c r="D291" s="9">
        <v>50.0</v>
      </c>
      <c r="E291" s="10">
        <v>0.6</v>
      </c>
      <c r="F291" s="9">
        <v>4.0</v>
      </c>
      <c r="G291" s="9">
        <v>1.0</v>
      </c>
      <c r="H291" s="9">
        <v>0.0</v>
      </c>
      <c r="I291" s="9">
        <v>0.0</v>
      </c>
      <c r="J291" s="17">
        <v>13842.0</v>
      </c>
      <c r="K291" s="18">
        <v>734.0</v>
      </c>
      <c r="L291" s="17">
        <v>743.0</v>
      </c>
      <c r="M291" s="18">
        <v>743.0</v>
      </c>
      <c r="N291" s="18">
        <v>0.0</v>
      </c>
      <c r="O291" s="18">
        <v>3.262</v>
      </c>
      <c r="P291" s="4"/>
    </row>
    <row r="292">
      <c r="A292" s="8" t="s">
        <v>298</v>
      </c>
      <c r="B292" s="9">
        <v>30.0</v>
      </c>
      <c r="C292" s="14" t="s">
        <v>234</v>
      </c>
      <c r="D292" s="9">
        <v>50.0</v>
      </c>
      <c r="E292" s="10">
        <v>0.6</v>
      </c>
      <c r="F292" s="9">
        <v>5.0</v>
      </c>
      <c r="G292" s="9">
        <v>1.0</v>
      </c>
      <c r="H292" s="9">
        <v>0.0</v>
      </c>
      <c r="I292" s="9">
        <v>0.0</v>
      </c>
      <c r="J292" s="17">
        <v>14965.0</v>
      </c>
      <c r="K292" s="18">
        <v>782.223</v>
      </c>
      <c r="L292" s="17">
        <v>792.0</v>
      </c>
      <c r="M292" s="18">
        <v>792.0</v>
      </c>
      <c r="N292" s="18">
        <v>0.0</v>
      </c>
      <c r="O292" s="18">
        <v>1.685</v>
      </c>
      <c r="P292" s="4"/>
    </row>
    <row r="293">
      <c r="A293" s="8" t="s">
        <v>299</v>
      </c>
      <c r="B293" s="9">
        <v>30.0</v>
      </c>
      <c r="C293" s="14" t="s">
        <v>234</v>
      </c>
      <c r="D293" s="9">
        <v>50.0</v>
      </c>
      <c r="E293" s="10">
        <v>1.0</v>
      </c>
      <c r="F293" s="9">
        <v>1.0</v>
      </c>
      <c r="G293" s="9">
        <v>1.0</v>
      </c>
      <c r="H293" s="9">
        <v>0.0</v>
      </c>
      <c r="I293" s="9">
        <v>0.0</v>
      </c>
      <c r="J293" s="17">
        <v>25187.0</v>
      </c>
      <c r="K293" s="18">
        <v>2717.23</v>
      </c>
      <c r="L293" s="17">
        <v>2829.0</v>
      </c>
      <c r="M293" s="18">
        <v>2829.0</v>
      </c>
      <c r="N293" s="18">
        <v>0.0</v>
      </c>
      <c r="O293" s="18">
        <v>92.379</v>
      </c>
      <c r="P293" s="4"/>
    </row>
    <row r="294">
      <c r="A294" s="8" t="s">
        <v>300</v>
      </c>
      <c r="B294" s="9">
        <v>30.0</v>
      </c>
      <c r="C294" s="14" t="s">
        <v>234</v>
      </c>
      <c r="D294" s="9">
        <v>50.0</v>
      </c>
      <c r="E294" s="10">
        <v>1.0</v>
      </c>
      <c r="F294" s="9">
        <v>2.0</v>
      </c>
      <c r="G294" s="9">
        <v>1.0</v>
      </c>
      <c r="H294" s="9">
        <v>0.0</v>
      </c>
      <c r="I294" s="9">
        <v>0.0</v>
      </c>
      <c r="J294" s="17">
        <v>27377.0</v>
      </c>
      <c r="K294" s="18">
        <v>3034.2</v>
      </c>
      <c r="L294" s="17">
        <v>3229.0</v>
      </c>
      <c r="M294" s="18">
        <v>3229.0</v>
      </c>
      <c r="N294" s="18">
        <v>0.0</v>
      </c>
      <c r="O294" s="18">
        <v>2946.79</v>
      </c>
      <c r="P294" s="4"/>
    </row>
    <row r="295">
      <c r="A295" s="8" t="s">
        <v>301</v>
      </c>
      <c r="B295" s="9">
        <v>30.0</v>
      </c>
      <c r="C295" s="14" t="s">
        <v>234</v>
      </c>
      <c r="D295" s="9">
        <v>50.0</v>
      </c>
      <c r="E295" s="10">
        <v>1.0</v>
      </c>
      <c r="F295" s="9">
        <v>3.0</v>
      </c>
      <c r="G295" s="9">
        <v>0.0</v>
      </c>
      <c r="H295" s="9">
        <v>1.0</v>
      </c>
      <c r="I295" s="9">
        <v>0.0</v>
      </c>
      <c r="J295" s="17">
        <v>25080.0</v>
      </c>
      <c r="K295" s="18">
        <v>2722.32</v>
      </c>
      <c r="L295" s="17">
        <v>3053.0</v>
      </c>
      <c r="M295" s="18">
        <v>2909.07</v>
      </c>
      <c r="N295" s="18">
        <v>4.71433</v>
      </c>
      <c r="O295" s="18">
        <v>3600.0</v>
      </c>
      <c r="P295" s="4"/>
    </row>
    <row r="296">
      <c r="A296" s="8" t="s">
        <v>302</v>
      </c>
      <c r="B296" s="9">
        <v>30.0</v>
      </c>
      <c r="C296" s="14" t="s">
        <v>234</v>
      </c>
      <c r="D296" s="9">
        <v>50.0</v>
      </c>
      <c r="E296" s="10">
        <v>1.0</v>
      </c>
      <c r="F296" s="9">
        <v>4.0</v>
      </c>
      <c r="G296" s="9">
        <v>1.0</v>
      </c>
      <c r="H296" s="9">
        <v>0.0</v>
      </c>
      <c r="I296" s="9">
        <v>0.0</v>
      </c>
      <c r="J296" s="17">
        <v>25332.0</v>
      </c>
      <c r="K296" s="18">
        <v>2774.02</v>
      </c>
      <c r="L296" s="17">
        <v>2878.0</v>
      </c>
      <c r="M296" s="18">
        <v>2878.0</v>
      </c>
      <c r="N296" s="18">
        <v>0.0</v>
      </c>
      <c r="O296" s="18">
        <v>85.52</v>
      </c>
      <c r="P296" s="4"/>
    </row>
    <row r="297">
      <c r="A297" s="8" t="s">
        <v>303</v>
      </c>
      <c r="B297" s="9">
        <v>30.0</v>
      </c>
      <c r="C297" s="14" t="s">
        <v>234</v>
      </c>
      <c r="D297" s="9">
        <v>50.0</v>
      </c>
      <c r="E297" s="10">
        <v>1.0</v>
      </c>
      <c r="F297" s="9">
        <v>5.0</v>
      </c>
      <c r="G297" s="9">
        <v>1.0</v>
      </c>
      <c r="H297" s="9">
        <v>0.0</v>
      </c>
      <c r="I297" s="9">
        <v>0.0</v>
      </c>
      <c r="J297" s="17">
        <v>27385.0</v>
      </c>
      <c r="K297" s="18">
        <v>3089.0</v>
      </c>
      <c r="L297" s="17">
        <v>3211.0</v>
      </c>
      <c r="M297" s="18">
        <v>3211.0</v>
      </c>
      <c r="N297" s="18">
        <v>0.0</v>
      </c>
      <c r="O297" s="18">
        <v>99.166</v>
      </c>
      <c r="P297" s="4"/>
    </row>
    <row r="298">
      <c r="A298" s="8" t="s">
        <v>304</v>
      </c>
      <c r="B298" s="9">
        <v>30.0</v>
      </c>
      <c r="C298" s="14" t="s">
        <v>234</v>
      </c>
      <c r="D298" s="9">
        <v>50.0</v>
      </c>
      <c r="E298" s="10">
        <v>2.0</v>
      </c>
      <c r="F298" s="9">
        <v>1.0</v>
      </c>
      <c r="G298" s="9">
        <v>1.0</v>
      </c>
      <c r="H298" s="9">
        <v>0.0</v>
      </c>
      <c r="I298" s="9">
        <v>0.0</v>
      </c>
      <c r="J298" s="17">
        <v>114047.0</v>
      </c>
      <c r="K298" s="18">
        <v>34659.1</v>
      </c>
      <c r="L298" s="17">
        <v>34695.0</v>
      </c>
      <c r="M298" s="18">
        <v>34695.0</v>
      </c>
      <c r="N298" s="18">
        <v>0.0</v>
      </c>
      <c r="O298" s="18">
        <v>0.315</v>
      </c>
      <c r="P298" s="4"/>
    </row>
    <row r="299">
      <c r="A299" s="8" t="s">
        <v>305</v>
      </c>
      <c r="B299" s="9">
        <v>30.0</v>
      </c>
      <c r="C299" s="14" t="s">
        <v>234</v>
      </c>
      <c r="D299" s="9">
        <v>50.0</v>
      </c>
      <c r="E299" s="10">
        <v>2.0</v>
      </c>
      <c r="F299" s="9">
        <v>2.0</v>
      </c>
      <c r="G299" s="9">
        <v>1.0</v>
      </c>
      <c r="H299" s="9">
        <v>0.0</v>
      </c>
      <c r="I299" s="9">
        <v>0.0</v>
      </c>
      <c r="J299" s="17">
        <v>123947.0</v>
      </c>
      <c r="K299" s="18">
        <v>37466.7</v>
      </c>
      <c r="L299" s="17">
        <v>37599.0</v>
      </c>
      <c r="M299" s="18">
        <v>37599.0</v>
      </c>
      <c r="N299" s="18">
        <v>0.0</v>
      </c>
      <c r="O299" s="18">
        <v>3.247</v>
      </c>
      <c r="P299" s="4"/>
    </row>
    <row r="300">
      <c r="A300" s="8" t="s">
        <v>306</v>
      </c>
      <c r="B300" s="9">
        <v>30.0</v>
      </c>
      <c r="C300" s="14" t="s">
        <v>234</v>
      </c>
      <c r="D300" s="9">
        <v>50.0</v>
      </c>
      <c r="E300" s="10">
        <v>2.0</v>
      </c>
      <c r="F300" s="9">
        <v>3.0</v>
      </c>
      <c r="G300" s="9">
        <v>1.0</v>
      </c>
      <c r="H300" s="9">
        <v>0.0</v>
      </c>
      <c r="I300" s="9">
        <v>0.0</v>
      </c>
      <c r="J300" s="17">
        <v>113520.0</v>
      </c>
      <c r="K300" s="18">
        <v>34458.9</v>
      </c>
      <c r="L300" s="17">
        <v>34502.0</v>
      </c>
      <c r="M300" s="18">
        <v>34502.0</v>
      </c>
      <c r="N300" s="18">
        <v>0.0</v>
      </c>
      <c r="O300" s="18">
        <v>0.251</v>
      </c>
      <c r="P300" s="4"/>
    </row>
    <row r="301">
      <c r="A301" s="8" t="s">
        <v>307</v>
      </c>
      <c r="B301" s="9">
        <v>30.0</v>
      </c>
      <c r="C301" s="14" t="s">
        <v>234</v>
      </c>
      <c r="D301" s="9">
        <v>50.0</v>
      </c>
      <c r="E301" s="10">
        <v>2.0</v>
      </c>
      <c r="F301" s="9">
        <v>4.0</v>
      </c>
      <c r="G301" s="9">
        <v>1.0</v>
      </c>
      <c r="H301" s="9">
        <v>0.0</v>
      </c>
      <c r="I301" s="9">
        <v>0.0</v>
      </c>
      <c r="J301" s="17">
        <v>114642.0</v>
      </c>
      <c r="K301" s="18">
        <v>34820.0</v>
      </c>
      <c r="L301" s="17">
        <v>34847.0</v>
      </c>
      <c r="M301" s="18">
        <v>34847.0</v>
      </c>
      <c r="N301" s="18">
        <v>0.0</v>
      </c>
      <c r="O301" s="18">
        <v>0.455</v>
      </c>
      <c r="P301" s="4"/>
    </row>
    <row r="302">
      <c r="A302" s="8" t="s">
        <v>308</v>
      </c>
      <c r="B302" s="9">
        <v>30.0</v>
      </c>
      <c r="C302" s="14" t="s">
        <v>234</v>
      </c>
      <c r="D302" s="9">
        <v>50.0</v>
      </c>
      <c r="E302" s="10">
        <v>2.0</v>
      </c>
      <c r="F302" s="9">
        <v>5.0</v>
      </c>
      <c r="G302" s="9">
        <v>1.0</v>
      </c>
      <c r="H302" s="9">
        <v>0.0</v>
      </c>
      <c r="I302" s="9">
        <v>0.0</v>
      </c>
      <c r="J302" s="17">
        <v>124045.0</v>
      </c>
      <c r="K302" s="18">
        <v>37300.9</v>
      </c>
      <c r="L302" s="17">
        <v>37602.0</v>
      </c>
      <c r="M302" s="18">
        <v>37602.0</v>
      </c>
      <c r="N302" s="18">
        <v>0.0</v>
      </c>
      <c r="O302" s="18">
        <v>21.818</v>
      </c>
      <c r="P302" s="4"/>
    </row>
    <row r="303">
      <c r="A303" s="8" t="s">
        <v>309</v>
      </c>
      <c r="B303" s="9">
        <v>30.0</v>
      </c>
      <c r="C303" s="14" t="s">
        <v>234</v>
      </c>
      <c r="D303" s="9">
        <v>75.0</v>
      </c>
      <c r="E303" s="10">
        <v>0.6</v>
      </c>
      <c r="F303" s="9">
        <v>1.0</v>
      </c>
      <c r="G303" s="9">
        <v>1.0</v>
      </c>
      <c r="H303" s="9">
        <v>0.0</v>
      </c>
      <c r="I303" s="9">
        <v>0.0</v>
      </c>
      <c r="J303" s="17">
        <v>20519.0</v>
      </c>
      <c r="K303" s="18">
        <v>1373.4</v>
      </c>
      <c r="L303" s="17">
        <v>1402.0</v>
      </c>
      <c r="M303" s="18">
        <v>1402.0</v>
      </c>
      <c r="N303" s="18">
        <v>0.0</v>
      </c>
      <c r="O303" s="18">
        <v>3.693</v>
      </c>
      <c r="P303" s="4"/>
    </row>
    <row r="304">
      <c r="A304" s="8" t="s">
        <v>310</v>
      </c>
      <c r="B304" s="9">
        <v>30.0</v>
      </c>
      <c r="C304" s="14" t="s">
        <v>234</v>
      </c>
      <c r="D304" s="9">
        <v>75.0</v>
      </c>
      <c r="E304" s="10">
        <v>0.6</v>
      </c>
      <c r="F304" s="9">
        <v>2.0</v>
      </c>
      <c r="G304" s="9">
        <v>1.0</v>
      </c>
      <c r="H304" s="9">
        <v>0.0</v>
      </c>
      <c r="I304" s="9">
        <v>0.0</v>
      </c>
      <c r="J304" s="17">
        <v>23827.0</v>
      </c>
      <c r="K304" s="18">
        <v>1753.67</v>
      </c>
      <c r="L304" s="17">
        <v>1789.0</v>
      </c>
      <c r="M304" s="18">
        <v>1789.0</v>
      </c>
      <c r="N304" s="18">
        <v>0.0</v>
      </c>
      <c r="O304" s="18">
        <v>3.333</v>
      </c>
      <c r="P304" s="4"/>
    </row>
    <row r="305">
      <c r="A305" s="8" t="s">
        <v>311</v>
      </c>
      <c r="B305" s="9">
        <v>30.0</v>
      </c>
      <c r="C305" s="14" t="s">
        <v>234</v>
      </c>
      <c r="D305" s="9">
        <v>75.0</v>
      </c>
      <c r="E305" s="10">
        <v>0.6</v>
      </c>
      <c r="F305" s="9">
        <v>3.0</v>
      </c>
      <c r="G305" s="9">
        <v>1.0</v>
      </c>
      <c r="H305" s="9">
        <v>0.0</v>
      </c>
      <c r="I305" s="9">
        <v>0.0</v>
      </c>
      <c r="J305" s="17">
        <v>21090.0</v>
      </c>
      <c r="K305" s="18">
        <v>1408.67</v>
      </c>
      <c r="L305" s="17">
        <v>1433.0</v>
      </c>
      <c r="M305" s="18">
        <v>1433.0</v>
      </c>
      <c r="N305" s="18">
        <v>0.0</v>
      </c>
      <c r="O305" s="18">
        <v>2.328</v>
      </c>
      <c r="P305" s="4"/>
    </row>
    <row r="306">
      <c r="A306" s="8" t="s">
        <v>312</v>
      </c>
      <c r="B306" s="9">
        <v>30.0</v>
      </c>
      <c r="C306" s="14" t="s">
        <v>234</v>
      </c>
      <c r="D306" s="9">
        <v>75.0</v>
      </c>
      <c r="E306" s="10">
        <v>0.6</v>
      </c>
      <c r="F306" s="9">
        <v>4.0</v>
      </c>
      <c r="G306" s="9">
        <v>1.0</v>
      </c>
      <c r="H306" s="9">
        <v>0.0</v>
      </c>
      <c r="I306" s="9">
        <v>0.0</v>
      </c>
      <c r="J306" s="17">
        <v>23405.0</v>
      </c>
      <c r="K306" s="18">
        <v>1653.5</v>
      </c>
      <c r="L306" s="17">
        <v>1676.0</v>
      </c>
      <c r="M306" s="18">
        <v>1676.0</v>
      </c>
      <c r="N306" s="18">
        <v>0.0</v>
      </c>
      <c r="O306" s="18">
        <v>3.266</v>
      </c>
      <c r="P306" s="4"/>
    </row>
    <row r="307">
      <c r="A307" s="8" t="s">
        <v>313</v>
      </c>
      <c r="B307" s="9">
        <v>30.0</v>
      </c>
      <c r="C307" s="14" t="s">
        <v>234</v>
      </c>
      <c r="D307" s="9">
        <v>75.0</v>
      </c>
      <c r="E307" s="10">
        <v>0.6</v>
      </c>
      <c r="F307" s="9">
        <v>5.0</v>
      </c>
      <c r="G307" s="9">
        <v>1.0</v>
      </c>
      <c r="H307" s="9">
        <v>0.0</v>
      </c>
      <c r="I307" s="9">
        <v>0.0</v>
      </c>
      <c r="J307" s="17">
        <v>1565.0</v>
      </c>
      <c r="K307" s="18">
        <v>1565.0</v>
      </c>
      <c r="L307" s="17">
        <v>1565.0</v>
      </c>
      <c r="M307" s="18">
        <v>1565.0</v>
      </c>
      <c r="N307" s="18">
        <v>0.0</v>
      </c>
      <c r="O307" s="18">
        <v>0.698</v>
      </c>
      <c r="P307" s="4"/>
    </row>
    <row r="308">
      <c r="A308" s="8" t="s">
        <v>314</v>
      </c>
      <c r="B308" s="9">
        <v>30.0</v>
      </c>
      <c r="C308" s="14" t="s">
        <v>234</v>
      </c>
      <c r="D308" s="9">
        <v>75.0</v>
      </c>
      <c r="E308" s="10">
        <v>1.0</v>
      </c>
      <c r="F308" s="9">
        <v>1.0</v>
      </c>
      <c r="G308" s="9">
        <v>1.0</v>
      </c>
      <c r="H308" s="9">
        <v>0.0</v>
      </c>
      <c r="I308" s="9">
        <v>0.0</v>
      </c>
      <c r="J308" s="17">
        <v>37529.0</v>
      </c>
      <c r="K308" s="18">
        <v>4614.73</v>
      </c>
      <c r="L308" s="17">
        <v>4756.0</v>
      </c>
      <c r="M308" s="18">
        <v>4756.0</v>
      </c>
      <c r="N308" s="18">
        <v>0.0</v>
      </c>
      <c r="O308" s="18">
        <v>85.755</v>
      </c>
      <c r="P308" s="4"/>
    </row>
    <row r="309">
      <c r="A309" s="8" t="s">
        <v>315</v>
      </c>
      <c r="B309" s="9">
        <v>30.0</v>
      </c>
      <c r="C309" s="14" t="s">
        <v>234</v>
      </c>
      <c r="D309" s="9">
        <v>75.0</v>
      </c>
      <c r="E309" s="10">
        <v>1.0</v>
      </c>
      <c r="F309" s="9">
        <v>2.0</v>
      </c>
      <c r="G309" s="9">
        <v>0.0</v>
      </c>
      <c r="H309" s="9">
        <v>1.0</v>
      </c>
      <c r="I309" s="9">
        <v>0.0</v>
      </c>
      <c r="J309" s="17">
        <v>43597.0</v>
      </c>
      <c r="K309" s="18">
        <v>5617.21</v>
      </c>
      <c r="L309" s="17">
        <v>6013.0</v>
      </c>
      <c r="M309" s="18">
        <v>5868.89</v>
      </c>
      <c r="N309" s="18">
        <v>2.39666</v>
      </c>
      <c r="O309" s="18">
        <v>3600.0</v>
      </c>
      <c r="P309" s="4"/>
    </row>
    <row r="310">
      <c r="A310" s="8" t="s">
        <v>316</v>
      </c>
      <c r="B310" s="9">
        <v>30.0</v>
      </c>
      <c r="C310" s="14" t="s">
        <v>234</v>
      </c>
      <c r="D310" s="9">
        <v>75.0</v>
      </c>
      <c r="E310" s="10">
        <v>1.0</v>
      </c>
      <c r="F310" s="9">
        <v>3.0</v>
      </c>
      <c r="G310" s="9">
        <v>1.0</v>
      </c>
      <c r="H310" s="9">
        <v>0.0</v>
      </c>
      <c r="I310" s="9">
        <v>0.0</v>
      </c>
      <c r="J310" s="17">
        <v>38550.0</v>
      </c>
      <c r="K310" s="18">
        <v>4807.07</v>
      </c>
      <c r="L310" s="17">
        <v>4895.0</v>
      </c>
      <c r="M310" s="18">
        <v>4895.0</v>
      </c>
      <c r="N310" s="18">
        <v>0.0</v>
      </c>
      <c r="O310" s="18">
        <v>50.027</v>
      </c>
      <c r="P310" s="4"/>
    </row>
    <row r="311">
      <c r="A311" s="8" t="s">
        <v>317</v>
      </c>
      <c r="B311" s="9">
        <v>30.0</v>
      </c>
      <c r="C311" s="14" t="s">
        <v>234</v>
      </c>
      <c r="D311" s="9">
        <v>75.0</v>
      </c>
      <c r="E311" s="10">
        <v>1.0</v>
      </c>
      <c r="F311" s="9">
        <v>4.0</v>
      </c>
      <c r="G311" s="9">
        <v>1.0</v>
      </c>
      <c r="H311" s="9">
        <v>0.0</v>
      </c>
      <c r="I311" s="9">
        <v>0.0</v>
      </c>
      <c r="J311" s="17">
        <v>42785.0</v>
      </c>
      <c r="K311" s="18">
        <v>5387.38</v>
      </c>
      <c r="L311" s="17">
        <v>5619.0</v>
      </c>
      <c r="M311" s="18">
        <v>5619.0</v>
      </c>
      <c r="N311" s="18">
        <v>0.0</v>
      </c>
      <c r="O311" s="18">
        <v>799.042</v>
      </c>
      <c r="P311" s="4"/>
    </row>
    <row r="312">
      <c r="A312" s="8" t="s">
        <v>318</v>
      </c>
      <c r="B312" s="9">
        <v>30.0</v>
      </c>
      <c r="C312" s="14" t="s">
        <v>234</v>
      </c>
      <c r="D312" s="9">
        <v>75.0</v>
      </c>
      <c r="E312" s="10">
        <v>1.0</v>
      </c>
      <c r="F312" s="9">
        <v>5.0</v>
      </c>
      <c r="G312" s="9">
        <v>1.0</v>
      </c>
      <c r="H312" s="9">
        <v>0.0</v>
      </c>
      <c r="I312" s="9">
        <v>0.0</v>
      </c>
      <c r="J312" s="17">
        <v>40576.0</v>
      </c>
      <c r="K312" s="18">
        <v>5126.02</v>
      </c>
      <c r="L312" s="17">
        <v>5289.0</v>
      </c>
      <c r="M312" s="18">
        <v>5289.0</v>
      </c>
      <c r="N312" s="18">
        <v>0.0</v>
      </c>
      <c r="O312" s="18">
        <v>273.677</v>
      </c>
      <c r="P312" s="4"/>
    </row>
    <row r="313">
      <c r="A313" s="8" t="s">
        <v>319</v>
      </c>
      <c r="B313" s="9">
        <v>30.0</v>
      </c>
      <c r="C313" s="14" t="s">
        <v>234</v>
      </c>
      <c r="D313" s="9">
        <v>75.0</v>
      </c>
      <c r="E313" s="10">
        <v>2.0</v>
      </c>
      <c r="F313" s="9">
        <v>1.0</v>
      </c>
      <c r="G313" s="9">
        <v>1.0</v>
      </c>
      <c r="H313" s="9">
        <v>0.0</v>
      </c>
      <c r="I313" s="9">
        <v>0.0</v>
      </c>
      <c r="J313" s="17">
        <v>169949.0</v>
      </c>
      <c r="K313" s="18">
        <v>52047.5</v>
      </c>
      <c r="L313" s="17">
        <v>52062.0</v>
      </c>
      <c r="M313" s="18">
        <v>52062.0</v>
      </c>
      <c r="N313" s="18">
        <v>0.0</v>
      </c>
      <c r="O313" s="18">
        <v>0.2</v>
      </c>
      <c r="P313" s="4"/>
    </row>
    <row r="314">
      <c r="A314" s="8" t="s">
        <v>320</v>
      </c>
      <c r="B314" s="9">
        <v>30.0</v>
      </c>
      <c r="C314" s="14" t="s">
        <v>234</v>
      </c>
      <c r="D314" s="9">
        <v>75.0</v>
      </c>
      <c r="E314" s="10">
        <v>2.0</v>
      </c>
      <c r="F314" s="9">
        <v>2.0</v>
      </c>
      <c r="G314" s="9">
        <v>1.0</v>
      </c>
      <c r="H314" s="9">
        <v>0.0</v>
      </c>
      <c r="I314" s="9">
        <v>0.0</v>
      </c>
      <c r="J314" s="17">
        <v>197437.0</v>
      </c>
      <c r="K314" s="18">
        <v>60263.0</v>
      </c>
      <c r="L314" s="17">
        <v>60343.0</v>
      </c>
      <c r="M314" s="18">
        <v>60343.0</v>
      </c>
      <c r="N314" s="18">
        <v>0.0</v>
      </c>
      <c r="O314" s="18">
        <v>0.651</v>
      </c>
      <c r="P314" s="4"/>
    </row>
    <row r="315">
      <c r="A315" s="8" t="s">
        <v>321</v>
      </c>
      <c r="B315" s="9">
        <v>30.0</v>
      </c>
      <c r="C315" s="14" t="s">
        <v>234</v>
      </c>
      <c r="D315" s="9">
        <v>75.0</v>
      </c>
      <c r="E315" s="10">
        <v>2.0</v>
      </c>
      <c r="F315" s="9">
        <v>3.0</v>
      </c>
      <c r="G315" s="9">
        <v>1.0</v>
      </c>
      <c r="H315" s="9">
        <v>0.0</v>
      </c>
      <c r="I315" s="9">
        <v>0.0</v>
      </c>
      <c r="J315" s="17">
        <v>174570.0</v>
      </c>
      <c r="K315" s="18">
        <v>53077.5</v>
      </c>
      <c r="L315" s="17">
        <v>53178.0</v>
      </c>
      <c r="M315" s="18">
        <v>53178.0</v>
      </c>
      <c r="N315" s="18">
        <v>0.0</v>
      </c>
      <c r="O315" s="18">
        <v>1.792</v>
      </c>
      <c r="P315" s="4"/>
    </row>
    <row r="316">
      <c r="A316" s="8" t="s">
        <v>322</v>
      </c>
      <c r="B316" s="9">
        <v>30.0</v>
      </c>
      <c r="C316" s="14" t="s">
        <v>234</v>
      </c>
      <c r="D316" s="9">
        <v>75.0</v>
      </c>
      <c r="E316" s="10">
        <v>2.0</v>
      </c>
      <c r="F316" s="9">
        <v>4.0</v>
      </c>
      <c r="G316" s="9">
        <v>1.0</v>
      </c>
      <c r="H316" s="9">
        <v>0.0</v>
      </c>
      <c r="I316" s="9">
        <v>0.0</v>
      </c>
      <c r="J316" s="17">
        <v>59057.0</v>
      </c>
      <c r="K316" s="18">
        <v>59057.0</v>
      </c>
      <c r="L316" s="17">
        <v>59057.0</v>
      </c>
      <c r="M316" s="18">
        <v>59057.0</v>
      </c>
      <c r="N316" s="18">
        <v>0.0</v>
      </c>
      <c r="O316" s="18">
        <v>0.158</v>
      </c>
      <c r="P316" s="4"/>
    </row>
    <row r="317">
      <c r="A317" s="8" t="s">
        <v>323</v>
      </c>
      <c r="B317" s="9">
        <v>30.0</v>
      </c>
      <c r="C317" s="14" t="s">
        <v>234</v>
      </c>
      <c r="D317" s="9">
        <v>75.0</v>
      </c>
      <c r="E317" s="10">
        <v>2.0</v>
      </c>
      <c r="F317" s="9">
        <v>5.0</v>
      </c>
      <c r="G317" s="9">
        <v>1.0</v>
      </c>
      <c r="H317" s="9">
        <v>0.0</v>
      </c>
      <c r="I317" s="9">
        <v>0.0</v>
      </c>
      <c r="J317" s="17">
        <v>183676.0</v>
      </c>
      <c r="K317" s="18">
        <v>55644.1</v>
      </c>
      <c r="L317" s="17">
        <v>55967.0</v>
      </c>
      <c r="M317" s="18">
        <v>55967.0</v>
      </c>
      <c r="N317" s="18">
        <v>0.0</v>
      </c>
      <c r="O317" s="18">
        <v>40.142</v>
      </c>
      <c r="P317" s="4"/>
    </row>
    <row r="318">
      <c r="A318" s="8" t="s">
        <v>324</v>
      </c>
      <c r="B318" s="9">
        <v>35.0</v>
      </c>
      <c r="C318" s="14" t="s">
        <v>234</v>
      </c>
      <c r="D318" s="9">
        <v>25.0</v>
      </c>
      <c r="E318" s="10">
        <v>0.6</v>
      </c>
      <c r="F318" s="9">
        <v>1.0</v>
      </c>
      <c r="G318" s="9">
        <v>1.0</v>
      </c>
      <c r="H318" s="9">
        <v>0.0</v>
      </c>
      <c r="I318" s="9">
        <v>0.0</v>
      </c>
      <c r="J318" s="17">
        <v>250.0</v>
      </c>
      <c r="K318" s="18">
        <v>250.0</v>
      </c>
      <c r="L318" s="17">
        <v>250.0</v>
      </c>
      <c r="M318" s="18">
        <v>250.0</v>
      </c>
      <c r="N318" s="18">
        <v>0.0</v>
      </c>
      <c r="O318" s="18">
        <v>1.256</v>
      </c>
      <c r="P318" s="4"/>
    </row>
    <row r="319">
      <c r="A319" s="8" t="s">
        <v>325</v>
      </c>
      <c r="B319" s="9">
        <v>35.0</v>
      </c>
      <c r="C319" s="14" t="s">
        <v>234</v>
      </c>
      <c r="D319" s="9">
        <v>25.0</v>
      </c>
      <c r="E319" s="10">
        <v>0.6</v>
      </c>
      <c r="F319" s="9">
        <v>2.0</v>
      </c>
      <c r="G319" s="9">
        <v>1.0</v>
      </c>
      <c r="H319" s="9">
        <v>0.0</v>
      </c>
      <c r="I319" s="9">
        <v>0.0</v>
      </c>
      <c r="J319" s="17">
        <v>9804.0</v>
      </c>
      <c r="K319" s="18">
        <v>262.375</v>
      </c>
      <c r="L319" s="17">
        <v>281.0</v>
      </c>
      <c r="M319" s="18">
        <v>281.0</v>
      </c>
      <c r="N319" s="18">
        <v>0.0</v>
      </c>
      <c r="O319" s="18">
        <v>150.517</v>
      </c>
      <c r="P319" s="4"/>
    </row>
    <row r="320">
      <c r="A320" s="8" t="s">
        <v>326</v>
      </c>
      <c r="B320" s="9">
        <v>35.0</v>
      </c>
      <c r="C320" s="14" t="s">
        <v>234</v>
      </c>
      <c r="D320" s="9">
        <v>25.0</v>
      </c>
      <c r="E320" s="10">
        <v>0.6</v>
      </c>
      <c r="F320" s="9">
        <v>3.0</v>
      </c>
      <c r="G320" s="9">
        <v>1.0</v>
      </c>
      <c r="H320" s="9">
        <v>0.0</v>
      </c>
      <c r="I320" s="9">
        <v>0.0</v>
      </c>
      <c r="J320" s="17">
        <v>6953.0</v>
      </c>
      <c r="K320" s="18">
        <v>167.833</v>
      </c>
      <c r="L320" s="17">
        <v>176.0</v>
      </c>
      <c r="M320" s="18">
        <v>176.0</v>
      </c>
      <c r="N320" s="18">
        <v>0.0</v>
      </c>
      <c r="O320" s="18">
        <v>17.66</v>
      </c>
      <c r="P320" s="4"/>
    </row>
    <row r="321">
      <c r="A321" s="8" t="s">
        <v>327</v>
      </c>
      <c r="B321" s="9">
        <v>35.0</v>
      </c>
      <c r="C321" s="14" t="s">
        <v>234</v>
      </c>
      <c r="D321" s="9">
        <v>25.0</v>
      </c>
      <c r="E321" s="10">
        <v>0.6</v>
      </c>
      <c r="F321" s="9">
        <v>4.0</v>
      </c>
      <c r="G321" s="9">
        <v>1.0</v>
      </c>
      <c r="H321" s="9">
        <v>0.0</v>
      </c>
      <c r="I321" s="9">
        <v>0.0</v>
      </c>
      <c r="J321" s="17">
        <v>11114.0</v>
      </c>
      <c r="K321" s="18">
        <v>333.667</v>
      </c>
      <c r="L321" s="17">
        <v>355.0</v>
      </c>
      <c r="M321" s="18">
        <v>355.0</v>
      </c>
      <c r="N321" s="18">
        <v>0.0</v>
      </c>
      <c r="O321" s="18">
        <v>160.467</v>
      </c>
      <c r="P321" s="4"/>
    </row>
    <row r="322">
      <c r="A322" s="8" t="s">
        <v>328</v>
      </c>
      <c r="B322" s="9">
        <v>35.0</v>
      </c>
      <c r="C322" s="14" t="s">
        <v>234</v>
      </c>
      <c r="D322" s="9">
        <v>25.0</v>
      </c>
      <c r="E322" s="10">
        <v>0.6</v>
      </c>
      <c r="F322" s="9">
        <v>5.0</v>
      </c>
      <c r="G322" s="9">
        <v>1.0</v>
      </c>
      <c r="H322" s="9">
        <v>0.0</v>
      </c>
      <c r="I322" s="9">
        <v>0.0</v>
      </c>
      <c r="J322" s="17">
        <v>11106.0</v>
      </c>
      <c r="K322" s="18">
        <v>326.824</v>
      </c>
      <c r="L322" s="17">
        <v>355.0</v>
      </c>
      <c r="M322" s="18">
        <v>355.0</v>
      </c>
      <c r="N322" s="18">
        <v>0.0</v>
      </c>
      <c r="O322" s="18">
        <v>792.929</v>
      </c>
      <c r="P322" s="4"/>
    </row>
    <row r="323">
      <c r="A323" s="8" t="s">
        <v>329</v>
      </c>
      <c r="B323" s="9">
        <v>35.0</v>
      </c>
      <c r="C323" s="14" t="s">
        <v>234</v>
      </c>
      <c r="D323" s="9">
        <v>25.0</v>
      </c>
      <c r="E323" s="10">
        <v>1.0</v>
      </c>
      <c r="F323" s="9">
        <v>1.0</v>
      </c>
      <c r="G323" s="9">
        <v>1.0</v>
      </c>
      <c r="H323" s="9">
        <v>0.0</v>
      </c>
      <c r="I323" s="9">
        <v>0.0</v>
      </c>
      <c r="J323" s="17">
        <v>16673.0</v>
      </c>
      <c r="K323" s="18">
        <v>1325.0</v>
      </c>
      <c r="L323" s="17">
        <v>1334.0</v>
      </c>
      <c r="M323" s="18">
        <v>1334.0</v>
      </c>
      <c r="N323" s="18">
        <v>0.0</v>
      </c>
      <c r="O323" s="18">
        <v>133.495</v>
      </c>
      <c r="P323" s="4"/>
    </row>
    <row r="324">
      <c r="A324" s="8" t="s">
        <v>330</v>
      </c>
      <c r="B324" s="9">
        <v>35.0</v>
      </c>
      <c r="C324" s="14" t="s">
        <v>234</v>
      </c>
      <c r="D324" s="9">
        <v>25.0</v>
      </c>
      <c r="E324" s="10">
        <v>1.0</v>
      </c>
      <c r="F324" s="9">
        <v>2.0</v>
      </c>
      <c r="G324" s="9">
        <v>1.0</v>
      </c>
      <c r="H324" s="9">
        <v>0.0</v>
      </c>
      <c r="I324" s="9">
        <v>0.0</v>
      </c>
      <c r="J324" s="17">
        <v>17189.0</v>
      </c>
      <c r="K324" s="18">
        <v>1362.52</v>
      </c>
      <c r="L324" s="17">
        <v>1370.0</v>
      </c>
      <c r="M324" s="18">
        <v>1370.0</v>
      </c>
      <c r="N324" s="18">
        <v>0.0</v>
      </c>
      <c r="O324" s="18">
        <v>33.328</v>
      </c>
      <c r="P324" s="4"/>
    </row>
    <row r="325">
      <c r="A325" s="8" t="s">
        <v>331</v>
      </c>
      <c r="B325" s="9">
        <v>35.0</v>
      </c>
      <c r="C325" s="14" t="s">
        <v>234</v>
      </c>
      <c r="D325" s="9">
        <v>25.0</v>
      </c>
      <c r="E325" s="10">
        <v>1.0</v>
      </c>
      <c r="F325" s="9">
        <v>3.0</v>
      </c>
      <c r="G325" s="9">
        <v>1.0</v>
      </c>
      <c r="H325" s="9">
        <v>0.0</v>
      </c>
      <c r="I325" s="9">
        <v>0.0</v>
      </c>
      <c r="J325" s="17">
        <v>12203.0</v>
      </c>
      <c r="K325" s="18">
        <v>966.655</v>
      </c>
      <c r="L325" s="17">
        <v>970.0</v>
      </c>
      <c r="M325" s="18">
        <v>970.0</v>
      </c>
      <c r="N325" s="18">
        <v>0.0</v>
      </c>
      <c r="O325" s="18">
        <v>553.66</v>
      </c>
      <c r="P325" s="4"/>
    </row>
    <row r="326">
      <c r="A326" s="8" t="s">
        <v>332</v>
      </c>
      <c r="B326" s="9">
        <v>35.0</v>
      </c>
      <c r="C326" s="14" t="s">
        <v>234</v>
      </c>
      <c r="D326" s="9">
        <v>25.0</v>
      </c>
      <c r="E326" s="10">
        <v>1.0</v>
      </c>
      <c r="F326" s="9">
        <v>4.0</v>
      </c>
      <c r="G326" s="9">
        <v>1.0</v>
      </c>
      <c r="H326" s="9">
        <v>0.0</v>
      </c>
      <c r="I326" s="9">
        <v>0.0</v>
      </c>
      <c r="J326" s="17">
        <v>19444.0</v>
      </c>
      <c r="K326" s="18">
        <v>1564.38</v>
      </c>
      <c r="L326" s="17">
        <v>1589.0</v>
      </c>
      <c r="M326" s="18">
        <v>1589.0</v>
      </c>
      <c r="N326" s="18">
        <v>0.0</v>
      </c>
      <c r="O326" s="18">
        <v>52.186</v>
      </c>
      <c r="P326" s="4"/>
    </row>
    <row r="327">
      <c r="A327" s="8" t="s">
        <v>333</v>
      </c>
      <c r="B327" s="9">
        <v>35.0</v>
      </c>
      <c r="C327" s="14" t="s">
        <v>234</v>
      </c>
      <c r="D327" s="9">
        <v>25.0</v>
      </c>
      <c r="E327" s="10">
        <v>1.0</v>
      </c>
      <c r="F327" s="9">
        <v>5.0</v>
      </c>
      <c r="G327" s="9">
        <v>1.0</v>
      </c>
      <c r="H327" s="9">
        <v>0.0</v>
      </c>
      <c r="I327" s="9">
        <v>0.0</v>
      </c>
      <c r="J327" s="17">
        <v>19401.0</v>
      </c>
      <c r="K327" s="18">
        <v>1551.58</v>
      </c>
      <c r="L327" s="17">
        <v>1597.0</v>
      </c>
      <c r="M327" s="18">
        <v>1597.0</v>
      </c>
      <c r="N327" s="18">
        <v>0.0</v>
      </c>
      <c r="O327" s="18">
        <v>317.76</v>
      </c>
      <c r="P327" s="4"/>
    </row>
    <row r="328">
      <c r="A328" s="8" t="s">
        <v>334</v>
      </c>
      <c r="B328" s="9">
        <v>35.0</v>
      </c>
      <c r="C328" s="14" t="s">
        <v>234</v>
      </c>
      <c r="D328" s="9">
        <v>25.0</v>
      </c>
      <c r="E328" s="10">
        <v>2.0</v>
      </c>
      <c r="F328" s="9">
        <v>1.0</v>
      </c>
      <c r="G328" s="9">
        <v>1.0</v>
      </c>
      <c r="H328" s="9">
        <v>0.0</v>
      </c>
      <c r="I328" s="9">
        <v>0.0</v>
      </c>
      <c r="J328" s="17">
        <v>73163.0</v>
      </c>
      <c r="K328" s="18">
        <v>18790.0</v>
      </c>
      <c r="L328" s="17">
        <v>18790.0</v>
      </c>
      <c r="M328" s="18">
        <v>18790.0</v>
      </c>
      <c r="N328" s="18">
        <v>0.0</v>
      </c>
      <c r="O328" s="18">
        <v>0.193</v>
      </c>
      <c r="P328" s="4"/>
    </row>
    <row r="329">
      <c r="A329" s="8" t="s">
        <v>335</v>
      </c>
      <c r="B329" s="9">
        <v>35.0</v>
      </c>
      <c r="C329" s="14" t="s">
        <v>234</v>
      </c>
      <c r="D329" s="9">
        <v>25.0</v>
      </c>
      <c r="E329" s="10">
        <v>2.0</v>
      </c>
      <c r="F329" s="9">
        <v>2.0</v>
      </c>
      <c r="G329" s="9">
        <v>0.0</v>
      </c>
      <c r="H329" s="9">
        <v>1.0</v>
      </c>
      <c r="I329" s="9">
        <v>0.0</v>
      </c>
      <c r="J329" s="17">
        <v>75499.0</v>
      </c>
      <c r="K329" s="18">
        <v>19208.2</v>
      </c>
      <c r="L329" s="17">
        <v>19390.0</v>
      </c>
      <c r="M329" s="18">
        <v>19264.1</v>
      </c>
      <c r="N329" s="18">
        <v>0.649153</v>
      </c>
      <c r="O329" s="18">
        <v>3600.0</v>
      </c>
      <c r="P329" s="4"/>
    </row>
    <row r="330">
      <c r="A330" s="8" t="s">
        <v>336</v>
      </c>
      <c r="B330" s="9">
        <v>35.0</v>
      </c>
      <c r="C330" s="14" t="s">
        <v>234</v>
      </c>
      <c r="D330" s="9">
        <v>25.0</v>
      </c>
      <c r="E330" s="10">
        <v>2.0</v>
      </c>
      <c r="F330" s="9">
        <v>3.0</v>
      </c>
      <c r="G330" s="9">
        <v>0.0</v>
      </c>
      <c r="H330" s="9">
        <v>1.0</v>
      </c>
      <c r="I330" s="9">
        <v>0.0</v>
      </c>
      <c r="J330" s="17">
        <v>53538.0</v>
      </c>
      <c r="K330" s="18">
        <v>13702.6</v>
      </c>
      <c r="L330" s="17">
        <v>13750.0</v>
      </c>
      <c r="M330" s="18">
        <v>13720.5</v>
      </c>
      <c r="N330" s="18">
        <v>0.214607</v>
      </c>
      <c r="O330" s="18">
        <v>3600.0</v>
      </c>
      <c r="P330" s="4"/>
    </row>
    <row r="331">
      <c r="A331" s="8" t="s">
        <v>337</v>
      </c>
      <c r="B331" s="9">
        <v>35.0</v>
      </c>
      <c r="C331" s="14" t="s">
        <v>234</v>
      </c>
      <c r="D331" s="9">
        <v>25.0</v>
      </c>
      <c r="E331" s="10">
        <v>2.0</v>
      </c>
      <c r="F331" s="9">
        <v>4.0</v>
      </c>
      <c r="G331" s="9">
        <v>1.0</v>
      </c>
      <c r="H331" s="9">
        <v>0.0</v>
      </c>
      <c r="I331" s="9">
        <v>0.0</v>
      </c>
      <c r="J331" s="17">
        <v>85349.0</v>
      </c>
      <c r="K331" s="18">
        <v>21869.2</v>
      </c>
      <c r="L331" s="17">
        <v>21920.0</v>
      </c>
      <c r="M331" s="18">
        <v>21920.0</v>
      </c>
      <c r="N331" s="18">
        <v>0.0</v>
      </c>
      <c r="O331" s="18">
        <v>22.496</v>
      </c>
      <c r="P331" s="4"/>
    </row>
    <row r="332">
      <c r="A332" s="8" t="s">
        <v>338</v>
      </c>
      <c r="B332" s="9">
        <v>35.0</v>
      </c>
      <c r="C332" s="14" t="s">
        <v>234</v>
      </c>
      <c r="D332" s="9">
        <v>25.0</v>
      </c>
      <c r="E332" s="10">
        <v>2.0</v>
      </c>
      <c r="F332" s="9">
        <v>5.0</v>
      </c>
      <c r="G332" s="9">
        <v>1.0</v>
      </c>
      <c r="H332" s="9">
        <v>0.0</v>
      </c>
      <c r="I332" s="9">
        <v>0.0</v>
      </c>
      <c r="J332" s="17">
        <v>85271.0</v>
      </c>
      <c r="K332" s="18">
        <v>21875.9</v>
      </c>
      <c r="L332" s="17">
        <v>21900.0</v>
      </c>
      <c r="M332" s="18">
        <v>21900.0</v>
      </c>
      <c r="N332" s="18">
        <v>0.0</v>
      </c>
      <c r="O332" s="18">
        <v>20.575</v>
      </c>
      <c r="P332" s="4"/>
    </row>
    <row r="333">
      <c r="A333" s="8" t="s">
        <v>339</v>
      </c>
      <c r="B333" s="9">
        <v>35.0</v>
      </c>
      <c r="C333" s="14" t="s">
        <v>234</v>
      </c>
      <c r="D333" s="9">
        <v>50.0</v>
      </c>
      <c r="E333" s="10">
        <v>0.6</v>
      </c>
      <c r="F333" s="9">
        <v>1.0</v>
      </c>
      <c r="G333" s="9">
        <v>1.0</v>
      </c>
      <c r="H333" s="9">
        <v>0.0</v>
      </c>
      <c r="I333" s="9">
        <v>0.0</v>
      </c>
      <c r="J333" s="17">
        <v>18128.0</v>
      </c>
      <c r="K333" s="18">
        <v>744.017</v>
      </c>
      <c r="L333" s="17">
        <v>768.0</v>
      </c>
      <c r="M333" s="18">
        <v>768.0</v>
      </c>
      <c r="N333" s="18">
        <v>0.0</v>
      </c>
      <c r="O333" s="18">
        <v>28.537</v>
      </c>
      <c r="P333" s="4"/>
    </row>
    <row r="334">
      <c r="A334" s="8" t="s">
        <v>340</v>
      </c>
      <c r="B334" s="9">
        <v>35.0</v>
      </c>
      <c r="C334" s="14" t="s">
        <v>234</v>
      </c>
      <c r="D334" s="9">
        <v>50.0</v>
      </c>
      <c r="E334" s="10">
        <v>0.6</v>
      </c>
      <c r="F334" s="9">
        <v>2.0</v>
      </c>
      <c r="G334" s="9">
        <v>1.0</v>
      </c>
      <c r="H334" s="9">
        <v>0.0</v>
      </c>
      <c r="I334" s="9">
        <v>0.0</v>
      </c>
      <c r="J334" s="17">
        <v>17965.0</v>
      </c>
      <c r="K334" s="18">
        <v>783.75</v>
      </c>
      <c r="L334" s="17">
        <v>808.0</v>
      </c>
      <c r="M334" s="18">
        <v>808.0</v>
      </c>
      <c r="N334" s="18">
        <v>0.0</v>
      </c>
      <c r="O334" s="18">
        <v>26.888</v>
      </c>
      <c r="P334" s="4"/>
    </row>
    <row r="335">
      <c r="A335" s="8" t="s">
        <v>341</v>
      </c>
      <c r="B335" s="9">
        <v>35.0</v>
      </c>
      <c r="C335" s="14" t="s">
        <v>234</v>
      </c>
      <c r="D335" s="9">
        <v>50.0</v>
      </c>
      <c r="E335" s="10">
        <v>0.6</v>
      </c>
      <c r="F335" s="9">
        <v>3.0</v>
      </c>
      <c r="G335" s="9">
        <v>1.0</v>
      </c>
      <c r="H335" s="9">
        <v>0.0</v>
      </c>
      <c r="I335" s="9">
        <v>0.0</v>
      </c>
      <c r="J335" s="17">
        <v>19038.0</v>
      </c>
      <c r="K335" s="18">
        <v>836.081</v>
      </c>
      <c r="L335" s="17">
        <v>867.0</v>
      </c>
      <c r="M335" s="18">
        <v>867.0</v>
      </c>
      <c r="N335" s="18">
        <v>0.0</v>
      </c>
      <c r="O335" s="18">
        <v>29.056</v>
      </c>
      <c r="P335" s="4"/>
    </row>
    <row r="336">
      <c r="A336" s="8" t="s">
        <v>342</v>
      </c>
      <c r="B336" s="9">
        <v>35.0</v>
      </c>
      <c r="C336" s="14" t="s">
        <v>234</v>
      </c>
      <c r="D336" s="9">
        <v>50.0</v>
      </c>
      <c r="E336" s="10">
        <v>0.6</v>
      </c>
      <c r="F336" s="9">
        <v>4.0</v>
      </c>
      <c r="G336" s="9">
        <v>1.0</v>
      </c>
      <c r="H336" s="9">
        <v>0.0</v>
      </c>
      <c r="I336" s="9">
        <v>0.0</v>
      </c>
      <c r="J336" s="17">
        <v>20378.0</v>
      </c>
      <c r="K336" s="18">
        <v>880.702</v>
      </c>
      <c r="L336" s="17">
        <v>920.0</v>
      </c>
      <c r="M336" s="18">
        <v>920.0</v>
      </c>
      <c r="N336" s="18">
        <v>0.0</v>
      </c>
      <c r="O336" s="18">
        <v>25.732</v>
      </c>
      <c r="P336" s="4"/>
    </row>
    <row r="337">
      <c r="A337" s="8" t="s">
        <v>343</v>
      </c>
      <c r="B337" s="9">
        <v>35.0</v>
      </c>
      <c r="C337" s="14" t="s">
        <v>234</v>
      </c>
      <c r="D337" s="9">
        <v>50.0</v>
      </c>
      <c r="E337" s="10">
        <v>0.6</v>
      </c>
      <c r="F337" s="9">
        <v>5.0</v>
      </c>
      <c r="G337" s="9">
        <v>1.0</v>
      </c>
      <c r="H337" s="9">
        <v>0.0</v>
      </c>
      <c r="I337" s="9">
        <v>0.0</v>
      </c>
      <c r="J337" s="17">
        <v>19560.0</v>
      </c>
      <c r="K337" s="18">
        <v>789.584</v>
      </c>
      <c r="L337" s="17">
        <v>794.0</v>
      </c>
      <c r="M337" s="18">
        <v>794.0</v>
      </c>
      <c r="N337" s="18">
        <v>0.0</v>
      </c>
      <c r="O337" s="18">
        <v>3.625</v>
      </c>
      <c r="P337" s="4"/>
    </row>
    <row r="338">
      <c r="A338" s="8" t="s">
        <v>344</v>
      </c>
      <c r="B338" s="9">
        <v>35.0</v>
      </c>
      <c r="C338" s="14" t="s">
        <v>234</v>
      </c>
      <c r="D338" s="9">
        <v>50.0</v>
      </c>
      <c r="E338" s="10">
        <v>1.0</v>
      </c>
      <c r="F338" s="9">
        <v>1.0</v>
      </c>
      <c r="G338" s="9">
        <v>1.0</v>
      </c>
      <c r="H338" s="9">
        <v>0.0</v>
      </c>
      <c r="I338" s="9">
        <v>0.0</v>
      </c>
      <c r="J338" s="17">
        <v>31743.0</v>
      </c>
      <c r="K338" s="18">
        <v>2892.0</v>
      </c>
      <c r="L338" s="17">
        <v>3036.0</v>
      </c>
      <c r="M338" s="18">
        <v>3036.0</v>
      </c>
      <c r="N338" s="18">
        <v>0.0</v>
      </c>
      <c r="O338" s="18">
        <v>1577.47</v>
      </c>
      <c r="P338" s="4"/>
    </row>
    <row r="339">
      <c r="A339" s="8" t="s">
        <v>345</v>
      </c>
      <c r="B339" s="9">
        <v>35.0</v>
      </c>
      <c r="C339" s="14" t="s">
        <v>234</v>
      </c>
      <c r="D339" s="9">
        <v>50.0</v>
      </c>
      <c r="E339" s="10">
        <v>1.0</v>
      </c>
      <c r="F339" s="9">
        <v>2.0</v>
      </c>
      <c r="G339" s="9">
        <v>1.0</v>
      </c>
      <c r="H339" s="9">
        <v>0.0</v>
      </c>
      <c r="I339" s="9">
        <v>0.0</v>
      </c>
      <c r="J339" s="17">
        <v>31475.0</v>
      </c>
      <c r="K339" s="18">
        <v>2951.73</v>
      </c>
      <c r="L339" s="17">
        <v>3124.0</v>
      </c>
      <c r="M339" s="18">
        <v>3124.0</v>
      </c>
      <c r="N339" s="18">
        <v>0.0</v>
      </c>
      <c r="O339" s="18">
        <v>3060.91</v>
      </c>
      <c r="P339" s="4"/>
    </row>
    <row r="340">
      <c r="A340" s="8" t="s">
        <v>346</v>
      </c>
      <c r="B340" s="9">
        <v>35.0</v>
      </c>
      <c r="C340" s="14" t="s">
        <v>234</v>
      </c>
      <c r="D340" s="9">
        <v>50.0</v>
      </c>
      <c r="E340" s="10">
        <v>1.0</v>
      </c>
      <c r="F340" s="9">
        <v>3.0</v>
      </c>
      <c r="G340" s="9">
        <v>1.0</v>
      </c>
      <c r="H340" s="9">
        <v>0.0</v>
      </c>
      <c r="I340" s="9">
        <v>0.0</v>
      </c>
      <c r="J340" s="17">
        <v>33318.0</v>
      </c>
      <c r="K340" s="18">
        <v>3170.36</v>
      </c>
      <c r="L340" s="17">
        <v>3315.0</v>
      </c>
      <c r="M340" s="18">
        <v>3315.0</v>
      </c>
      <c r="N340" s="18">
        <v>0.0</v>
      </c>
      <c r="O340" s="18">
        <v>1509.46</v>
      </c>
      <c r="P340" s="4"/>
    </row>
    <row r="341">
      <c r="A341" s="8" t="s">
        <v>347</v>
      </c>
      <c r="B341" s="9">
        <v>35.0</v>
      </c>
      <c r="C341" s="14" t="s">
        <v>234</v>
      </c>
      <c r="D341" s="9">
        <v>50.0</v>
      </c>
      <c r="E341" s="10">
        <v>1.0</v>
      </c>
      <c r="F341" s="9">
        <v>4.0</v>
      </c>
      <c r="G341" s="9">
        <v>1.0</v>
      </c>
      <c r="H341" s="9">
        <v>0.0</v>
      </c>
      <c r="I341" s="9">
        <v>0.0</v>
      </c>
      <c r="J341" s="17">
        <v>35708.0</v>
      </c>
      <c r="K341" s="18">
        <v>3395.38</v>
      </c>
      <c r="L341" s="17">
        <v>3566.0</v>
      </c>
      <c r="M341" s="18">
        <v>3566.0</v>
      </c>
      <c r="N341" s="18">
        <v>0.0</v>
      </c>
      <c r="O341" s="18">
        <v>3044.4</v>
      </c>
      <c r="P341" s="4"/>
    </row>
    <row r="342">
      <c r="A342" s="8" t="s">
        <v>348</v>
      </c>
      <c r="B342" s="9">
        <v>35.0</v>
      </c>
      <c r="C342" s="14" t="s">
        <v>234</v>
      </c>
      <c r="D342" s="9">
        <v>50.0</v>
      </c>
      <c r="E342" s="10">
        <v>1.0</v>
      </c>
      <c r="F342" s="9">
        <v>5.0</v>
      </c>
      <c r="G342" s="9">
        <v>1.0</v>
      </c>
      <c r="H342" s="9">
        <v>0.0</v>
      </c>
      <c r="I342" s="9">
        <v>0.0</v>
      </c>
      <c r="J342" s="17">
        <v>34260.0</v>
      </c>
      <c r="K342" s="18">
        <v>3109.0</v>
      </c>
      <c r="L342" s="17">
        <v>3334.0</v>
      </c>
      <c r="M342" s="18">
        <v>3334.0</v>
      </c>
      <c r="N342" s="18">
        <v>0.0</v>
      </c>
      <c r="O342" s="18">
        <v>2644.77</v>
      </c>
      <c r="P342" s="4"/>
    </row>
    <row r="343">
      <c r="A343" s="8" t="s">
        <v>349</v>
      </c>
      <c r="B343" s="9">
        <v>35.0</v>
      </c>
      <c r="C343" s="14" t="s">
        <v>234</v>
      </c>
      <c r="D343" s="9">
        <v>50.0</v>
      </c>
      <c r="E343" s="10">
        <v>2.0</v>
      </c>
      <c r="F343" s="9">
        <v>1.0</v>
      </c>
      <c r="G343" s="9">
        <v>1.0</v>
      </c>
      <c r="H343" s="9">
        <v>0.0</v>
      </c>
      <c r="I343" s="9">
        <v>0.0</v>
      </c>
      <c r="J343" s="17">
        <v>139473.0</v>
      </c>
      <c r="K343" s="18">
        <v>35651.3</v>
      </c>
      <c r="L343" s="17">
        <v>35832.0</v>
      </c>
      <c r="M343" s="18">
        <v>35832.0</v>
      </c>
      <c r="N343" s="18">
        <v>0.0</v>
      </c>
      <c r="O343" s="18">
        <v>452.768</v>
      </c>
      <c r="P343" s="4"/>
    </row>
    <row r="344">
      <c r="A344" s="8" t="s">
        <v>350</v>
      </c>
      <c r="B344" s="9">
        <v>35.0</v>
      </c>
      <c r="C344" s="14" t="s">
        <v>234</v>
      </c>
      <c r="D344" s="9">
        <v>50.0</v>
      </c>
      <c r="E344" s="10">
        <v>2.0</v>
      </c>
      <c r="F344" s="9">
        <v>2.0</v>
      </c>
      <c r="G344" s="9">
        <v>1.0</v>
      </c>
      <c r="H344" s="9">
        <v>0.0</v>
      </c>
      <c r="I344" s="9">
        <v>0.0</v>
      </c>
      <c r="J344" s="17">
        <v>138225.0</v>
      </c>
      <c r="K344" s="18">
        <v>35576.6</v>
      </c>
      <c r="L344" s="17">
        <v>35635.0</v>
      </c>
      <c r="M344" s="18">
        <v>35635.0</v>
      </c>
      <c r="N344" s="18">
        <v>0.0</v>
      </c>
      <c r="O344" s="18">
        <v>2.901</v>
      </c>
      <c r="P344" s="4"/>
    </row>
    <row r="345">
      <c r="A345" s="8" t="s">
        <v>351</v>
      </c>
      <c r="B345" s="9">
        <v>35.0</v>
      </c>
      <c r="C345" s="14" t="s">
        <v>234</v>
      </c>
      <c r="D345" s="9">
        <v>50.0</v>
      </c>
      <c r="E345" s="10">
        <v>2.0</v>
      </c>
      <c r="F345" s="9">
        <v>3.0</v>
      </c>
      <c r="G345" s="9">
        <v>1.0</v>
      </c>
      <c r="H345" s="9">
        <v>0.0</v>
      </c>
      <c r="I345" s="9">
        <v>0.0</v>
      </c>
      <c r="J345" s="17">
        <v>146403.0</v>
      </c>
      <c r="K345" s="18">
        <v>37386.3</v>
      </c>
      <c r="L345" s="17">
        <v>37626.0</v>
      </c>
      <c r="M345" s="18">
        <v>37626.0</v>
      </c>
      <c r="N345" s="18">
        <v>0.0</v>
      </c>
      <c r="O345" s="18">
        <v>3052.41</v>
      </c>
      <c r="P345" s="4"/>
    </row>
    <row r="346">
      <c r="A346" s="8" t="s">
        <v>352</v>
      </c>
      <c r="B346" s="9">
        <v>35.0</v>
      </c>
      <c r="C346" s="14" t="s">
        <v>234</v>
      </c>
      <c r="D346" s="9">
        <v>50.0</v>
      </c>
      <c r="E346" s="10">
        <v>2.0</v>
      </c>
      <c r="F346" s="9">
        <v>4.0</v>
      </c>
      <c r="G346" s="9">
        <v>0.0</v>
      </c>
      <c r="H346" s="9">
        <v>1.0</v>
      </c>
      <c r="I346" s="9">
        <v>0.0</v>
      </c>
      <c r="J346" s="17">
        <v>156878.0</v>
      </c>
      <c r="K346" s="18">
        <v>39977.0</v>
      </c>
      <c r="L346" s="17">
        <v>40346.0</v>
      </c>
      <c r="M346" s="18">
        <v>40229.5</v>
      </c>
      <c r="N346" s="18">
        <v>0.288865</v>
      </c>
      <c r="O346" s="18">
        <v>3600.0</v>
      </c>
      <c r="P346" s="4"/>
    </row>
    <row r="347">
      <c r="A347" s="8" t="s">
        <v>353</v>
      </c>
      <c r="B347" s="9">
        <v>35.0</v>
      </c>
      <c r="C347" s="14" t="s">
        <v>234</v>
      </c>
      <c r="D347" s="9">
        <v>50.0</v>
      </c>
      <c r="E347" s="10">
        <v>2.0</v>
      </c>
      <c r="F347" s="9">
        <v>5.0</v>
      </c>
      <c r="G347" s="9">
        <v>1.0</v>
      </c>
      <c r="H347" s="9">
        <v>0.0</v>
      </c>
      <c r="I347" s="9">
        <v>0.0</v>
      </c>
      <c r="J347" s="17">
        <v>150530.0</v>
      </c>
      <c r="K347" s="18">
        <v>38437.9</v>
      </c>
      <c r="L347" s="17">
        <v>38673.0</v>
      </c>
      <c r="M347" s="18">
        <v>38673.0</v>
      </c>
      <c r="N347" s="18">
        <v>0.0</v>
      </c>
      <c r="O347" s="18">
        <v>536.65</v>
      </c>
      <c r="P347" s="4"/>
    </row>
    <row r="348">
      <c r="A348" s="8" t="s">
        <v>354</v>
      </c>
      <c r="B348" s="9">
        <v>35.0</v>
      </c>
      <c r="C348" s="14" t="s">
        <v>234</v>
      </c>
      <c r="D348" s="9">
        <v>75.0</v>
      </c>
      <c r="E348" s="10">
        <v>0.6</v>
      </c>
      <c r="F348" s="9">
        <v>1.0</v>
      </c>
      <c r="G348" s="9">
        <v>1.0</v>
      </c>
      <c r="H348" s="9">
        <v>0.0</v>
      </c>
      <c r="I348" s="9">
        <v>0.0</v>
      </c>
      <c r="J348" s="17">
        <v>29041.0</v>
      </c>
      <c r="K348" s="18">
        <v>1675.13</v>
      </c>
      <c r="L348" s="17">
        <v>1700.0</v>
      </c>
      <c r="M348" s="18">
        <v>1700.0</v>
      </c>
      <c r="N348" s="18">
        <v>0.0</v>
      </c>
      <c r="O348" s="18">
        <v>8.608</v>
      </c>
      <c r="P348" s="4"/>
    </row>
    <row r="349">
      <c r="A349" s="8" t="s">
        <v>355</v>
      </c>
      <c r="B349" s="9">
        <v>35.0</v>
      </c>
      <c r="C349" s="14" t="s">
        <v>234</v>
      </c>
      <c r="D349" s="9">
        <v>75.0</v>
      </c>
      <c r="E349" s="10">
        <v>0.6</v>
      </c>
      <c r="F349" s="9">
        <v>2.0</v>
      </c>
      <c r="G349" s="9">
        <v>1.0</v>
      </c>
      <c r="H349" s="9">
        <v>0.0</v>
      </c>
      <c r="I349" s="9">
        <v>0.0</v>
      </c>
      <c r="J349" s="17">
        <v>27767.0</v>
      </c>
      <c r="K349" s="18">
        <v>1571.62</v>
      </c>
      <c r="L349" s="17">
        <v>1591.0</v>
      </c>
      <c r="M349" s="18">
        <v>1591.0</v>
      </c>
      <c r="N349" s="18">
        <v>0.0</v>
      </c>
      <c r="O349" s="18">
        <v>5.289</v>
      </c>
      <c r="P349" s="4"/>
    </row>
    <row r="350">
      <c r="A350" s="8" t="s">
        <v>356</v>
      </c>
      <c r="B350" s="9">
        <v>35.0</v>
      </c>
      <c r="C350" s="14" t="s">
        <v>234</v>
      </c>
      <c r="D350" s="9">
        <v>75.0</v>
      </c>
      <c r="E350" s="10">
        <v>0.6</v>
      </c>
      <c r="F350" s="9">
        <v>3.0</v>
      </c>
      <c r="G350" s="9">
        <v>1.0</v>
      </c>
      <c r="H350" s="9">
        <v>0.0</v>
      </c>
      <c r="I350" s="9">
        <v>0.0</v>
      </c>
      <c r="J350" s="17">
        <v>28834.0</v>
      </c>
      <c r="K350" s="18">
        <v>1684.92</v>
      </c>
      <c r="L350" s="17">
        <v>1705.0</v>
      </c>
      <c r="M350" s="18">
        <v>1705.0</v>
      </c>
      <c r="N350" s="18">
        <v>0.0</v>
      </c>
      <c r="O350" s="18">
        <v>9.297</v>
      </c>
      <c r="P350" s="4"/>
    </row>
    <row r="351">
      <c r="A351" s="8" t="s">
        <v>357</v>
      </c>
      <c r="B351" s="9">
        <v>35.0</v>
      </c>
      <c r="C351" s="14" t="s">
        <v>234</v>
      </c>
      <c r="D351" s="9">
        <v>75.0</v>
      </c>
      <c r="E351" s="10">
        <v>0.6</v>
      </c>
      <c r="F351" s="9">
        <v>4.0</v>
      </c>
      <c r="G351" s="9">
        <v>1.0</v>
      </c>
      <c r="H351" s="9">
        <v>0.0</v>
      </c>
      <c r="I351" s="9">
        <v>0.0</v>
      </c>
      <c r="J351" s="17">
        <v>30405.0</v>
      </c>
      <c r="K351" s="18">
        <v>1870.14</v>
      </c>
      <c r="L351" s="17">
        <v>1894.0</v>
      </c>
      <c r="M351" s="18">
        <v>1894.0</v>
      </c>
      <c r="N351" s="18">
        <v>0.0</v>
      </c>
      <c r="O351" s="18">
        <v>10.05</v>
      </c>
      <c r="P351" s="4"/>
    </row>
    <row r="352">
      <c r="A352" s="8" t="s">
        <v>358</v>
      </c>
      <c r="B352" s="9">
        <v>35.0</v>
      </c>
      <c r="C352" s="14" t="s">
        <v>234</v>
      </c>
      <c r="D352" s="9">
        <v>75.0</v>
      </c>
      <c r="E352" s="10">
        <v>0.6</v>
      </c>
      <c r="F352" s="9">
        <v>5.0</v>
      </c>
      <c r="G352" s="9">
        <v>1.0</v>
      </c>
      <c r="H352" s="9">
        <v>0.0</v>
      </c>
      <c r="I352" s="9">
        <v>0.0</v>
      </c>
      <c r="J352" s="17">
        <v>28088.0</v>
      </c>
      <c r="K352" s="18">
        <v>1673.71</v>
      </c>
      <c r="L352" s="17">
        <v>1690.0</v>
      </c>
      <c r="M352" s="18">
        <v>1690.0</v>
      </c>
      <c r="N352" s="18">
        <v>0.0</v>
      </c>
      <c r="O352" s="18">
        <v>11.382</v>
      </c>
      <c r="P352" s="4"/>
    </row>
    <row r="353">
      <c r="A353" s="8" t="s">
        <v>359</v>
      </c>
      <c r="B353" s="9">
        <v>35.0</v>
      </c>
      <c r="C353" s="14" t="s">
        <v>234</v>
      </c>
      <c r="D353" s="9">
        <v>75.0</v>
      </c>
      <c r="E353" s="10">
        <v>1.0</v>
      </c>
      <c r="F353" s="9">
        <v>1.0</v>
      </c>
      <c r="G353" s="9">
        <v>1.0</v>
      </c>
      <c r="H353" s="9">
        <v>0.0</v>
      </c>
      <c r="I353" s="9">
        <v>0.0</v>
      </c>
      <c r="J353" s="17">
        <v>50881.0</v>
      </c>
      <c r="K353" s="18">
        <v>5586.63</v>
      </c>
      <c r="L353" s="17">
        <v>5701.0</v>
      </c>
      <c r="M353" s="18">
        <v>5701.0</v>
      </c>
      <c r="N353" s="18">
        <v>0.0</v>
      </c>
      <c r="O353" s="18">
        <v>238.933</v>
      </c>
      <c r="P353" s="4"/>
    </row>
    <row r="354">
      <c r="A354" s="8" t="s">
        <v>360</v>
      </c>
      <c r="B354" s="9">
        <v>35.0</v>
      </c>
      <c r="C354" s="14" t="s">
        <v>234</v>
      </c>
      <c r="D354" s="9">
        <v>75.0</v>
      </c>
      <c r="E354" s="10">
        <v>1.0</v>
      </c>
      <c r="F354" s="9">
        <v>2.0</v>
      </c>
      <c r="G354" s="9">
        <v>1.0</v>
      </c>
      <c r="H354" s="9">
        <v>0.0</v>
      </c>
      <c r="I354" s="9">
        <v>0.0</v>
      </c>
      <c r="J354" s="17">
        <v>48627.0</v>
      </c>
      <c r="K354" s="18">
        <v>5196.97</v>
      </c>
      <c r="L354" s="17">
        <v>5358.0</v>
      </c>
      <c r="M354" s="18">
        <v>5358.0</v>
      </c>
      <c r="N354" s="18">
        <v>0.0</v>
      </c>
      <c r="O354" s="18">
        <v>788.807</v>
      </c>
      <c r="P354" s="4"/>
    </row>
    <row r="355">
      <c r="A355" s="8" t="s">
        <v>361</v>
      </c>
      <c r="B355" s="9">
        <v>35.0</v>
      </c>
      <c r="C355" s="14" t="s">
        <v>234</v>
      </c>
      <c r="D355" s="9">
        <v>75.0</v>
      </c>
      <c r="E355" s="10">
        <v>1.0</v>
      </c>
      <c r="F355" s="9">
        <v>3.0</v>
      </c>
      <c r="G355" s="9">
        <v>1.0</v>
      </c>
      <c r="H355" s="9">
        <v>0.0</v>
      </c>
      <c r="I355" s="9">
        <v>0.0</v>
      </c>
      <c r="J355" s="17">
        <v>50499.0</v>
      </c>
      <c r="K355" s="18">
        <v>5519.47</v>
      </c>
      <c r="L355" s="17">
        <v>5657.0</v>
      </c>
      <c r="M355" s="18">
        <v>5657.0</v>
      </c>
      <c r="N355" s="18">
        <v>0.0</v>
      </c>
      <c r="O355" s="18">
        <v>295.435</v>
      </c>
      <c r="P355" s="4"/>
    </row>
    <row r="356">
      <c r="A356" s="8" t="s">
        <v>362</v>
      </c>
      <c r="B356" s="9">
        <v>35.0</v>
      </c>
      <c r="C356" s="14" t="s">
        <v>234</v>
      </c>
      <c r="D356" s="9">
        <v>75.0</v>
      </c>
      <c r="E356" s="10">
        <v>1.0</v>
      </c>
      <c r="F356" s="9">
        <v>4.0</v>
      </c>
      <c r="G356" s="9">
        <v>1.0</v>
      </c>
      <c r="H356" s="9">
        <v>0.0</v>
      </c>
      <c r="I356" s="9">
        <v>0.0</v>
      </c>
      <c r="J356" s="17">
        <v>53225.0</v>
      </c>
      <c r="K356" s="18">
        <v>5944.7</v>
      </c>
      <c r="L356" s="17">
        <v>6098.0</v>
      </c>
      <c r="M356" s="18">
        <v>6098.0</v>
      </c>
      <c r="N356" s="18">
        <v>0.0</v>
      </c>
      <c r="O356" s="18">
        <v>595.882</v>
      </c>
      <c r="P356" s="4"/>
    </row>
    <row r="357">
      <c r="A357" s="8" t="s">
        <v>363</v>
      </c>
      <c r="B357" s="9">
        <v>35.0</v>
      </c>
      <c r="C357" s="14" t="s">
        <v>234</v>
      </c>
      <c r="D357" s="9">
        <v>75.0</v>
      </c>
      <c r="E357" s="10">
        <v>1.0</v>
      </c>
      <c r="F357" s="9">
        <v>5.0</v>
      </c>
      <c r="G357" s="9">
        <v>1.0</v>
      </c>
      <c r="H357" s="9">
        <v>0.0</v>
      </c>
      <c r="I357" s="9">
        <v>0.0</v>
      </c>
      <c r="J357" s="17">
        <v>49193.0</v>
      </c>
      <c r="K357" s="18">
        <v>5415.22</v>
      </c>
      <c r="L357" s="17">
        <v>5579.0</v>
      </c>
      <c r="M357" s="18">
        <v>5579.0</v>
      </c>
      <c r="N357" s="18">
        <v>0.0</v>
      </c>
      <c r="O357" s="18">
        <v>1145.4</v>
      </c>
      <c r="P357" s="4"/>
    </row>
    <row r="358">
      <c r="A358" s="8" t="s">
        <v>364</v>
      </c>
      <c r="B358" s="9">
        <v>35.0</v>
      </c>
      <c r="C358" s="14" t="s">
        <v>234</v>
      </c>
      <c r="D358" s="9">
        <v>75.0</v>
      </c>
      <c r="E358" s="10">
        <v>2.0</v>
      </c>
      <c r="F358" s="9">
        <v>1.0</v>
      </c>
      <c r="G358" s="9">
        <v>1.0</v>
      </c>
      <c r="H358" s="9">
        <v>0.0</v>
      </c>
      <c r="I358" s="9">
        <v>0.0</v>
      </c>
      <c r="J358" s="17">
        <v>223501.0</v>
      </c>
      <c r="K358" s="18">
        <v>57432.6</v>
      </c>
      <c r="L358" s="17">
        <v>57720.0</v>
      </c>
      <c r="M358" s="18">
        <v>57720.0</v>
      </c>
      <c r="N358" s="18">
        <v>0.0</v>
      </c>
      <c r="O358" s="18">
        <v>795.491</v>
      </c>
      <c r="P358" s="4"/>
    </row>
    <row r="359">
      <c r="A359" s="8" t="s">
        <v>365</v>
      </c>
      <c r="B359" s="9">
        <v>35.0</v>
      </c>
      <c r="C359" s="14" t="s">
        <v>234</v>
      </c>
      <c r="D359" s="9">
        <v>75.0</v>
      </c>
      <c r="E359" s="10">
        <v>2.0</v>
      </c>
      <c r="F359" s="9">
        <v>2.0</v>
      </c>
      <c r="G359" s="9">
        <v>1.0</v>
      </c>
      <c r="H359" s="9">
        <v>0.0</v>
      </c>
      <c r="I359" s="9">
        <v>0.0</v>
      </c>
      <c r="J359" s="17">
        <v>213687.0</v>
      </c>
      <c r="K359" s="18">
        <v>55120.1</v>
      </c>
      <c r="L359" s="17">
        <v>55225.0</v>
      </c>
      <c r="M359" s="18">
        <v>55225.0</v>
      </c>
      <c r="N359" s="18">
        <v>0.0</v>
      </c>
      <c r="O359" s="18">
        <v>8.364</v>
      </c>
      <c r="P359" s="4"/>
    </row>
    <row r="360">
      <c r="A360" s="8" t="s">
        <v>366</v>
      </c>
      <c r="B360" s="9">
        <v>35.0</v>
      </c>
      <c r="C360" s="14" t="s">
        <v>234</v>
      </c>
      <c r="D360" s="9">
        <v>75.0</v>
      </c>
      <c r="E360" s="10">
        <v>2.0</v>
      </c>
      <c r="F360" s="9">
        <v>3.0</v>
      </c>
      <c r="G360" s="9">
        <v>1.0</v>
      </c>
      <c r="H360" s="9">
        <v>0.0</v>
      </c>
      <c r="I360" s="9">
        <v>0.0</v>
      </c>
      <c r="J360" s="17">
        <v>221824.0</v>
      </c>
      <c r="K360" s="18">
        <v>57236.3</v>
      </c>
      <c r="L360" s="17">
        <v>57403.0</v>
      </c>
      <c r="M360" s="18">
        <v>57403.0</v>
      </c>
      <c r="N360" s="18">
        <v>0.0</v>
      </c>
      <c r="O360" s="18">
        <v>53.737</v>
      </c>
      <c r="P360" s="4"/>
    </row>
    <row r="361">
      <c r="A361" s="8" t="s">
        <v>367</v>
      </c>
      <c r="B361" s="9">
        <v>35.0</v>
      </c>
      <c r="C361" s="14" t="s">
        <v>234</v>
      </c>
      <c r="D361" s="9">
        <v>75.0</v>
      </c>
      <c r="E361" s="10">
        <v>2.0</v>
      </c>
      <c r="F361" s="9">
        <v>4.0</v>
      </c>
      <c r="G361" s="9">
        <v>1.0</v>
      </c>
      <c r="H361" s="9">
        <v>0.0</v>
      </c>
      <c r="I361" s="9">
        <v>0.0</v>
      </c>
      <c r="J361" s="17">
        <v>233895.0</v>
      </c>
      <c r="K361" s="18">
        <v>60534.4</v>
      </c>
      <c r="L361" s="17">
        <v>60627.0</v>
      </c>
      <c r="M361" s="18">
        <v>60627.0</v>
      </c>
      <c r="N361" s="18">
        <v>0.0</v>
      </c>
      <c r="O361" s="18">
        <v>4.951</v>
      </c>
      <c r="P361" s="4"/>
    </row>
    <row r="362">
      <c r="A362" s="8" t="s">
        <v>368</v>
      </c>
      <c r="B362" s="9">
        <v>35.0</v>
      </c>
      <c r="C362" s="14" t="s">
        <v>234</v>
      </c>
      <c r="D362" s="9">
        <v>75.0</v>
      </c>
      <c r="E362" s="10">
        <v>2.0</v>
      </c>
      <c r="F362" s="9">
        <v>5.0</v>
      </c>
      <c r="G362" s="9">
        <v>1.0</v>
      </c>
      <c r="H362" s="9">
        <v>0.0</v>
      </c>
      <c r="I362" s="9">
        <v>0.0</v>
      </c>
      <c r="J362" s="17">
        <v>216178.0</v>
      </c>
      <c r="K362" s="18">
        <v>55850.5</v>
      </c>
      <c r="L362" s="17">
        <v>55960.0</v>
      </c>
      <c r="M362" s="18">
        <v>55960.0</v>
      </c>
      <c r="N362" s="18">
        <v>0.0</v>
      </c>
      <c r="O362" s="18">
        <v>11.223</v>
      </c>
      <c r="P362" s="4"/>
    </row>
    <row r="363">
      <c r="A363" s="8" t="s">
        <v>369</v>
      </c>
      <c r="B363" s="9">
        <v>40.0</v>
      </c>
      <c r="C363" s="14" t="s">
        <v>234</v>
      </c>
      <c r="D363" s="9">
        <v>25.0</v>
      </c>
      <c r="E363" s="10">
        <v>0.6</v>
      </c>
      <c r="F363" s="9">
        <v>1.0</v>
      </c>
      <c r="G363" s="9">
        <v>1.0</v>
      </c>
      <c r="H363" s="9">
        <v>0.0</v>
      </c>
      <c r="I363" s="9">
        <v>0.0</v>
      </c>
      <c r="J363" s="17">
        <v>12527.0</v>
      </c>
      <c r="K363" s="18">
        <v>305.717</v>
      </c>
      <c r="L363" s="17">
        <v>315.0</v>
      </c>
      <c r="M363" s="18">
        <v>315.0</v>
      </c>
      <c r="N363" s="18">
        <v>0.0</v>
      </c>
      <c r="O363" s="18">
        <v>71.533</v>
      </c>
      <c r="P363" s="4"/>
    </row>
    <row r="364">
      <c r="A364" s="8" t="s">
        <v>370</v>
      </c>
      <c r="B364" s="9">
        <v>40.0</v>
      </c>
      <c r="C364" s="14" t="s">
        <v>234</v>
      </c>
      <c r="D364" s="9">
        <v>25.0</v>
      </c>
      <c r="E364" s="10">
        <v>0.6</v>
      </c>
      <c r="F364" s="9">
        <v>2.0</v>
      </c>
      <c r="G364" s="9">
        <v>1.0</v>
      </c>
      <c r="H364" s="9">
        <v>0.0</v>
      </c>
      <c r="I364" s="9">
        <v>0.0</v>
      </c>
      <c r="J364" s="17">
        <v>11677.0</v>
      </c>
      <c r="K364" s="18">
        <v>260.984</v>
      </c>
      <c r="L364" s="17">
        <v>266.0</v>
      </c>
      <c r="M364" s="18">
        <v>266.0</v>
      </c>
      <c r="N364" s="18">
        <v>0.0</v>
      </c>
      <c r="O364" s="18">
        <v>53.401</v>
      </c>
      <c r="P364" s="4"/>
    </row>
    <row r="365">
      <c r="A365" s="8" t="s">
        <v>371</v>
      </c>
      <c r="B365" s="9">
        <v>40.0</v>
      </c>
      <c r="C365" s="14" t="s">
        <v>234</v>
      </c>
      <c r="D365" s="9">
        <v>25.0</v>
      </c>
      <c r="E365" s="10">
        <v>0.6</v>
      </c>
      <c r="F365" s="9">
        <v>3.0</v>
      </c>
      <c r="G365" s="9">
        <v>0.0</v>
      </c>
      <c r="H365" s="9">
        <v>1.0</v>
      </c>
      <c r="I365" s="9">
        <v>0.0</v>
      </c>
      <c r="J365" s="17">
        <v>11282.0</v>
      </c>
      <c r="K365" s="18">
        <v>248.182</v>
      </c>
      <c r="L365" s="17">
        <v>285.0</v>
      </c>
      <c r="M365" s="18">
        <v>268.88</v>
      </c>
      <c r="N365" s="18">
        <v>5.65604</v>
      </c>
      <c r="O365" s="18">
        <v>3600.0</v>
      </c>
      <c r="P365" s="4"/>
    </row>
    <row r="366">
      <c r="A366" s="8" t="s">
        <v>372</v>
      </c>
      <c r="B366" s="9">
        <v>40.0</v>
      </c>
      <c r="C366" s="14" t="s">
        <v>234</v>
      </c>
      <c r="D366" s="9">
        <v>25.0</v>
      </c>
      <c r="E366" s="10">
        <v>0.6</v>
      </c>
      <c r="F366" s="9">
        <v>4.0</v>
      </c>
      <c r="G366" s="9">
        <v>1.0</v>
      </c>
      <c r="H366" s="9">
        <v>0.0</v>
      </c>
      <c r="I366" s="9">
        <v>0.0</v>
      </c>
      <c r="J366" s="17">
        <v>12257.0</v>
      </c>
      <c r="K366" s="18">
        <v>292.034</v>
      </c>
      <c r="L366" s="17">
        <v>310.0</v>
      </c>
      <c r="M366" s="18">
        <v>310.0</v>
      </c>
      <c r="N366" s="18">
        <v>0.0</v>
      </c>
      <c r="O366" s="18">
        <v>1225.06</v>
      </c>
      <c r="P366" s="4"/>
    </row>
    <row r="367">
      <c r="A367" s="8" t="s">
        <v>373</v>
      </c>
      <c r="B367" s="9">
        <v>40.0</v>
      </c>
      <c r="C367" s="14" t="s">
        <v>234</v>
      </c>
      <c r="D367" s="9">
        <v>25.0</v>
      </c>
      <c r="E367" s="10">
        <v>0.6</v>
      </c>
      <c r="F367" s="9">
        <v>5.0</v>
      </c>
      <c r="G367" s="9">
        <v>0.0</v>
      </c>
      <c r="H367" s="9">
        <v>1.0</v>
      </c>
      <c r="I367" s="9">
        <v>0.0</v>
      </c>
      <c r="J367" s="17">
        <v>11667.0</v>
      </c>
      <c r="K367" s="18">
        <v>258.385</v>
      </c>
      <c r="L367" s="17">
        <v>295.0</v>
      </c>
      <c r="M367" s="18">
        <v>282.485</v>
      </c>
      <c r="N367" s="18">
        <v>4.24242</v>
      </c>
      <c r="O367" s="18">
        <v>3600.0</v>
      </c>
      <c r="P367" s="4"/>
    </row>
    <row r="368">
      <c r="A368" s="8" t="s">
        <v>374</v>
      </c>
      <c r="B368" s="9">
        <v>40.0</v>
      </c>
      <c r="C368" s="14" t="s">
        <v>234</v>
      </c>
      <c r="D368" s="9">
        <v>25.0</v>
      </c>
      <c r="E368" s="10">
        <v>1.0</v>
      </c>
      <c r="F368" s="9">
        <v>1.0</v>
      </c>
      <c r="G368" s="9">
        <v>0.0</v>
      </c>
      <c r="H368" s="9">
        <v>1.0</v>
      </c>
      <c r="I368" s="9">
        <v>0.0</v>
      </c>
      <c r="J368" s="17">
        <v>21127.0</v>
      </c>
      <c r="K368" s="18">
        <v>1403.14</v>
      </c>
      <c r="L368" s="17">
        <v>1668.0</v>
      </c>
      <c r="M368" s="18">
        <v>1454.7</v>
      </c>
      <c r="N368" s="18">
        <v>12.7876</v>
      </c>
      <c r="O368" s="18">
        <v>3600.0</v>
      </c>
      <c r="P368" s="4"/>
    </row>
    <row r="369">
      <c r="A369" s="8" t="s">
        <v>375</v>
      </c>
      <c r="B369" s="9">
        <v>40.0</v>
      </c>
      <c r="C369" s="14" t="s">
        <v>234</v>
      </c>
      <c r="D369" s="9">
        <v>25.0</v>
      </c>
      <c r="E369" s="10">
        <v>1.0</v>
      </c>
      <c r="F369" s="9">
        <v>2.0</v>
      </c>
      <c r="G369" s="9">
        <v>1.0</v>
      </c>
      <c r="H369" s="9">
        <v>0.0</v>
      </c>
      <c r="I369" s="9">
        <v>0.0</v>
      </c>
      <c r="J369" s="17">
        <v>19677.0</v>
      </c>
      <c r="K369" s="18">
        <v>1298.03</v>
      </c>
      <c r="L369" s="17">
        <v>1323.0</v>
      </c>
      <c r="M369" s="18">
        <v>1323.0</v>
      </c>
      <c r="N369" s="18">
        <v>0.0</v>
      </c>
      <c r="O369" s="18">
        <v>2162.19</v>
      </c>
      <c r="P369" s="4"/>
    </row>
    <row r="370">
      <c r="A370" s="8" t="s">
        <v>376</v>
      </c>
      <c r="B370" s="9">
        <v>40.0</v>
      </c>
      <c r="C370" s="14" t="s">
        <v>234</v>
      </c>
      <c r="D370" s="9">
        <v>25.0</v>
      </c>
      <c r="E370" s="10">
        <v>1.0</v>
      </c>
      <c r="F370" s="9">
        <v>3.0</v>
      </c>
      <c r="G370" s="9">
        <v>1.0</v>
      </c>
      <c r="H370" s="9">
        <v>0.0</v>
      </c>
      <c r="I370" s="9">
        <v>0.0</v>
      </c>
      <c r="J370" s="17">
        <v>19042.0</v>
      </c>
      <c r="K370" s="18">
        <v>1252.03</v>
      </c>
      <c r="L370" s="17">
        <v>1271.0</v>
      </c>
      <c r="M370" s="18">
        <v>1271.0</v>
      </c>
      <c r="N370" s="18">
        <v>0.0</v>
      </c>
      <c r="O370" s="18">
        <v>1373.42</v>
      </c>
      <c r="P370" s="4"/>
    </row>
    <row r="371">
      <c r="A371" s="8" t="s">
        <v>377</v>
      </c>
      <c r="B371" s="9">
        <v>40.0</v>
      </c>
      <c r="C371" s="14" t="s">
        <v>234</v>
      </c>
      <c r="D371" s="9">
        <v>25.0</v>
      </c>
      <c r="E371" s="10">
        <v>1.0</v>
      </c>
      <c r="F371" s="9">
        <v>4.0</v>
      </c>
      <c r="G371" s="9">
        <v>0.0</v>
      </c>
      <c r="H371" s="9">
        <v>1.0</v>
      </c>
      <c r="I371" s="9">
        <v>0.0</v>
      </c>
      <c r="J371" s="17">
        <v>20657.0</v>
      </c>
      <c r="K371" s="18">
        <v>1369.93</v>
      </c>
      <c r="L371" s="17">
        <v>1632.0</v>
      </c>
      <c r="M371" s="18">
        <v>1404.38</v>
      </c>
      <c r="N371" s="18">
        <v>13.9471</v>
      </c>
      <c r="O371" s="18">
        <v>3600.0</v>
      </c>
      <c r="P371" s="4"/>
    </row>
    <row r="372">
      <c r="A372" s="8" t="s">
        <v>378</v>
      </c>
      <c r="B372" s="9">
        <v>40.0</v>
      </c>
      <c r="C372" s="14" t="s">
        <v>234</v>
      </c>
      <c r="D372" s="9">
        <v>25.0</v>
      </c>
      <c r="E372" s="10">
        <v>1.0</v>
      </c>
      <c r="F372" s="9">
        <v>5.0</v>
      </c>
      <c r="G372" s="9">
        <v>1.0</v>
      </c>
      <c r="H372" s="9">
        <v>0.0</v>
      </c>
      <c r="I372" s="9">
        <v>0.0</v>
      </c>
      <c r="J372" s="17">
        <v>19667.0</v>
      </c>
      <c r="K372" s="18">
        <v>1294.22</v>
      </c>
      <c r="L372" s="17">
        <v>1302.0</v>
      </c>
      <c r="M372" s="18">
        <v>1302.0</v>
      </c>
      <c r="N372" s="18">
        <v>0.0</v>
      </c>
      <c r="O372" s="18">
        <v>164.038</v>
      </c>
      <c r="P372" s="4"/>
    </row>
    <row r="373">
      <c r="A373" s="8" t="s">
        <v>379</v>
      </c>
      <c r="B373" s="9">
        <v>40.0</v>
      </c>
      <c r="C373" s="14" t="s">
        <v>234</v>
      </c>
      <c r="D373" s="9">
        <v>25.0</v>
      </c>
      <c r="E373" s="10">
        <v>2.0</v>
      </c>
      <c r="F373" s="9">
        <v>1.0</v>
      </c>
      <c r="G373" s="9">
        <v>0.0</v>
      </c>
      <c r="H373" s="9">
        <v>1.0</v>
      </c>
      <c r="I373" s="9">
        <v>0.0</v>
      </c>
      <c r="J373" s="17">
        <v>90087.0</v>
      </c>
      <c r="K373" s="18">
        <v>19866.0</v>
      </c>
      <c r="L373" s="17">
        <v>20020.0</v>
      </c>
      <c r="M373" s="18">
        <v>19866.0</v>
      </c>
      <c r="N373" s="18">
        <v>0.769231</v>
      </c>
      <c r="O373" s="18">
        <v>3600.0</v>
      </c>
      <c r="P373" s="4"/>
    </row>
    <row r="374">
      <c r="A374" s="8" t="s">
        <v>380</v>
      </c>
      <c r="B374" s="9">
        <v>40.0</v>
      </c>
      <c r="C374" s="14" t="s">
        <v>234</v>
      </c>
      <c r="D374" s="9">
        <v>25.0</v>
      </c>
      <c r="E374" s="10">
        <v>2.0</v>
      </c>
      <c r="F374" s="9">
        <v>2.0</v>
      </c>
      <c r="G374" s="9">
        <v>0.0</v>
      </c>
      <c r="H374" s="9">
        <v>1.0</v>
      </c>
      <c r="I374" s="9">
        <v>0.0</v>
      </c>
      <c r="J374" s="17">
        <v>83877.0</v>
      </c>
      <c r="K374" s="18">
        <v>18527.0</v>
      </c>
      <c r="L374" s="17">
        <v>18640.0</v>
      </c>
      <c r="M374" s="18">
        <v>18527.0</v>
      </c>
      <c r="N374" s="18">
        <v>0.606061</v>
      </c>
      <c r="O374" s="18">
        <v>3600.0</v>
      </c>
      <c r="P374" s="4"/>
    </row>
    <row r="375">
      <c r="A375" s="8" t="s">
        <v>381</v>
      </c>
      <c r="B375" s="9">
        <v>40.0</v>
      </c>
      <c r="C375" s="14" t="s">
        <v>234</v>
      </c>
      <c r="D375" s="9">
        <v>25.0</v>
      </c>
      <c r="E375" s="10">
        <v>2.0</v>
      </c>
      <c r="F375" s="9">
        <v>3.0</v>
      </c>
      <c r="G375" s="9">
        <v>0.0</v>
      </c>
      <c r="H375" s="9">
        <v>1.0</v>
      </c>
      <c r="I375" s="9">
        <v>0.0</v>
      </c>
      <c r="J375" s="17">
        <v>81042.0</v>
      </c>
      <c r="K375" s="18">
        <v>17948.6</v>
      </c>
      <c r="L375" s="17">
        <v>18010.0</v>
      </c>
      <c r="M375" s="18">
        <v>17948.6</v>
      </c>
      <c r="N375" s="18">
        <v>0.340909</v>
      </c>
      <c r="O375" s="18">
        <v>3600.0</v>
      </c>
      <c r="P375" s="4"/>
    </row>
    <row r="376">
      <c r="A376" s="8" t="s">
        <v>382</v>
      </c>
      <c r="B376" s="9">
        <v>40.0</v>
      </c>
      <c r="C376" s="14" t="s">
        <v>234</v>
      </c>
      <c r="D376" s="9">
        <v>25.0</v>
      </c>
      <c r="E376" s="10">
        <v>2.0</v>
      </c>
      <c r="F376" s="9">
        <v>4.0</v>
      </c>
      <c r="G376" s="9">
        <v>0.0</v>
      </c>
      <c r="H376" s="9">
        <v>1.0</v>
      </c>
      <c r="I376" s="9">
        <v>0.0</v>
      </c>
      <c r="J376" s="17">
        <v>88017.0</v>
      </c>
      <c r="K376" s="18">
        <v>19460.2</v>
      </c>
      <c r="L376" s="17">
        <v>19560.0</v>
      </c>
      <c r="M376" s="18">
        <v>19460.2</v>
      </c>
      <c r="N376" s="18">
        <v>0.510204</v>
      </c>
      <c r="O376" s="18">
        <v>3600.0</v>
      </c>
      <c r="P376" s="4"/>
    </row>
    <row r="377">
      <c r="A377" s="8" t="s">
        <v>383</v>
      </c>
      <c r="B377" s="9">
        <v>40.0</v>
      </c>
      <c r="C377" s="14" t="s">
        <v>234</v>
      </c>
      <c r="D377" s="9">
        <v>25.0</v>
      </c>
      <c r="E377" s="10">
        <v>2.0</v>
      </c>
      <c r="F377" s="9">
        <v>5.0</v>
      </c>
      <c r="G377" s="9">
        <v>0.0</v>
      </c>
      <c r="H377" s="9">
        <v>1.0</v>
      </c>
      <c r="I377" s="9">
        <v>0.0</v>
      </c>
      <c r="J377" s="17">
        <v>83787.0</v>
      </c>
      <c r="K377" s="18">
        <v>18584.9</v>
      </c>
      <c r="L377" s="17">
        <v>18620.0</v>
      </c>
      <c r="M377" s="18">
        <v>18584.9</v>
      </c>
      <c r="N377" s="18">
        <v>0.188679</v>
      </c>
      <c r="O377" s="18">
        <v>3600.0</v>
      </c>
      <c r="P377" s="4"/>
    </row>
    <row r="378">
      <c r="A378" s="8" t="s">
        <v>384</v>
      </c>
      <c r="B378" s="9">
        <v>40.0</v>
      </c>
      <c r="C378" s="14" t="s">
        <v>234</v>
      </c>
      <c r="D378" s="9">
        <v>50.0</v>
      </c>
      <c r="E378" s="10">
        <v>0.6</v>
      </c>
      <c r="F378" s="9">
        <v>1.0</v>
      </c>
      <c r="G378" s="9">
        <v>1.0</v>
      </c>
      <c r="H378" s="9">
        <v>0.0</v>
      </c>
      <c r="I378" s="9">
        <v>0.0</v>
      </c>
      <c r="J378" s="17">
        <v>24101.0</v>
      </c>
      <c r="K378" s="18">
        <v>875.303</v>
      </c>
      <c r="L378" s="17">
        <v>901.0</v>
      </c>
      <c r="M378" s="18">
        <v>901.0</v>
      </c>
      <c r="N378" s="18">
        <v>0.0</v>
      </c>
      <c r="O378" s="18">
        <v>100.256</v>
      </c>
      <c r="P378" s="4"/>
    </row>
    <row r="379">
      <c r="A379" s="8" t="s">
        <v>385</v>
      </c>
      <c r="B379" s="9">
        <v>40.0</v>
      </c>
      <c r="C379" s="14" t="s">
        <v>234</v>
      </c>
      <c r="D379" s="9">
        <v>50.0</v>
      </c>
      <c r="E379" s="10">
        <v>0.6</v>
      </c>
      <c r="F379" s="9">
        <v>2.0</v>
      </c>
      <c r="G379" s="9">
        <v>1.0</v>
      </c>
      <c r="H379" s="9">
        <v>0.0</v>
      </c>
      <c r="I379" s="9">
        <v>0.0</v>
      </c>
      <c r="J379" s="17">
        <v>24668.0</v>
      </c>
      <c r="K379" s="18">
        <v>890.6</v>
      </c>
      <c r="L379" s="17">
        <v>908.0</v>
      </c>
      <c r="M379" s="18">
        <v>908.0</v>
      </c>
      <c r="N379" s="18">
        <v>0.0</v>
      </c>
      <c r="O379" s="18">
        <v>40.567</v>
      </c>
      <c r="P379" s="4"/>
    </row>
    <row r="380">
      <c r="A380" s="8" t="s">
        <v>386</v>
      </c>
      <c r="B380" s="9">
        <v>40.0</v>
      </c>
      <c r="C380" s="14" t="s">
        <v>234</v>
      </c>
      <c r="D380" s="9">
        <v>50.0</v>
      </c>
      <c r="E380" s="10">
        <v>0.6</v>
      </c>
      <c r="F380" s="9">
        <v>3.0</v>
      </c>
      <c r="G380" s="9">
        <v>1.0</v>
      </c>
      <c r="H380" s="9">
        <v>0.0</v>
      </c>
      <c r="I380" s="9">
        <v>0.0</v>
      </c>
      <c r="J380" s="17">
        <v>985.0</v>
      </c>
      <c r="K380" s="18">
        <v>985.0</v>
      </c>
      <c r="L380" s="17">
        <v>985.0</v>
      </c>
      <c r="M380" s="18">
        <v>985.0</v>
      </c>
      <c r="N380" s="18">
        <v>0.0</v>
      </c>
      <c r="O380" s="18">
        <v>6.695</v>
      </c>
      <c r="P380" s="4"/>
    </row>
    <row r="381">
      <c r="A381" s="8" t="s">
        <v>387</v>
      </c>
      <c r="B381" s="9">
        <v>40.0</v>
      </c>
      <c r="C381" s="14" t="s">
        <v>234</v>
      </c>
      <c r="D381" s="9">
        <v>50.0</v>
      </c>
      <c r="E381" s="10">
        <v>0.6</v>
      </c>
      <c r="F381" s="9">
        <v>4.0</v>
      </c>
      <c r="G381" s="9">
        <v>1.0</v>
      </c>
      <c r="H381" s="9">
        <v>0.0</v>
      </c>
      <c r="I381" s="9">
        <v>0.0</v>
      </c>
      <c r="J381" s="17">
        <v>22785.0</v>
      </c>
      <c r="K381" s="18">
        <v>824.833</v>
      </c>
      <c r="L381" s="17">
        <v>850.0</v>
      </c>
      <c r="M381" s="18">
        <v>850.0</v>
      </c>
      <c r="N381" s="18">
        <v>0.0</v>
      </c>
      <c r="O381" s="18">
        <v>77.901</v>
      </c>
      <c r="P381" s="4"/>
    </row>
    <row r="382">
      <c r="A382" s="8" t="s">
        <v>388</v>
      </c>
      <c r="B382" s="9">
        <v>40.0</v>
      </c>
      <c r="C382" s="14" t="s">
        <v>234</v>
      </c>
      <c r="D382" s="9">
        <v>50.0</v>
      </c>
      <c r="E382" s="10">
        <v>0.6</v>
      </c>
      <c r="F382" s="9">
        <v>5.0</v>
      </c>
      <c r="G382" s="9">
        <v>1.0</v>
      </c>
      <c r="H382" s="9">
        <v>0.0</v>
      </c>
      <c r="I382" s="9">
        <v>0.0</v>
      </c>
      <c r="J382" s="17">
        <v>25621.0</v>
      </c>
      <c r="K382" s="18">
        <v>963.27</v>
      </c>
      <c r="L382" s="17">
        <v>996.0</v>
      </c>
      <c r="M382" s="18">
        <v>996.0</v>
      </c>
      <c r="N382" s="18">
        <v>0.0</v>
      </c>
      <c r="O382" s="18">
        <v>83.906</v>
      </c>
      <c r="P382" s="4"/>
    </row>
    <row r="383">
      <c r="A383" s="8" t="s">
        <v>389</v>
      </c>
      <c r="B383" s="9">
        <v>40.0</v>
      </c>
      <c r="C383" s="14" t="s">
        <v>234</v>
      </c>
      <c r="D383" s="9">
        <v>50.0</v>
      </c>
      <c r="E383" s="10">
        <v>1.0</v>
      </c>
      <c r="F383" s="9">
        <v>1.0</v>
      </c>
      <c r="G383" s="9">
        <v>1.0</v>
      </c>
      <c r="H383" s="9">
        <v>0.0</v>
      </c>
      <c r="I383" s="9">
        <v>0.0</v>
      </c>
      <c r="J383" s="17">
        <v>40701.0</v>
      </c>
      <c r="K383" s="18">
        <v>3308.15</v>
      </c>
      <c r="L383" s="17">
        <v>3446.0</v>
      </c>
      <c r="M383" s="18">
        <v>3446.0</v>
      </c>
      <c r="N383" s="18">
        <v>0.0</v>
      </c>
      <c r="O383" s="18">
        <v>1595.58</v>
      </c>
      <c r="P383" s="4"/>
    </row>
    <row r="384">
      <c r="A384" s="8" t="s">
        <v>390</v>
      </c>
      <c r="B384" s="9">
        <v>40.0</v>
      </c>
      <c r="C384" s="14" t="s">
        <v>234</v>
      </c>
      <c r="D384" s="9">
        <v>50.0</v>
      </c>
      <c r="E384" s="10">
        <v>1.0</v>
      </c>
      <c r="F384" s="9">
        <v>2.0</v>
      </c>
      <c r="G384" s="9">
        <v>1.0</v>
      </c>
      <c r="H384" s="9">
        <v>0.0</v>
      </c>
      <c r="I384" s="9">
        <v>0.0</v>
      </c>
      <c r="J384" s="17">
        <v>41628.0</v>
      </c>
      <c r="K384" s="18">
        <v>3410.23</v>
      </c>
      <c r="L384" s="17">
        <v>3535.0</v>
      </c>
      <c r="M384" s="18">
        <v>3535.0</v>
      </c>
      <c r="N384" s="18">
        <v>0.0</v>
      </c>
      <c r="O384" s="18">
        <v>1886.17</v>
      </c>
      <c r="P384" s="4"/>
    </row>
    <row r="385">
      <c r="A385" s="8" t="s">
        <v>391</v>
      </c>
      <c r="B385" s="9">
        <v>40.0</v>
      </c>
      <c r="C385" s="14" t="s">
        <v>234</v>
      </c>
      <c r="D385" s="9">
        <v>50.0</v>
      </c>
      <c r="E385" s="10">
        <v>1.0</v>
      </c>
      <c r="F385" s="9">
        <v>3.0</v>
      </c>
      <c r="G385" s="9">
        <v>1.0</v>
      </c>
      <c r="H385" s="9">
        <v>0.0</v>
      </c>
      <c r="I385" s="9">
        <v>0.0</v>
      </c>
      <c r="J385" s="17">
        <v>45057.0</v>
      </c>
      <c r="K385" s="18">
        <v>3775.18</v>
      </c>
      <c r="L385" s="17">
        <v>3921.0</v>
      </c>
      <c r="M385" s="18">
        <v>3921.0</v>
      </c>
      <c r="N385" s="18">
        <v>0.0</v>
      </c>
      <c r="O385" s="18">
        <v>2461.6</v>
      </c>
      <c r="P385" s="4"/>
    </row>
    <row r="386">
      <c r="A386" s="8" t="s">
        <v>392</v>
      </c>
      <c r="B386" s="9">
        <v>40.0</v>
      </c>
      <c r="C386" s="14" t="s">
        <v>234</v>
      </c>
      <c r="D386" s="9">
        <v>50.0</v>
      </c>
      <c r="E386" s="10">
        <v>1.0</v>
      </c>
      <c r="F386" s="9">
        <v>4.0</v>
      </c>
      <c r="G386" s="9">
        <v>1.0</v>
      </c>
      <c r="H386" s="9">
        <v>0.0</v>
      </c>
      <c r="I386" s="9">
        <v>0.0</v>
      </c>
      <c r="J386" s="17">
        <v>38425.0</v>
      </c>
      <c r="K386" s="18">
        <v>3152.35</v>
      </c>
      <c r="L386" s="17">
        <v>3274.0</v>
      </c>
      <c r="M386" s="18">
        <v>3274.0</v>
      </c>
      <c r="N386" s="18">
        <v>0.0</v>
      </c>
      <c r="O386" s="18">
        <v>1362.79</v>
      </c>
      <c r="P386" s="4"/>
    </row>
    <row r="387">
      <c r="A387" s="8" t="s">
        <v>393</v>
      </c>
      <c r="B387" s="9">
        <v>40.0</v>
      </c>
      <c r="C387" s="14" t="s">
        <v>234</v>
      </c>
      <c r="D387" s="9">
        <v>50.0</v>
      </c>
      <c r="E387" s="10">
        <v>1.0</v>
      </c>
      <c r="F387" s="9">
        <v>5.0</v>
      </c>
      <c r="G387" s="9">
        <v>1.0</v>
      </c>
      <c r="H387" s="9">
        <v>0.0</v>
      </c>
      <c r="I387" s="9">
        <v>0.0</v>
      </c>
      <c r="J387" s="17">
        <v>43221.0</v>
      </c>
      <c r="K387" s="18">
        <v>3594.69</v>
      </c>
      <c r="L387" s="17">
        <v>3744.0</v>
      </c>
      <c r="M387" s="18">
        <v>3744.0</v>
      </c>
      <c r="N387" s="18">
        <v>0.0</v>
      </c>
      <c r="O387" s="18">
        <v>1769.21</v>
      </c>
      <c r="P387" s="4"/>
    </row>
    <row r="388">
      <c r="A388" s="8" t="s">
        <v>394</v>
      </c>
      <c r="B388" s="9">
        <v>40.0</v>
      </c>
      <c r="C388" s="14" t="s">
        <v>234</v>
      </c>
      <c r="D388" s="9">
        <v>50.0</v>
      </c>
      <c r="E388" s="10">
        <v>2.0</v>
      </c>
      <c r="F388" s="9">
        <v>1.0</v>
      </c>
      <c r="G388" s="9">
        <v>1.0</v>
      </c>
      <c r="H388" s="9">
        <v>0.0</v>
      </c>
      <c r="I388" s="9">
        <v>0.0</v>
      </c>
      <c r="J388" s="17">
        <v>173381.0</v>
      </c>
      <c r="K388" s="18">
        <v>38486.0</v>
      </c>
      <c r="L388" s="17">
        <v>38571.0</v>
      </c>
      <c r="M388" s="18">
        <v>38571.0</v>
      </c>
      <c r="N388" s="18">
        <v>0.0</v>
      </c>
      <c r="O388" s="18">
        <v>52.305</v>
      </c>
      <c r="P388" s="4"/>
    </row>
    <row r="389">
      <c r="A389" s="8" t="s">
        <v>395</v>
      </c>
      <c r="B389" s="9">
        <v>40.0</v>
      </c>
      <c r="C389" s="14" t="s">
        <v>234</v>
      </c>
      <c r="D389" s="9">
        <v>50.0</v>
      </c>
      <c r="E389" s="10">
        <v>2.0</v>
      </c>
      <c r="F389" s="9">
        <v>2.0</v>
      </c>
      <c r="G389" s="9">
        <v>1.0</v>
      </c>
      <c r="H389" s="9">
        <v>0.0</v>
      </c>
      <c r="I389" s="9">
        <v>0.0</v>
      </c>
      <c r="J389" s="17">
        <v>177388.0</v>
      </c>
      <c r="K389" s="18">
        <v>39455.0</v>
      </c>
      <c r="L389" s="17">
        <v>39510.0</v>
      </c>
      <c r="M389" s="18">
        <v>39510.0</v>
      </c>
      <c r="N389" s="18">
        <v>0.0</v>
      </c>
      <c r="O389" s="18">
        <v>10.407</v>
      </c>
      <c r="P389" s="4"/>
    </row>
    <row r="390">
      <c r="A390" s="8" t="s">
        <v>396</v>
      </c>
      <c r="B390" s="9">
        <v>40.0</v>
      </c>
      <c r="C390" s="14" t="s">
        <v>234</v>
      </c>
      <c r="D390" s="9">
        <v>50.0</v>
      </c>
      <c r="E390" s="10">
        <v>2.0</v>
      </c>
      <c r="F390" s="9">
        <v>3.0</v>
      </c>
      <c r="G390" s="9">
        <v>1.0</v>
      </c>
      <c r="H390" s="9">
        <v>0.0</v>
      </c>
      <c r="I390" s="9">
        <v>0.0</v>
      </c>
      <c r="J390" s="17">
        <v>192057.0</v>
      </c>
      <c r="K390" s="18">
        <v>42680.6</v>
      </c>
      <c r="L390" s="17">
        <v>42749.0</v>
      </c>
      <c r="M390" s="18">
        <v>42749.0</v>
      </c>
      <c r="N390" s="18">
        <v>0.0</v>
      </c>
      <c r="O390" s="18">
        <v>17.198</v>
      </c>
      <c r="P390" s="4"/>
    </row>
    <row r="391">
      <c r="A391" s="8" t="s">
        <v>397</v>
      </c>
      <c r="B391" s="9">
        <v>40.0</v>
      </c>
      <c r="C391" s="14" t="s">
        <v>234</v>
      </c>
      <c r="D391" s="9">
        <v>50.0</v>
      </c>
      <c r="E391" s="10">
        <v>2.0</v>
      </c>
      <c r="F391" s="9">
        <v>4.0</v>
      </c>
      <c r="G391" s="9">
        <v>1.0</v>
      </c>
      <c r="H391" s="9">
        <v>0.0</v>
      </c>
      <c r="I391" s="9">
        <v>0.0</v>
      </c>
      <c r="J391" s="17">
        <v>163665.0</v>
      </c>
      <c r="K391" s="18">
        <v>36387.2</v>
      </c>
      <c r="L391" s="17">
        <v>36435.0</v>
      </c>
      <c r="M391" s="18">
        <v>36435.0</v>
      </c>
      <c r="N391" s="18">
        <v>0.0</v>
      </c>
      <c r="O391" s="18">
        <v>7.102</v>
      </c>
      <c r="P391" s="4"/>
    </row>
    <row r="392">
      <c r="A392" s="8" t="s">
        <v>398</v>
      </c>
      <c r="B392" s="9">
        <v>40.0</v>
      </c>
      <c r="C392" s="14" t="s">
        <v>234</v>
      </c>
      <c r="D392" s="9">
        <v>50.0</v>
      </c>
      <c r="E392" s="10">
        <v>2.0</v>
      </c>
      <c r="F392" s="9">
        <v>5.0</v>
      </c>
      <c r="G392" s="9">
        <v>1.0</v>
      </c>
      <c r="H392" s="9">
        <v>0.0</v>
      </c>
      <c r="I392" s="9">
        <v>0.0</v>
      </c>
      <c r="J392" s="17">
        <v>184181.0</v>
      </c>
      <c r="K392" s="18">
        <v>40835.0</v>
      </c>
      <c r="L392" s="17">
        <v>40953.0</v>
      </c>
      <c r="M392" s="18">
        <v>40953.0</v>
      </c>
      <c r="N392" s="18">
        <v>0.0</v>
      </c>
      <c r="O392" s="18">
        <v>234.658</v>
      </c>
      <c r="P392" s="4"/>
    </row>
    <row r="393">
      <c r="A393" s="8" t="s">
        <v>399</v>
      </c>
      <c r="B393" s="9">
        <v>40.0</v>
      </c>
      <c r="C393" s="14" t="s">
        <v>234</v>
      </c>
      <c r="D393" s="9">
        <v>75.0</v>
      </c>
      <c r="E393" s="10">
        <v>0.6</v>
      </c>
      <c r="F393" s="9">
        <v>1.0</v>
      </c>
      <c r="G393" s="9">
        <v>1.0</v>
      </c>
      <c r="H393" s="9">
        <v>0.0</v>
      </c>
      <c r="I393" s="9">
        <v>0.0</v>
      </c>
      <c r="J393" s="17">
        <v>37239.0</v>
      </c>
      <c r="K393" s="18">
        <v>1956.89</v>
      </c>
      <c r="L393" s="17">
        <v>1975.0</v>
      </c>
      <c r="M393" s="18">
        <v>1975.0</v>
      </c>
      <c r="N393" s="18">
        <v>0.0</v>
      </c>
      <c r="O393" s="18">
        <v>17.789</v>
      </c>
      <c r="P393" s="4"/>
    </row>
    <row r="394">
      <c r="A394" s="8" t="s">
        <v>400</v>
      </c>
      <c r="B394" s="9">
        <v>40.0</v>
      </c>
      <c r="C394" s="14" t="s">
        <v>234</v>
      </c>
      <c r="D394" s="9">
        <v>75.0</v>
      </c>
      <c r="E394" s="10">
        <v>0.6</v>
      </c>
      <c r="F394" s="9">
        <v>2.0</v>
      </c>
      <c r="G394" s="9">
        <v>1.0</v>
      </c>
      <c r="H394" s="9">
        <v>0.0</v>
      </c>
      <c r="I394" s="9">
        <v>0.0</v>
      </c>
      <c r="J394" s="17">
        <v>37651.0</v>
      </c>
      <c r="K394" s="18">
        <v>1947.23</v>
      </c>
      <c r="L394" s="17">
        <v>1972.0</v>
      </c>
      <c r="M394" s="18">
        <v>1972.0</v>
      </c>
      <c r="N394" s="18">
        <v>0.0</v>
      </c>
      <c r="O394" s="18">
        <v>21.653</v>
      </c>
      <c r="P394" s="4"/>
    </row>
    <row r="395">
      <c r="A395" s="8" t="s">
        <v>401</v>
      </c>
      <c r="B395" s="9">
        <v>40.0</v>
      </c>
      <c r="C395" s="14" t="s">
        <v>234</v>
      </c>
      <c r="D395" s="9">
        <v>75.0</v>
      </c>
      <c r="E395" s="10">
        <v>0.6</v>
      </c>
      <c r="F395" s="9">
        <v>3.0</v>
      </c>
      <c r="G395" s="9">
        <v>1.0</v>
      </c>
      <c r="H395" s="9">
        <v>0.0</v>
      </c>
      <c r="I395" s="9">
        <v>0.0</v>
      </c>
      <c r="J395" s="17">
        <v>37579.0</v>
      </c>
      <c r="K395" s="18">
        <v>1973.82</v>
      </c>
      <c r="L395" s="17">
        <v>1994.0</v>
      </c>
      <c r="M395" s="18">
        <v>1994.0</v>
      </c>
      <c r="N395" s="18">
        <v>0.0</v>
      </c>
      <c r="O395" s="18">
        <v>23.912</v>
      </c>
      <c r="P395" s="4"/>
    </row>
    <row r="396">
      <c r="A396" s="8" t="s">
        <v>402</v>
      </c>
      <c r="B396" s="9">
        <v>40.0</v>
      </c>
      <c r="C396" s="14" t="s">
        <v>234</v>
      </c>
      <c r="D396" s="9">
        <v>75.0</v>
      </c>
      <c r="E396" s="10">
        <v>0.6</v>
      </c>
      <c r="F396" s="9">
        <v>4.0</v>
      </c>
      <c r="G396" s="9">
        <v>1.0</v>
      </c>
      <c r="H396" s="9">
        <v>0.0</v>
      </c>
      <c r="I396" s="9">
        <v>0.0</v>
      </c>
      <c r="J396" s="17">
        <v>38238.0</v>
      </c>
      <c r="K396" s="18">
        <v>1983.33</v>
      </c>
      <c r="L396" s="17">
        <v>2010.0</v>
      </c>
      <c r="M396" s="18">
        <v>2010.0</v>
      </c>
      <c r="N396" s="18">
        <v>0.0</v>
      </c>
      <c r="O396" s="18">
        <v>22.192</v>
      </c>
      <c r="P396" s="4"/>
    </row>
    <row r="397">
      <c r="A397" s="8" t="s">
        <v>403</v>
      </c>
      <c r="B397" s="9">
        <v>40.0</v>
      </c>
      <c r="C397" s="14" t="s">
        <v>234</v>
      </c>
      <c r="D397" s="9">
        <v>75.0</v>
      </c>
      <c r="E397" s="10">
        <v>0.6</v>
      </c>
      <c r="F397" s="9">
        <v>5.0</v>
      </c>
      <c r="G397" s="9">
        <v>1.0</v>
      </c>
      <c r="H397" s="9">
        <v>0.0</v>
      </c>
      <c r="I397" s="9">
        <v>0.0</v>
      </c>
      <c r="J397" s="17">
        <v>37411.0</v>
      </c>
      <c r="K397" s="18">
        <v>1926.4</v>
      </c>
      <c r="L397" s="17">
        <v>1929.0</v>
      </c>
      <c r="M397" s="18">
        <v>1929.0</v>
      </c>
      <c r="N397" s="18">
        <v>0.0</v>
      </c>
      <c r="O397" s="18">
        <v>5.891</v>
      </c>
      <c r="P397" s="4"/>
    </row>
    <row r="398">
      <c r="A398" s="8" t="s">
        <v>404</v>
      </c>
      <c r="B398" s="9">
        <v>40.0</v>
      </c>
      <c r="C398" s="14" t="s">
        <v>234</v>
      </c>
      <c r="D398" s="9">
        <v>75.0</v>
      </c>
      <c r="E398" s="10">
        <v>1.0</v>
      </c>
      <c r="F398" s="9">
        <v>1.0</v>
      </c>
      <c r="G398" s="9">
        <v>1.0</v>
      </c>
      <c r="H398" s="9">
        <v>0.0</v>
      </c>
      <c r="I398" s="9">
        <v>0.0</v>
      </c>
      <c r="J398" s="17">
        <v>62839.0</v>
      </c>
      <c r="K398" s="18">
        <v>6369.58</v>
      </c>
      <c r="L398" s="17">
        <v>6414.0</v>
      </c>
      <c r="M398" s="18">
        <v>6414.0</v>
      </c>
      <c r="N398" s="18">
        <v>0.0</v>
      </c>
      <c r="O398" s="18">
        <v>142.556</v>
      </c>
      <c r="P398" s="4"/>
    </row>
    <row r="399">
      <c r="A399" s="8" t="s">
        <v>405</v>
      </c>
      <c r="B399" s="9">
        <v>40.0</v>
      </c>
      <c r="C399" s="14" t="s">
        <v>234</v>
      </c>
      <c r="D399" s="9">
        <v>75.0</v>
      </c>
      <c r="E399" s="10">
        <v>1.0</v>
      </c>
      <c r="F399" s="9">
        <v>2.0</v>
      </c>
      <c r="G399" s="9">
        <v>1.0</v>
      </c>
      <c r="H399" s="9">
        <v>0.0</v>
      </c>
      <c r="I399" s="9">
        <v>0.0</v>
      </c>
      <c r="J399" s="17">
        <v>63531.0</v>
      </c>
      <c r="K399" s="18">
        <v>6362.22</v>
      </c>
      <c r="L399" s="17">
        <v>6438.0</v>
      </c>
      <c r="M399" s="18">
        <v>6438.0</v>
      </c>
      <c r="N399" s="18">
        <v>0.0</v>
      </c>
      <c r="O399" s="18">
        <v>344.191</v>
      </c>
      <c r="P399" s="4"/>
    </row>
    <row r="400">
      <c r="A400" s="8" t="s">
        <v>406</v>
      </c>
      <c r="B400" s="9">
        <v>40.0</v>
      </c>
      <c r="C400" s="14" t="s">
        <v>234</v>
      </c>
      <c r="D400" s="9">
        <v>75.0</v>
      </c>
      <c r="E400" s="10">
        <v>1.0</v>
      </c>
      <c r="F400" s="9">
        <v>3.0</v>
      </c>
      <c r="G400" s="9">
        <v>1.0</v>
      </c>
      <c r="H400" s="9">
        <v>0.0</v>
      </c>
      <c r="I400" s="9">
        <v>0.0</v>
      </c>
      <c r="J400" s="17">
        <v>63379.0</v>
      </c>
      <c r="K400" s="18">
        <v>6296.07</v>
      </c>
      <c r="L400" s="17">
        <v>6415.0</v>
      </c>
      <c r="M400" s="18">
        <v>6415.0</v>
      </c>
      <c r="N400" s="18">
        <v>0.0</v>
      </c>
      <c r="O400" s="18">
        <v>803.881</v>
      </c>
      <c r="P400" s="4"/>
    </row>
    <row r="401">
      <c r="A401" s="8" t="s">
        <v>407</v>
      </c>
      <c r="B401" s="9">
        <v>40.0</v>
      </c>
      <c r="C401" s="14" t="s">
        <v>234</v>
      </c>
      <c r="D401" s="9">
        <v>75.0</v>
      </c>
      <c r="E401" s="10">
        <v>1.0</v>
      </c>
      <c r="F401" s="9">
        <v>4.0</v>
      </c>
      <c r="G401" s="9">
        <v>1.0</v>
      </c>
      <c r="H401" s="9">
        <v>0.0</v>
      </c>
      <c r="I401" s="9">
        <v>0.0</v>
      </c>
      <c r="J401" s="17">
        <v>64518.0</v>
      </c>
      <c r="K401" s="18">
        <v>6459.5</v>
      </c>
      <c r="L401" s="17">
        <v>6501.0</v>
      </c>
      <c r="M401" s="18">
        <v>6501.0</v>
      </c>
      <c r="N401" s="18">
        <v>0.0</v>
      </c>
      <c r="O401" s="18">
        <v>87.934</v>
      </c>
      <c r="P401" s="4"/>
    </row>
    <row r="402">
      <c r="A402" s="8" t="s">
        <v>408</v>
      </c>
      <c r="B402" s="9">
        <v>40.0</v>
      </c>
      <c r="C402" s="14" t="s">
        <v>234</v>
      </c>
      <c r="D402" s="9">
        <v>75.0</v>
      </c>
      <c r="E402" s="10">
        <v>1.0</v>
      </c>
      <c r="F402" s="9">
        <v>5.0</v>
      </c>
      <c r="G402" s="9">
        <v>1.0</v>
      </c>
      <c r="H402" s="9">
        <v>0.0</v>
      </c>
      <c r="I402" s="9">
        <v>0.0</v>
      </c>
      <c r="J402" s="17">
        <v>63131.0</v>
      </c>
      <c r="K402" s="18">
        <v>6182.53</v>
      </c>
      <c r="L402" s="17">
        <v>6232.0</v>
      </c>
      <c r="M402" s="18">
        <v>6232.0</v>
      </c>
      <c r="N402" s="18">
        <v>0.0</v>
      </c>
      <c r="O402" s="18">
        <v>77.283</v>
      </c>
      <c r="P402" s="4"/>
    </row>
    <row r="403">
      <c r="A403" s="8" t="s">
        <v>409</v>
      </c>
      <c r="B403" s="9">
        <v>40.0</v>
      </c>
      <c r="C403" s="14" t="s">
        <v>234</v>
      </c>
      <c r="D403" s="9">
        <v>75.0</v>
      </c>
      <c r="E403" s="10">
        <v>2.0</v>
      </c>
      <c r="F403" s="9">
        <v>1.0</v>
      </c>
      <c r="G403" s="9">
        <v>1.0</v>
      </c>
      <c r="H403" s="9">
        <v>0.0</v>
      </c>
      <c r="I403" s="9">
        <v>0.0</v>
      </c>
      <c r="J403" s="17">
        <v>267839.0</v>
      </c>
      <c r="K403" s="18">
        <v>59764.2</v>
      </c>
      <c r="L403" s="17">
        <v>59996.0</v>
      </c>
      <c r="M403" s="18">
        <v>59996.0</v>
      </c>
      <c r="N403" s="18">
        <v>0.0</v>
      </c>
      <c r="O403" s="18">
        <v>2366.7</v>
      </c>
      <c r="P403" s="4"/>
    </row>
    <row r="404">
      <c r="A404" s="8" t="s">
        <v>410</v>
      </c>
      <c r="B404" s="9">
        <v>40.0</v>
      </c>
      <c r="C404" s="14" t="s">
        <v>234</v>
      </c>
      <c r="D404" s="9">
        <v>75.0</v>
      </c>
      <c r="E404" s="10">
        <v>2.0</v>
      </c>
      <c r="F404" s="9">
        <v>2.0</v>
      </c>
      <c r="G404" s="9">
        <v>1.0</v>
      </c>
      <c r="H404" s="9">
        <v>0.0</v>
      </c>
      <c r="I404" s="9">
        <v>0.0</v>
      </c>
      <c r="J404" s="17">
        <v>270851.0</v>
      </c>
      <c r="K404" s="18">
        <v>60597.9</v>
      </c>
      <c r="L404" s="17">
        <v>60741.0</v>
      </c>
      <c r="M404" s="18">
        <v>60741.0</v>
      </c>
      <c r="N404" s="18">
        <v>0.0</v>
      </c>
      <c r="O404" s="18">
        <v>62.949</v>
      </c>
      <c r="P404" s="4"/>
    </row>
    <row r="405">
      <c r="A405" s="8" t="s">
        <v>411</v>
      </c>
      <c r="B405" s="9">
        <v>40.0</v>
      </c>
      <c r="C405" s="14" t="s">
        <v>234</v>
      </c>
      <c r="D405" s="9">
        <v>75.0</v>
      </c>
      <c r="E405" s="10">
        <v>2.0</v>
      </c>
      <c r="F405" s="9">
        <v>3.0</v>
      </c>
      <c r="G405" s="9">
        <v>1.0</v>
      </c>
      <c r="H405" s="9">
        <v>0.0</v>
      </c>
      <c r="I405" s="9">
        <v>0.0</v>
      </c>
      <c r="J405" s="17">
        <v>270179.0</v>
      </c>
      <c r="K405" s="18">
        <v>60382.8</v>
      </c>
      <c r="L405" s="17">
        <v>60548.0</v>
      </c>
      <c r="M405" s="18">
        <v>60548.0</v>
      </c>
      <c r="N405" s="18">
        <v>0.0</v>
      </c>
      <c r="O405" s="18">
        <v>172.505</v>
      </c>
      <c r="P405" s="4"/>
    </row>
    <row r="406">
      <c r="A406" s="8" t="s">
        <v>412</v>
      </c>
      <c r="B406" s="9">
        <v>40.0</v>
      </c>
      <c r="C406" s="14" t="s">
        <v>234</v>
      </c>
      <c r="D406" s="9">
        <v>75.0</v>
      </c>
      <c r="E406" s="10">
        <v>2.0</v>
      </c>
      <c r="F406" s="9">
        <v>4.0</v>
      </c>
      <c r="G406" s="9">
        <v>1.0</v>
      </c>
      <c r="H406" s="9">
        <v>0.0</v>
      </c>
      <c r="I406" s="9">
        <v>0.0</v>
      </c>
      <c r="J406" s="17">
        <v>275038.0</v>
      </c>
      <c r="K406" s="18">
        <v>61452.0</v>
      </c>
      <c r="L406" s="17">
        <v>61680.0</v>
      </c>
      <c r="M406" s="18">
        <v>61680.0</v>
      </c>
      <c r="N406" s="18">
        <v>0.0</v>
      </c>
      <c r="O406" s="18">
        <v>348.24</v>
      </c>
      <c r="P406" s="4"/>
    </row>
    <row r="407">
      <c r="A407" s="8" t="s">
        <v>413</v>
      </c>
      <c r="B407" s="9">
        <v>40.0</v>
      </c>
      <c r="C407" s="14" t="s">
        <v>234</v>
      </c>
      <c r="D407" s="9">
        <v>75.0</v>
      </c>
      <c r="E407" s="10">
        <v>2.0</v>
      </c>
      <c r="F407" s="9">
        <v>5.0</v>
      </c>
      <c r="G407" s="9">
        <v>0.0</v>
      </c>
      <c r="H407" s="9">
        <v>1.0</v>
      </c>
      <c r="I407" s="9">
        <v>0.0</v>
      </c>
      <c r="J407" s="17">
        <v>269051.0</v>
      </c>
      <c r="K407" s="18">
        <v>59963.1</v>
      </c>
      <c r="L407" s="17">
        <v>60422.0</v>
      </c>
      <c r="M407" s="18">
        <v>60234.8</v>
      </c>
      <c r="N407" s="18">
        <v>0.309859</v>
      </c>
      <c r="O407" s="18">
        <v>3600.0</v>
      </c>
      <c r="P407" s="4"/>
    </row>
    <row r="408">
      <c r="A408" s="8" t="s">
        <v>414</v>
      </c>
      <c r="B408" s="9">
        <v>45.0</v>
      </c>
      <c r="C408" s="14" t="s">
        <v>234</v>
      </c>
      <c r="D408" s="9">
        <v>25.0</v>
      </c>
      <c r="E408" s="10">
        <v>0.6</v>
      </c>
      <c r="F408" s="9">
        <v>1.0</v>
      </c>
      <c r="G408" s="9">
        <v>1.0</v>
      </c>
      <c r="H408" s="9">
        <v>0.0</v>
      </c>
      <c r="I408" s="9">
        <v>0.0</v>
      </c>
      <c r="J408" s="17">
        <v>15274.0</v>
      </c>
      <c r="K408" s="18">
        <v>295.457</v>
      </c>
      <c r="L408" s="17">
        <v>316.0</v>
      </c>
      <c r="M408" s="18">
        <v>316.0</v>
      </c>
      <c r="N408" s="18">
        <v>0.0</v>
      </c>
      <c r="O408" s="18">
        <v>2949.24</v>
      </c>
      <c r="P408" s="4"/>
    </row>
    <row r="409">
      <c r="A409" s="8" t="s">
        <v>415</v>
      </c>
      <c r="B409" s="9">
        <v>45.0</v>
      </c>
      <c r="C409" s="14" t="s">
        <v>234</v>
      </c>
      <c r="D409" s="9">
        <v>25.0</v>
      </c>
      <c r="E409" s="10">
        <v>0.6</v>
      </c>
      <c r="F409" s="9">
        <v>2.0</v>
      </c>
      <c r="G409" s="9">
        <v>0.0</v>
      </c>
      <c r="H409" s="9">
        <v>1.0</v>
      </c>
      <c r="I409" s="9">
        <v>0.0</v>
      </c>
      <c r="J409" s="17">
        <v>16850.0</v>
      </c>
      <c r="K409" s="18">
        <v>358.155</v>
      </c>
      <c r="L409" s="17">
        <v>414.0</v>
      </c>
      <c r="M409" s="18">
        <v>376.867</v>
      </c>
      <c r="N409" s="18">
        <v>8.9694</v>
      </c>
      <c r="O409" s="18">
        <v>3600.0</v>
      </c>
      <c r="P409" s="4"/>
    </row>
    <row r="410">
      <c r="A410" s="8" t="s">
        <v>416</v>
      </c>
      <c r="B410" s="9">
        <v>45.0</v>
      </c>
      <c r="C410" s="14" t="s">
        <v>234</v>
      </c>
      <c r="D410" s="9">
        <v>25.0</v>
      </c>
      <c r="E410" s="10">
        <v>0.6</v>
      </c>
      <c r="F410" s="9">
        <v>3.0</v>
      </c>
      <c r="G410" s="9">
        <v>0.0</v>
      </c>
      <c r="H410" s="9">
        <v>1.0</v>
      </c>
      <c r="I410" s="9">
        <v>0.0</v>
      </c>
      <c r="J410" s="17">
        <v>15651.0</v>
      </c>
      <c r="K410" s="18">
        <v>297.666</v>
      </c>
      <c r="L410" s="17">
        <v>324.0</v>
      </c>
      <c r="M410" s="18">
        <v>315.588</v>
      </c>
      <c r="N410" s="18">
        <v>2.59622</v>
      </c>
      <c r="O410" s="18">
        <v>3600.0</v>
      </c>
      <c r="P410" s="4"/>
    </row>
    <row r="411">
      <c r="A411" s="8" t="s">
        <v>417</v>
      </c>
      <c r="B411" s="9">
        <v>45.0</v>
      </c>
      <c r="C411" s="14" t="s">
        <v>234</v>
      </c>
      <c r="D411" s="9">
        <v>25.0</v>
      </c>
      <c r="E411" s="10">
        <v>0.6</v>
      </c>
      <c r="F411" s="9">
        <v>4.0</v>
      </c>
      <c r="G411" s="9">
        <v>0.0</v>
      </c>
      <c r="H411" s="9">
        <v>1.0</v>
      </c>
      <c r="I411" s="9">
        <v>0.0</v>
      </c>
      <c r="J411" s="17">
        <v>13957.0</v>
      </c>
      <c r="K411" s="18">
        <v>261.647</v>
      </c>
      <c r="L411" s="17">
        <v>285.0</v>
      </c>
      <c r="M411" s="18">
        <v>277.538</v>
      </c>
      <c r="N411" s="18">
        <v>2.61835</v>
      </c>
      <c r="O411" s="18">
        <v>3600.0</v>
      </c>
      <c r="P411" s="4"/>
    </row>
    <row r="412">
      <c r="A412" s="8" t="s">
        <v>418</v>
      </c>
      <c r="B412" s="9">
        <v>45.0</v>
      </c>
      <c r="C412" s="14" t="s">
        <v>234</v>
      </c>
      <c r="D412" s="9">
        <v>25.0</v>
      </c>
      <c r="E412" s="10">
        <v>0.6</v>
      </c>
      <c r="F412" s="9">
        <v>5.0</v>
      </c>
      <c r="G412" s="9">
        <v>1.0</v>
      </c>
      <c r="H412" s="9">
        <v>0.0</v>
      </c>
      <c r="I412" s="9">
        <v>0.0</v>
      </c>
      <c r="J412" s="17">
        <v>14510.0</v>
      </c>
      <c r="K412" s="18">
        <v>287.422</v>
      </c>
      <c r="L412" s="17">
        <v>303.0</v>
      </c>
      <c r="M412" s="18">
        <v>303.0</v>
      </c>
      <c r="N412" s="18">
        <v>0.0</v>
      </c>
      <c r="O412" s="18">
        <v>1855.0</v>
      </c>
      <c r="P412" s="4"/>
    </row>
    <row r="413">
      <c r="A413" s="8" t="s">
        <v>419</v>
      </c>
      <c r="B413" s="9">
        <v>45.0</v>
      </c>
      <c r="C413" s="14" t="s">
        <v>234</v>
      </c>
      <c r="D413" s="9">
        <v>25.0</v>
      </c>
      <c r="E413" s="10">
        <v>1.0</v>
      </c>
      <c r="F413" s="9">
        <v>1.0</v>
      </c>
      <c r="G413" s="9">
        <v>0.0</v>
      </c>
      <c r="H413" s="9">
        <v>1.0</v>
      </c>
      <c r="I413" s="9">
        <v>0.0</v>
      </c>
      <c r="J413" s="17">
        <v>24904.0</v>
      </c>
      <c r="K413" s="18">
        <v>1401.97</v>
      </c>
      <c r="L413" s="17">
        <v>1662.0</v>
      </c>
      <c r="M413" s="18">
        <v>1440.27</v>
      </c>
      <c r="N413" s="18">
        <v>13.3413</v>
      </c>
      <c r="O413" s="18">
        <v>3600.0</v>
      </c>
      <c r="P413" s="4"/>
    </row>
    <row r="414">
      <c r="A414" s="8" t="s">
        <v>420</v>
      </c>
      <c r="B414" s="9">
        <v>45.0</v>
      </c>
      <c r="C414" s="14" t="s">
        <v>234</v>
      </c>
      <c r="D414" s="9">
        <v>25.0</v>
      </c>
      <c r="E414" s="10">
        <v>1.0</v>
      </c>
      <c r="F414" s="9">
        <v>2.0</v>
      </c>
      <c r="G414" s="9">
        <v>0.0</v>
      </c>
      <c r="H414" s="9">
        <v>1.0</v>
      </c>
      <c r="I414" s="9">
        <v>0.0</v>
      </c>
      <c r="J414" s="17">
        <v>27515.0</v>
      </c>
      <c r="K414" s="18">
        <v>1568.74</v>
      </c>
      <c r="L414" s="17">
        <v>1837.0</v>
      </c>
      <c r="M414" s="18">
        <v>1626.3</v>
      </c>
      <c r="N414" s="18">
        <v>11.4698</v>
      </c>
      <c r="O414" s="18">
        <v>3600.0</v>
      </c>
      <c r="P414" s="4"/>
    </row>
    <row r="415">
      <c r="A415" s="8" t="s">
        <v>421</v>
      </c>
      <c r="B415" s="9">
        <v>45.0</v>
      </c>
      <c r="C415" s="14" t="s">
        <v>234</v>
      </c>
      <c r="D415" s="9">
        <v>25.0</v>
      </c>
      <c r="E415" s="10">
        <v>1.0</v>
      </c>
      <c r="F415" s="9">
        <v>3.0</v>
      </c>
      <c r="G415" s="9">
        <v>0.0</v>
      </c>
      <c r="H415" s="9">
        <v>1.0</v>
      </c>
      <c r="I415" s="9">
        <v>0.0</v>
      </c>
      <c r="J415" s="17">
        <v>25551.0</v>
      </c>
      <c r="K415" s="18">
        <v>1427.18</v>
      </c>
      <c r="L415" s="17">
        <v>1704.0</v>
      </c>
      <c r="M415" s="18">
        <v>1455.92</v>
      </c>
      <c r="N415" s="18">
        <v>14.5588</v>
      </c>
      <c r="O415" s="18">
        <v>3600.0</v>
      </c>
      <c r="P415" s="4"/>
    </row>
    <row r="416">
      <c r="A416" s="8" t="s">
        <v>422</v>
      </c>
      <c r="B416" s="9">
        <v>45.0</v>
      </c>
      <c r="C416" s="14" t="s">
        <v>234</v>
      </c>
      <c r="D416" s="9">
        <v>25.0</v>
      </c>
      <c r="E416" s="10">
        <v>1.0</v>
      </c>
      <c r="F416" s="9">
        <v>4.0</v>
      </c>
      <c r="G416" s="9">
        <v>0.0</v>
      </c>
      <c r="H416" s="9">
        <v>1.0</v>
      </c>
      <c r="I416" s="9">
        <v>0.0</v>
      </c>
      <c r="J416" s="17">
        <v>22822.0</v>
      </c>
      <c r="K416" s="18">
        <v>1272.34</v>
      </c>
      <c r="L416" s="17">
        <v>1524.0</v>
      </c>
      <c r="M416" s="18">
        <v>1292.23</v>
      </c>
      <c r="N416" s="18">
        <v>15.2079</v>
      </c>
      <c r="O416" s="18">
        <v>3600.0</v>
      </c>
      <c r="P416" s="4"/>
    </row>
    <row r="417">
      <c r="A417" s="8" t="s">
        <v>423</v>
      </c>
      <c r="B417" s="9">
        <v>45.0</v>
      </c>
      <c r="C417" s="14" t="s">
        <v>234</v>
      </c>
      <c r="D417" s="9">
        <v>25.0</v>
      </c>
      <c r="E417" s="10">
        <v>1.0</v>
      </c>
      <c r="F417" s="9">
        <v>5.0</v>
      </c>
      <c r="G417" s="9">
        <v>0.0</v>
      </c>
      <c r="H417" s="9">
        <v>1.0</v>
      </c>
      <c r="I417" s="9">
        <v>0.0</v>
      </c>
      <c r="J417" s="17">
        <v>23645.0</v>
      </c>
      <c r="K417" s="18">
        <v>1319.98</v>
      </c>
      <c r="L417" s="17">
        <v>1578.0</v>
      </c>
      <c r="M417" s="18">
        <v>1352.51</v>
      </c>
      <c r="N417" s="18">
        <v>14.2896</v>
      </c>
      <c r="O417" s="18">
        <v>3600.0</v>
      </c>
      <c r="P417" s="4"/>
    </row>
    <row r="418">
      <c r="A418" s="8" t="s">
        <v>424</v>
      </c>
      <c r="B418" s="9">
        <v>45.0</v>
      </c>
      <c r="C418" s="14" t="s">
        <v>234</v>
      </c>
      <c r="D418" s="9">
        <v>25.0</v>
      </c>
      <c r="E418" s="10">
        <v>2.0</v>
      </c>
      <c r="F418" s="9">
        <v>1.0</v>
      </c>
      <c r="G418" s="9">
        <v>1.0</v>
      </c>
      <c r="H418" s="9">
        <v>0.0</v>
      </c>
      <c r="I418" s="9">
        <v>0.0</v>
      </c>
      <c r="J418" s="17">
        <v>102934.0</v>
      </c>
      <c r="K418" s="18">
        <v>20110.0</v>
      </c>
      <c r="L418" s="17">
        <v>20110.0</v>
      </c>
      <c r="M418" s="18">
        <v>20110.0</v>
      </c>
      <c r="N418" s="18">
        <v>0.0</v>
      </c>
      <c r="O418" s="18">
        <v>1.037</v>
      </c>
      <c r="P418" s="4"/>
    </row>
    <row r="419">
      <c r="A419" s="8" t="s">
        <v>425</v>
      </c>
      <c r="B419" s="9">
        <v>45.0</v>
      </c>
      <c r="C419" s="14" t="s">
        <v>234</v>
      </c>
      <c r="D419" s="9">
        <v>25.0</v>
      </c>
      <c r="E419" s="10">
        <v>2.0</v>
      </c>
      <c r="F419" s="9">
        <v>2.0</v>
      </c>
      <c r="G419" s="9">
        <v>0.0</v>
      </c>
      <c r="H419" s="9">
        <v>1.0</v>
      </c>
      <c r="I419" s="9">
        <v>0.0</v>
      </c>
      <c r="J419" s="17">
        <v>113735.0</v>
      </c>
      <c r="K419" s="18">
        <v>22043.0</v>
      </c>
      <c r="L419" s="17">
        <v>22220.0</v>
      </c>
      <c r="M419" s="18">
        <v>22043.0</v>
      </c>
      <c r="N419" s="18">
        <v>0.79646</v>
      </c>
      <c r="O419" s="18">
        <v>3600.0</v>
      </c>
      <c r="P419" s="4"/>
    </row>
    <row r="420">
      <c r="A420" s="8" t="s">
        <v>426</v>
      </c>
      <c r="B420" s="9">
        <v>45.0</v>
      </c>
      <c r="C420" s="14" t="s">
        <v>234</v>
      </c>
      <c r="D420" s="9">
        <v>25.0</v>
      </c>
      <c r="E420" s="10">
        <v>2.0</v>
      </c>
      <c r="F420" s="9">
        <v>3.0</v>
      </c>
      <c r="G420" s="9">
        <v>0.0</v>
      </c>
      <c r="H420" s="9">
        <v>1.0</v>
      </c>
      <c r="I420" s="9">
        <v>0.0</v>
      </c>
      <c r="J420" s="17">
        <v>105651.0</v>
      </c>
      <c r="K420" s="18">
        <v>20513.3</v>
      </c>
      <c r="L420" s="17">
        <v>20640.0</v>
      </c>
      <c r="M420" s="18">
        <v>20513.3</v>
      </c>
      <c r="N420" s="18">
        <v>0.614035</v>
      </c>
      <c r="O420" s="18">
        <v>3600.0</v>
      </c>
      <c r="P420" s="4"/>
    </row>
    <row r="421">
      <c r="A421" s="8" t="s">
        <v>427</v>
      </c>
      <c r="B421" s="9">
        <v>45.0</v>
      </c>
      <c r="C421" s="14" t="s">
        <v>234</v>
      </c>
      <c r="D421" s="9">
        <v>25.0</v>
      </c>
      <c r="E421" s="10">
        <v>2.0</v>
      </c>
      <c r="F421" s="9">
        <v>4.0</v>
      </c>
      <c r="G421" s="9">
        <v>0.0</v>
      </c>
      <c r="H421" s="9">
        <v>1.0</v>
      </c>
      <c r="I421" s="9">
        <v>0.0</v>
      </c>
      <c r="J421" s="17">
        <v>94282.0</v>
      </c>
      <c r="K421" s="18">
        <v>18377.2</v>
      </c>
      <c r="L421" s="17">
        <v>18420.0</v>
      </c>
      <c r="M421" s="18">
        <v>18377.2</v>
      </c>
      <c r="N421" s="18">
        <v>0.232558</v>
      </c>
      <c r="O421" s="18">
        <v>3600.0</v>
      </c>
      <c r="P421" s="4"/>
    </row>
    <row r="422">
      <c r="A422" s="8" t="s">
        <v>428</v>
      </c>
      <c r="B422" s="9">
        <v>45.0</v>
      </c>
      <c r="C422" s="14" t="s">
        <v>234</v>
      </c>
      <c r="D422" s="9">
        <v>25.0</v>
      </c>
      <c r="E422" s="10">
        <v>2.0</v>
      </c>
      <c r="F422" s="9">
        <v>5.0</v>
      </c>
      <c r="G422" s="9">
        <v>0.0</v>
      </c>
      <c r="H422" s="9">
        <v>1.0</v>
      </c>
      <c r="I422" s="9">
        <v>0.0</v>
      </c>
      <c r="J422" s="17">
        <v>97715.0</v>
      </c>
      <c r="K422" s="18">
        <v>19010.5</v>
      </c>
      <c r="L422" s="17">
        <v>19090.0</v>
      </c>
      <c r="M422" s="18">
        <v>19010.5</v>
      </c>
      <c r="N422" s="18">
        <v>0.416667</v>
      </c>
      <c r="O422" s="18">
        <v>3600.0</v>
      </c>
      <c r="P422" s="4"/>
    </row>
    <row r="423">
      <c r="A423" s="8" t="s">
        <v>429</v>
      </c>
      <c r="B423" s="9">
        <v>45.0</v>
      </c>
      <c r="C423" s="14" t="s">
        <v>234</v>
      </c>
      <c r="D423" s="9">
        <v>50.0</v>
      </c>
      <c r="E423" s="10">
        <v>0.6</v>
      </c>
      <c r="F423" s="9">
        <v>1.0</v>
      </c>
      <c r="G423" s="9">
        <v>1.0</v>
      </c>
      <c r="H423" s="9">
        <v>0.0</v>
      </c>
      <c r="I423" s="9">
        <v>0.0</v>
      </c>
      <c r="J423" s="17">
        <v>31688.0</v>
      </c>
      <c r="K423" s="18">
        <v>1017.07</v>
      </c>
      <c r="L423" s="17">
        <v>1071.0</v>
      </c>
      <c r="M423" s="18">
        <v>1071.0</v>
      </c>
      <c r="N423" s="18">
        <v>0.0</v>
      </c>
      <c r="O423" s="18">
        <v>1174.97</v>
      </c>
      <c r="P423" s="4"/>
    </row>
    <row r="424">
      <c r="A424" s="8" t="s">
        <v>430</v>
      </c>
      <c r="B424" s="9">
        <v>45.0</v>
      </c>
      <c r="C424" s="14" t="s">
        <v>234</v>
      </c>
      <c r="D424" s="9">
        <v>50.0</v>
      </c>
      <c r="E424" s="10">
        <v>0.6</v>
      </c>
      <c r="F424" s="9">
        <v>2.0</v>
      </c>
      <c r="G424" s="9">
        <v>1.0</v>
      </c>
      <c r="H424" s="9">
        <v>0.0</v>
      </c>
      <c r="I424" s="9">
        <v>0.0</v>
      </c>
      <c r="J424" s="17">
        <v>31291.0</v>
      </c>
      <c r="K424" s="18">
        <v>1001.43</v>
      </c>
      <c r="L424" s="17">
        <v>1043.0</v>
      </c>
      <c r="M424" s="18">
        <v>1043.0</v>
      </c>
      <c r="N424" s="18">
        <v>0.0</v>
      </c>
      <c r="O424" s="18">
        <v>508.63</v>
      </c>
      <c r="P424" s="4"/>
    </row>
    <row r="425">
      <c r="A425" s="8" t="s">
        <v>431</v>
      </c>
      <c r="B425" s="9">
        <v>45.0</v>
      </c>
      <c r="C425" s="14" t="s">
        <v>234</v>
      </c>
      <c r="D425" s="9">
        <v>50.0</v>
      </c>
      <c r="E425" s="10">
        <v>0.6</v>
      </c>
      <c r="F425" s="9">
        <v>3.0</v>
      </c>
      <c r="G425" s="9">
        <v>1.0</v>
      </c>
      <c r="H425" s="9">
        <v>0.0</v>
      </c>
      <c r="I425" s="9">
        <v>0.0</v>
      </c>
      <c r="J425" s="17">
        <v>29234.0</v>
      </c>
      <c r="K425" s="18">
        <v>891.884</v>
      </c>
      <c r="L425" s="17">
        <v>929.0</v>
      </c>
      <c r="M425" s="18">
        <v>929.0</v>
      </c>
      <c r="N425" s="18">
        <v>0.0</v>
      </c>
      <c r="O425" s="18">
        <v>584.747</v>
      </c>
      <c r="P425" s="4"/>
    </row>
    <row r="426">
      <c r="A426" s="8" t="s">
        <v>432</v>
      </c>
      <c r="B426" s="9">
        <v>45.0</v>
      </c>
      <c r="C426" s="14" t="s">
        <v>234</v>
      </c>
      <c r="D426" s="9">
        <v>50.0</v>
      </c>
      <c r="E426" s="10">
        <v>0.6</v>
      </c>
      <c r="F426" s="9">
        <v>4.0</v>
      </c>
      <c r="G426" s="9">
        <v>1.0</v>
      </c>
      <c r="H426" s="9">
        <v>0.0</v>
      </c>
      <c r="I426" s="9">
        <v>0.0</v>
      </c>
      <c r="J426" s="17">
        <v>30310.0</v>
      </c>
      <c r="K426" s="18">
        <v>950.194</v>
      </c>
      <c r="L426" s="17">
        <v>989.0</v>
      </c>
      <c r="M426" s="18">
        <v>989.0</v>
      </c>
      <c r="N426" s="18">
        <v>0.0</v>
      </c>
      <c r="O426" s="18">
        <v>530.923</v>
      </c>
      <c r="P426" s="4"/>
    </row>
    <row r="427">
      <c r="A427" s="8" t="s">
        <v>433</v>
      </c>
      <c r="B427" s="9">
        <v>45.0</v>
      </c>
      <c r="C427" s="14" t="s">
        <v>234</v>
      </c>
      <c r="D427" s="9">
        <v>50.0</v>
      </c>
      <c r="E427" s="10">
        <v>0.6</v>
      </c>
      <c r="F427" s="9">
        <v>5.0</v>
      </c>
      <c r="G427" s="9">
        <v>1.0</v>
      </c>
      <c r="H427" s="9">
        <v>0.0</v>
      </c>
      <c r="I427" s="9">
        <v>0.0</v>
      </c>
      <c r="J427" s="17">
        <v>32910.0</v>
      </c>
      <c r="K427" s="18">
        <v>1088.86</v>
      </c>
      <c r="L427" s="17">
        <v>1122.0</v>
      </c>
      <c r="M427" s="18">
        <v>1122.0</v>
      </c>
      <c r="N427" s="18">
        <v>0.0</v>
      </c>
      <c r="O427" s="18">
        <v>156.226</v>
      </c>
      <c r="P427" s="4"/>
    </row>
    <row r="428">
      <c r="A428" s="8" t="s">
        <v>434</v>
      </c>
      <c r="B428" s="9">
        <v>45.0</v>
      </c>
      <c r="C428" s="14" t="s">
        <v>234</v>
      </c>
      <c r="D428" s="9">
        <v>50.0</v>
      </c>
      <c r="E428" s="10">
        <v>1.0</v>
      </c>
      <c r="F428" s="9">
        <v>1.0</v>
      </c>
      <c r="G428" s="9">
        <v>1.0</v>
      </c>
      <c r="H428" s="9">
        <v>0.0</v>
      </c>
      <c r="I428" s="9">
        <v>0.0</v>
      </c>
      <c r="J428" s="17">
        <v>51713.0</v>
      </c>
      <c r="K428" s="18">
        <v>3879.17</v>
      </c>
      <c r="L428" s="17">
        <v>3950.0</v>
      </c>
      <c r="M428" s="18">
        <v>3950.0</v>
      </c>
      <c r="N428" s="18">
        <v>0.0</v>
      </c>
      <c r="O428" s="18">
        <v>478.401</v>
      </c>
      <c r="P428" s="4"/>
    </row>
    <row r="429">
      <c r="A429" s="8" t="s">
        <v>435</v>
      </c>
      <c r="B429" s="9">
        <v>45.0</v>
      </c>
      <c r="C429" s="14" t="s">
        <v>234</v>
      </c>
      <c r="D429" s="9">
        <v>50.0</v>
      </c>
      <c r="E429" s="10">
        <v>1.0</v>
      </c>
      <c r="F429" s="9">
        <v>2.0</v>
      </c>
      <c r="G429" s="9">
        <v>1.0</v>
      </c>
      <c r="H429" s="9">
        <v>0.0</v>
      </c>
      <c r="I429" s="9">
        <v>0.0</v>
      </c>
      <c r="J429" s="17">
        <v>51091.0</v>
      </c>
      <c r="K429" s="18">
        <v>3805.24</v>
      </c>
      <c r="L429" s="17">
        <v>3904.0</v>
      </c>
      <c r="M429" s="18">
        <v>3904.0</v>
      </c>
      <c r="N429" s="18">
        <v>0.0</v>
      </c>
      <c r="O429" s="18">
        <v>1175.19</v>
      </c>
      <c r="P429" s="4"/>
    </row>
    <row r="430">
      <c r="A430" s="8" t="s">
        <v>436</v>
      </c>
      <c r="B430" s="9">
        <v>45.0</v>
      </c>
      <c r="C430" s="14" t="s">
        <v>234</v>
      </c>
      <c r="D430" s="9">
        <v>50.0</v>
      </c>
      <c r="E430" s="10">
        <v>1.0</v>
      </c>
      <c r="F430" s="9">
        <v>3.0</v>
      </c>
      <c r="G430" s="9">
        <v>1.0</v>
      </c>
      <c r="H430" s="9">
        <v>0.0</v>
      </c>
      <c r="I430" s="9">
        <v>0.0</v>
      </c>
      <c r="J430" s="17">
        <v>47684.0</v>
      </c>
      <c r="K430" s="18">
        <v>3448.95</v>
      </c>
      <c r="L430" s="17">
        <v>3541.0</v>
      </c>
      <c r="M430" s="18">
        <v>3541.0</v>
      </c>
      <c r="N430" s="18">
        <v>0.0</v>
      </c>
      <c r="O430" s="18">
        <v>1232.3</v>
      </c>
      <c r="P430" s="4"/>
    </row>
    <row r="431">
      <c r="A431" s="8" t="s">
        <v>437</v>
      </c>
      <c r="B431" s="9">
        <v>45.0</v>
      </c>
      <c r="C431" s="14" t="s">
        <v>234</v>
      </c>
      <c r="D431" s="9">
        <v>50.0</v>
      </c>
      <c r="E431" s="10">
        <v>1.0</v>
      </c>
      <c r="F431" s="9">
        <v>4.0</v>
      </c>
      <c r="G431" s="9">
        <v>1.0</v>
      </c>
      <c r="H431" s="9">
        <v>0.0</v>
      </c>
      <c r="I431" s="9">
        <v>0.0</v>
      </c>
      <c r="J431" s="17">
        <v>49480.0</v>
      </c>
      <c r="K431" s="18">
        <v>3641.71</v>
      </c>
      <c r="L431" s="17">
        <v>3703.0</v>
      </c>
      <c r="M431" s="18">
        <v>3703.0</v>
      </c>
      <c r="N431" s="18">
        <v>0.0</v>
      </c>
      <c r="O431" s="18">
        <v>436.71</v>
      </c>
      <c r="P431" s="4"/>
    </row>
    <row r="432">
      <c r="A432" s="8" t="s">
        <v>438</v>
      </c>
      <c r="B432" s="9">
        <v>45.0</v>
      </c>
      <c r="C432" s="14" t="s">
        <v>234</v>
      </c>
      <c r="D432" s="9">
        <v>50.0</v>
      </c>
      <c r="E432" s="10">
        <v>1.0</v>
      </c>
      <c r="F432" s="9">
        <v>5.0</v>
      </c>
      <c r="G432" s="9">
        <v>1.0</v>
      </c>
      <c r="H432" s="9">
        <v>0.0</v>
      </c>
      <c r="I432" s="9">
        <v>0.0</v>
      </c>
      <c r="J432" s="17">
        <v>53700.0</v>
      </c>
      <c r="K432" s="18">
        <v>4100.0</v>
      </c>
      <c r="L432" s="17">
        <v>4169.0</v>
      </c>
      <c r="M432" s="18">
        <v>4169.0</v>
      </c>
      <c r="N432" s="18">
        <v>0.0</v>
      </c>
      <c r="O432" s="18">
        <v>354.959</v>
      </c>
      <c r="P432" s="4"/>
    </row>
    <row r="433">
      <c r="A433" s="8" t="s">
        <v>439</v>
      </c>
      <c r="B433" s="9">
        <v>45.0</v>
      </c>
      <c r="C433" s="14" t="s">
        <v>234</v>
      </c>
      <c r="D433" s="9">
        <v>50.0</v>
      </c>
      <c r="E433" s="10">
        <v>2.0</v>
      </c>
      <c r="F433" s="9">
        <v>1.0</v>
      </c>
      <c r="G433" s="9">
        <v>1.0</v>
      </c>
      <c r="H433" s="9">
        <v>0.0</v>
      </c>
      <c r="I433" s="9">
        <v>0.0</v>
      </c>
      <c r="J433" s="17">
        <v>213758.0</v>
      </c>
      <c r="K433" s="18">
        <v>41740.5</v>
      </c>
      <c r="L433" s="17">
        <v>41843.0</v>
      </c>
      <c r="M433" s="18">
        <v>41843.0</v>
      </c>
      <c r="N433" s="18">
        <v>0.0</v>
      </c>
      <c r="O433" s="18">
        <v>483.205</v>
      </c>
      <c r="P433" s="4"/>
    </row>
    <row r="434">
      <c r="A434" s="8" t="s">
        <v>440</v>
      </c>
      <c r="B434" s="9">
        <v>45.0</v>
      </c>
      <c r="C434" s="14" t="s">
        <v>234</v>
      </c>
      <c r="D434" s="9">
        <v>50.0</v>
      </c>
      <c r="E434" s="10">
        <v>2.0</v>
      </c>
      <c r="F434" s="9">
        <v>2.0</v>
      </c>
      <c r="G434" s="9">
        <v>1.0</v>
      </c>
      <c r="H434" s="9">
        <v>0.0</v>
      </c>
      <c r="I434" s="9">
        <v>0.0</v>
      </c>
      <c r="J434" s="17">
        <v>211246.0</v>
      </c>
      <c r="K434" s="18">
        <v>41244.6</v>
      </c>
      <c r="L434" s="17">
        <v>41316.0</v>
      </c>
      <c r="M434" s="18">
        <v>41316.0</v>
      </c>
      <c r="N434" s="18">
        <v>0.0</v>
      </c>
      <c r="O434" s="18">
        <v>166.44</v>
      </c>
      <c r="P434" s="4"/>
    </row>
    <row r="435">
      <c r="A435" s="8" t="s">
        <v>441</v>
      </c>
      <c r="B435" s="9">
        <v>45.0</v>
      </c>
      <c r="C435" s="14" t="s">
        <v>234</v>
      </c>
      <c r="D435" s="9">
        <v>50.0</v>
      </c>
      <c r="E435" s="10">
        <v>2.0</v>
      </c>
      <c r="F435" s="9">
        <v>3.0</v>
      </c>
      <c r="G435" s="9">
        <v>0.0</v>
      </c>
      <c r="H435" s="9">
        <v>1.0</v>
      </c>
      <c r="I435" s="9">
        <v>0.0</v>
      </c>
      <c r="J435" s="17">
        <v>197174.0</v>
      </c>
      <c r="K435" s="18">
        <v>38300.1</v>
      </c>
      <c r="L435" s="17">
        <v>38574.0</v>
      </c>
      <c r="M435" s="18">
        <v>38429.1</v>
      </c>
      <c r="N435" s="18">
        <v>0.37564</v>
      </c>
      <c r="O435" s="18">
        <v>3600.0</v>
      </c>
      <c r="P435" s="4"/>
    </row>
    <row r="436">
      <c r="A436" s="8" t="s">
        <v>442</v>
      </c>
      <c r="B436" s="9">
        <v>45.0</v>
      </c>
      <c r="C436" s="14" t="s">
        <v>234</v>
      </c>
      <c r="D436" s="9">
        <v>50.0</v>
      </c>
      <c r="E436" s="10">
        <v>2.0</v>
      </c>
      <c r="F436" s="9">
        <v>4.0</v>
      </c>
      <c r="G436" s="9">
        <v>0.0</v>
      </c>
      <c r="H436" s="9">
        <v>1.0</v>
      </c>
      <c r="I436" s="9">
        <v>0.0</v>
      </c>
      <c r="J436" s="17">
        <v>204595.0</v>
      </c>
      <c r="K436" s="18">
        <v>39856.7</v>
      </c>
      <c r="L436" s="17">
        <v>40053.0</v>
      </c>
      <c r="M436" s="18">
        <v>39990.2</v>
      </c>
      <c r="N436" s="18">
        <v>0.156779</v>
      </c>
      <c r="O436" s="18">
        <v>3600.0</v>
      </c>
      <c r="P436" s="4"/>
    </row>
    <row r="437">
      <c r="A437" s="8" t="s">
        <v>443</v>
      </c>
      <c r="B437" s="9">
        <v>45.0</v>
      </c>
      <c r="C437" s="14" t="s">
        <v>234</v>
      </c>
      <c r="D437" s="9">
        <v>50.0</v>
      </c>
      <c r="E437" s="10">
        <v>2.0</v>
      </c>
      <c r="F437" s="9">
        <v>5.0</v>
      </c>
      <c r="G437" s="9">
        <v>1.0</v>
      </c>
      <c r="H437" s="9">
        <v>0.0</v>
      </c>
      <c r="I437" s="9">
        <v>0.0</v>
      </c>
      <c r="J437" s="17">
        <v>222000.0</v>
      </c>
      <c r="K437" s="18">
        <v>43523.3</v>
      </c>
      <c r="L437" s="17">
        <v>43601.0</v>
      </c>
      <c r="M437" s="18">
        <v>43601.0</v>
      </c>
      <c r="N437" s="18">
        <v>0.0</v>
      </c>
      <c r="O437" s="18">
        <v>56.298</v>
      </c>
      <c r="P437" s="4"/>
    </row>
    <row r="438">
      <c r="A438" s="8" t="s">
        <v>444</v>
      </c>
      <c r="B438" s="9">
        <v>45.0</v>
      </c>
      <c r="C438" s="14" t="s">
        <v>234</v>
      </c>
      <c r="D438" s="9">
        <v>75.0</v>
      </c>
      <c r="E438" s="10">
        <v>0.6</v>
      </c>
      <c r="F438" s="9">
        <v>1.0</v>
      </c>
      <c r="G438" s="9">
        <v>1.0</v>
      </c>
      <c r="H438" s="9">
        <v>0.0</v>
      </c>
      <c r="I438" s="9">
        <v>0.0</v>
      </c>
      <c r="J438" s="17">
        <v>46482.0</v>
      </c>
      <c r="K438" s="18">
        <v>2137.0</v>
      </c>
      <c r="L438" s="17">
        <v>2184.0</v>
      </c>
      <c r="M438" s="18">
        <v>2184.0</v>
      </c>
      <c r="N438" s="18">
        <v>0.0</v>
      </c>
      <c r="O438" s="18">
        <v>174.609</v>
      </c>
      <c r="P438" s="4"/>
    </row>
    <row r="439">
      <c r="A439" s="8" t="s">
        <v>445</v>
      </c>
      <c r="B439" s="9">
        <v>45.0</v>
      </c>
      <c r="C439" s="14" t="s">
        <v>234</v>
      </c>
      <c r="D439" s="9">
        <v>75.0</v>
      </c>
      <c r="E439" s="10">
        <v>0.6</v>
      </c>
      <c r="F439" s="9">
        <v>2.0</v>
      </c>
      <c r="G439" s="9">
        <v>1.0</v>
      </c>
      <c r="H439" s="9">
        <v>0.0</v>
      </c>
      <c r="I439" s="9">
        <v>0.0</v>
      </c>
      <c r="J439" s="17">
        <v>47093.0</v>
      </c>
      <c r="K439" s="18">
        <v>2185.13</v>
      </c>
      <c r="L439" s="17">
        <v>2219.0</v>
      </c>
      <c r="M439" s="18">
        <v>2219.0</v>
      </c>
      <c r="N439" s="18">
        <v>0.0</v>
      </c>
      <c r="O439" s="18">
        <v>60.945</v>
      </c>
      <c r="P439" s="4"/>
    </row>
    <row r="440">
      <c r="A440" s="8" t="s">
        <v>446</v>
      </c>
      <c r="B440" s="9">
        <v>45.0</v>
      </c>
      <c r="C440" s="14" t="s">
        <v>234</v>
      </c>
      <c r="D440" s="9">
        <v>75.0</v>
      </c>
      <c r="E440" s="10">
        <v>0.6</v>
      </c>
      <c r="F440" s="9">
        <v>3.0</v>
      </c>
      <c r="G440" s="9">
        <v>1.0</v>
      </c>
      <c r="H440" s="9">
        <v>0.0</v>
      </c>
      <c r="I440" s="9">
        <v>0.0</v>
      </c>
      <c r="J440" s="17">
        <v>46184.0</v>
      </c>
      <c r="K440" s="18">
        <v>2161.71</v>
      </c>
      <c r="L440" s="17">
        <v>2207.0</v>
      </c>
      <c r="M440" s="18">
        <v>2207.0</v>
      </c>
      <c r="N440" s="18">
        <v>0.0</v>
      </c>
      <c r="O440" s="18">
        <v>114.336</v>
      </c>
      <c r="P440" s="4"/>
    </row>
    <row r="441">
      <c r="A441" s="8" t="s">
        <v>447</v>
      </c>
      <c r="B441" s="9">
        <v>45.0</v>
      </c>
      <c r="C441" s="14" t="s">
        <v>234</v>
      </c>
      <c r="D441" s="9">
        <v>75.0</v>
      </c>
      <c r="E441" s="10">
        <v>0.6</v>
      </c>
      <c r="F441" s="9">
        <v>4.0</v>
      </c>
      <c r="G441" s="9">
        <v>1.0</v>
      </c>
      <c r="H441" s="9">
        <v>0.0</v>
      </c>
      <c r="I441" s="9">
        <v>0.0</v>
      </c>
      <c r="J441" s="17">
        <v>45863.0</v>
      </c>
      <c r="K441" s="18">
        <v>1980.04</v>
      </c>
      <c r="L441" s="17">
        <v>2025.0</v>
      </c>
      <c r="M441" s="18">
        <v>2025.0</v>
      </c>
      <c r="N441" s="18">
        <v>0.0</v>
      </c>
      <c r="O441" s="18">
        <v>155.052</v>
      </c>
      <c r="P441" s="4"/>
    </row>
    <row r="442">
      <c r="A442" s="8" t="s">
        <v>448</v>
      </c>
      <c r="B442" s="9">
        <v>45.0</v>
      </c>
      <c r="C442" s="14" t="s">
        <v>234</v>
      </c>
      <c r="D442" s="9">
        <v>75.0</v>
      </c>
      <c r="E442" s="10">
        <v>0.6</v>
      </c>
      <c r="F442" s="9">
        <v>5.0</v>
      </c>
      <c r="G442" s="9">
        <v>1.0</v>
      </c>
      <c r="H442" s="9">
        <v>0.0</v>
      </c>
      <c r="I442" s="9">
        <v>0.0</v>
      </c>
      <c r="J442" s="17">
        <v>43973.0</v>
      </c>
      <c r="K442" s="18">
        <v>1919.39</v>
      </c>
      <c r="L442" s="17">
        <v>1963.0</v>
      </c>
      <c r="M442" s="18">
        <v>1963.0</v>
      </c>
      <c r="N442" s="18">
        <v>0.0</v>
      </c>
      <c r="O442" s="18">
        <v>184.532</v>
      </c>
      <c r="P442" s="4"/>
    </row>
    <row r="443">
      <c r="A443" s="8" t="s">
        <v>449</v>
      </c>
      <c r="B443" s="9">
        <v>45.0</v>
      </c>
      <c r="C443" s="14" t="s">
        <v>234</v>
      </c>
      <c r="D443" s="9">
        <v>75.0</v>
      </c>
      <c r="E443" s="10">
        <v>1.0</v>
      </c>
      <c r="F443" s="9">
        <v>1.0</v>
      </c>
      <c r="G443" s="9">
        <v>1.0</v>
      </c>
      <c r="H443" s="9">
        <v>0.0</v>
      </c>
      <c r="I443" s="9">
        <v>0.0</v>
      </c>
      <c r="J443" s="17">
        <v>75867.0</v>
      </c>
      <c r="K443" s="18">
        <v>6882.64</v>
      </c>
      <c r="L443" s="17">
        <v>6946.0</v>
      </c>
      <c r="M443" s="18">
        <v>6946.0</v>
      </c>
      <c r="N443" s="18">
        <v>0.0</v>
      </c>
      <c r="O443" s="18">
        <v>439.272</v>
      </c>
      <c r="P443" s="4"/>
    </row>
    <row r="444">
      <c r="A444" s="8" t="s">
        <v>450</v>
      </c>
      <c r="B444" s="9">
        <v>45.0</v>
      </c>
      <c r="C444" s="14" t="s">
        <v>234</v>
      </c>
      <c r="D444" s="9">
        <v>75.0</v>
      </c>
      <c r="E444" s="10">
        <v>1.0</v>
      </c>
      <c r="F444" s="9">
        <v>2.0</v>
      </c>
      <c r="G444" s="9">
        <v>1.0</v>
      </c>
      <c r="H444" s="9">
        <v>0.0</v>
      </c>
      <c r="I444" s="9">
        <v>0.0</v>
      </c>
      <c r="J444" s="17">
        <v>76838.0</v>
      </c>
      <c r="K444" s="18">
        <v>7099.13</v>
      </c>
      <c r="L444" s="17">
        <v>7128.0</v>
      </c>
      <c r="M444" s="18">
        <v>7128.0</v>
      </c>
      <c r="N444" s="18">
        <v>0.0</v>
      </c>
      <c r="O444" s="18">
        <v>257.818</v>
      </c>
      <c r="P444" s="4"/>
    </row>
    <row r="445">
      <c r="A445" s="8" t="s">
        <v>451</v>
      </c>
      <c r="B445" s="9">
        <v>45.0</v>
      </c>
      <c r="C445" s="14" t="s">
        <v>234</v>
      </c>
      <c r="D445" s="9">
        <v>75.0</v>
      </c>
      <c r="E445" s="10">
        <v>1.0</v>
      </c>
      <c r="F445" s="9">
        <v>3.0</v>
      </c>
      <c r="G445" s="9">
        <v>1.0</v>
      </c>
      <c r="H445" s="9">
        <v>0.0</v>
      </c>
      <c r="I445" s="9">
        <v>0.0</v>
      </c>
      <c r="J445" s="17">
        <v>75389.0</v>
      </c>
      <c r="K445" s="18">
        <v>7017.31</v>
      </c>
      <c r="L445" s="17">
        <v>7098.0</v>
      </c>
      <c r="M445" s="18">
        <v>7098.0</v>
      </c>
      <c r="N445" s="18">
        <v>0.0</v>
      </c>
      <c r="O445" s="18">
        <v>1573.6</v>
      </c>
      <c r="P445" s="4"/>
    </row>
    <row r="446">
      <c r="A446" s="8" t="s">
        <v>452</v>
      </c>
      <c r="B446" s="9">
        <v>45.0</v>
      </c>
      <c r="C446" s="14" t="s">
        <v>234</v>
      </c>
      <c r="D446" s="9">
        <v>75.0</v>
      </c>
      <c r="E446" s="10">
        <v>1.0</v>
      </c>
      <c r="F446" s="9">
        <v>4.0</v>
      </c>
      <c r="G446" s="9">
        <v>1.0</v>
      </c>
      <c r="H446" s="9">
        <v>0.0</v>
      </c>
      <c r="I446" s="9">
        <v>0.0</v>
      </c>
      <c r="J446" s="17">
        <v>74843.0</v>
      </c>
      <c r="K446" s="18">
        <v>6575.56</v>
      </c>
      <c r="L446" s="17">
        <v>6604.0</v>
      </c>
      <c r="M446" s="18">
        <v>6604.0</v>
      </c>
      <c r="N446" s="18">
        <v>0.0</v>
      </c>
      <c r="O446" s="18">
        <v>127.319</v>
      </c>
      <c r="P446" s="4"/>
    </row>
    <row r="447">
      <c r="A447" s="8" t="s">
        <v>453</v>
      </c>
      <c r="B447" s="9">
        <v>45.0</v>
      </c>
      <c r="C447" s="14" t="s">
        <v>234</v>
      </c>
      <c r="D447" s="9">
        <v>75.0</v>
      </c>
      <c r="E447" s="10">
        <v>1.0</v>
      </c>
      <c r="F447" s="9">
        <v>5.0</v>
      </c>
      <c r="G447" s="9">
        <v>1.0</v>
      </c>
      <c r="H447" s="9">
        <v>0.0</v>
      </c>
      <c r="I447" s="9">
        <v>0.0</v>
      </c>
      <c r="J447" s="17">
        <v>71783.0</v>
      </c>
      <c r="K447" s="18">
        <v>6359.18</v>
      </c>
      <c r="L447" s="17">
        <v>6441.0</v>
      </c>
      <c r="M447" s="18">
        <v>6441.0</v>
      </c>
      <c r="N447" s="18">
        <v>0.0</v>
      </c>
      <c r="O447" s="18">
        <v>954.006</v>
      </c>
      <c r="P447" s="4"/>
    </row>
    <row r="448">
      <c r="A448" s="8" t="s">
        <v>454</v>
      </c>
      <c r="B448" s="9">
        <v>45.0</v>
      </c>
      <c r="C448" s="14" t="s">
        <v>234</v>
      </c>
      <c r="D448" s="9">
        <v>75.0</v>
      </c>
      <c r="E448" s="10">
        <v>2.0</v>
      </c>
      <c r="F448" s="9">
        <v>1.0</v>
      </c>
      <c r="G448" s="9">
        <v>1.0</v>
      </c>
      <c r="H448" s="9">
        <v>0.0</v>
      </c>
      <c r="I448" s="9">
        <v>0.0</v>
      </c>
      <c r="J448" s="17">
        <v>313827.0</v>
      </c>
      <c r="K448" s="18">
        <v>61784.2</v>
      </c>
      <c r="L448" s="17">
        <v>61962.0</v>
      </c>
      <c r="M448" s="18">
        <v>61962.0</v>
      </c>
      <c r="N448" s="18">
        <v>0.0</v>
      </c>
      <c r="O448" s="18">
        <v>960.401</v>
      </c>
      <c r="P448" s="4"/>
    </row>
    <row r="449">
      <c r="A449" s="8" t="s">
        <v>455</v>
      </c>
      <c r="B449" s="9">
        <v>45.0</v>
      </c>
      <c r="C449" s="14" t="s">
        <v>234</v>
      </c>
      <c r="D449" s="9">
        <v>75.0</v>
      </c>
      <c r="E449" s="10">
        <v>2.0</v>
      </c>
      <c r="F449" s="9">
        <v>2.0</v>
      </c>
      <c r="G449" s="9">
        <v>1.0</v>
      </c>
      <c r="H449" s="9">
        <v>0.0</v>
      </c>
      <c r="I449" s="9">
        <v>0.0</v>
      </c>
      <c r="J449" s="17">
        <v>317768.0</v>
      </c>
      <c r="K449" s="18">
        <v>62871.5</v>
      </c>
      <c r="L449" s="17">
        <v>62915.0</v>
      </c>
      <c r="M449" s="18">
        <v>62915.0</v>
      </c>
      <c r="N449" s="18">
        <v>0.0</v>
      </c>
      <c r="O449" s="18">
        <v>15.61</v>
      </c>
      <c r="P449" s="4"/>
    </row>
    <row r="450">
      <c r="A450" s="8" t="s">
        <v>456</v>
      </c>
      <c r="B450" s="9">
        <v>45.0</v>
      </c>
      <c r="C450" s="14" t="s">
        <v>234</v>
      </c>
      <c r="D450" s="9">
        <v>75.0</v>
      </c>
      <c r="E450" s="10">
        <v>2.0</v>
      </c>
      <c r="F450" s="9">
        <v>3.0</v>
      </c>
      <c r="G450" s="9">
        <v>1.0</v>
      </c>
      <c r="H450" s="9">
        <v>0.0</v>
      </c>
      <c r="I450" s="9">
        <v>0.0</v>
      </c>
      <c r="J450" s="17">
        <v>311729.0</v>
      </c>
      <c r="K450" s="18">
        <v>61728.7</v>
      </c>
      <c r="L450" s="17">
        <v>61793.0</v>
      </c>
      <c r="M450" s="18">
        <v>61793.0</v>
      </c>
      <c r="N450" s="18">
        <v>0.0</v>
      </c>
      <c r="O450" s="18">
        <v>37.043</v>
      </c>
      <c r="P450" s="4"/>
    </row>
    <row r="451">
      <c r="A451" s="8" t="s">
        <v>457</v>
      </c>
      <c r="B451" s="9">
        <v>45.0</v>
      </c>
      <c r="C451" s="14" t="s">
        <v>234</v>
      </c>
      <c r="D451" s="9">
        <v>75.0</v>
      </c>
      <c r="E451" s="10">
        <v>2.0</v>
      </c>
      <c r="F451" s="9">
        <v>4.0</v>
      </c>
      <c r="G451" s="9">
        <v>1.0</v>
      </c>
      <c r="H451" s="9">
        <v>0.0</v>
      </c>
      <c r="I451" s="9">
        <v>0.0</v>
      </c>
      <c r="J451" s="17">
        <v>309428.0</v>
      </c>
      <c r="K451" s="18">
        <v>60800.9</v>
      </c>
      <c r="L451" s="17">
        <v>60998.0</v>
      </c>
      <c r="M451" s="18">
        <v>60998.0</v>
      </c>
      <c r="N451" s="18">
        <v>0.0</v>
      </c>
      <c r="O451" s="18">
        <v>1183.88</v>
      </c>
      <c r="P451" s="4"/>
    </row>
    <row r="452">
      <c r="A452" s="8" t="s">
        <v>458</v>
      </c>
      <c r="B452" s="9">
        <v>45.0</v>
      </c>
      <c r="C452" s="14" t="s">
        <v>234</v>
      </c>
      <c r="D452" s="9">
        <v>75.0</v>
      </c>
      <c r="E452" s="10">
        <v>2.0</v>
      </c>
      <c r="F452" s="9">
        <v>5.0</v>
      </c>
      <c r="G452" s="9">
        <v>0.0</v>
      </c>
      <c r="H452" s="9">
        <v>1.0</v>
      </c>
      <c r="I452" s="9">
        <v>0.0</v>
      </c>
      <c r="J452" s="17">
        <v>296783.0</v>
      </c>
      <c r="K452" s="18">
        <v>58317.5</v>
      </c>
      <c r="L452" s="17">
        <v>58657.0</v>
      </c>
      <c r="M452" s="18">
        <v>58530.5</v>
      </c>
      <c r="N452" s="18">
        <v>0.21562</v>
      </c>
      <c r="O452" s="18">
        <v>3600.0</v>
      </c>
      <c r="P452" s="4"/>
    </row>
    <row r="453">
      <c r="A453" s="8" t="s">
        <v>459</v>
      </c>
      <c r="B453" s="9">
        <v>25.0</v>
      </c>
      <c r="C453" s="9" t="s">
        <v>460</v>
      </c>
      <c r="D453" s="9">
        <v>25.0</v>
      </c>
      <c r="E453" s="10">
        <v>0.6</v>
      </c>
      <c r="F453" s="9">
        <v>1.0</v>
      </c>
      <c r="G453" s="9">
        <v>1.0</v>
      </c>
      <c r="H453" s="9">
        <v>0.0</v>
      </c>
      <c r="I453" s="9">
        <v>0.0</v>
      </c>
      <c r="J453" s="17">
        <v>1525.0</v>
      </c>
      <c r="K453" s="18">
        <v>-2270.9</v>
      </c>
      <c r="L453" s="17">
        <v>-2193.0</v>
      </c>
      <c r="M453" s="18">
        <v>-2193.0</v>
      </c>
      <c r="N453" s="18">
        <v>0.0</v>
      </c>
      <c r="O453" s="18">
        <v>8.748</v>
      </c>
      <c r="P453" s="4"/>
    </row>
    <row r="454">
      <c r="A454" s="8" t="s">
        <v>461</v>
      </c>
      <c r="B454" s="9">
        <v>25.0</v>
      </c>
      <c r="C454" s="9" t="s">
        <v>460</v>
      </c>
      <c r="D454" s="9">
        <v>25.0</v>
      </c>
      <c r="E454" s="10">
        <v>0.6</v>
      </c>
      <c r="F454" s="9">
        <v>2.0</v>
      </c>
      <c r="G454" s="9">
        <v>1.0</v>
      </c>
      <c r="H454" s="9">
        <v>0.0</v>
      </c>
      <c r="I454" s="9">
        <v>0.0</v>
      </c>
      <c r="J454" s="17">
        <v>1275.0</v>
      </c>
      <c r="K454" s="18">
        <v>-2149.57</v>
      </c>
      <c r="L454" s="17">
        <v>-2087.0</v>
      </c>
      <c r="M454" s="18">
        <v>-2087.0</v>
      </c>
      <c r="N454" s="18">
        <v>0.0</v>
      </c>
      <c r="O454" s="18">
        <v>7.401</v>
      </c>
      <c r="P454" s="4"/>
    </row>
    <row r="455">
      <c r="A455" s="8" t="s">
        <v>462</v>
      </c>
      <c r="B455" s="9">
        <v>25.0</v>
      </c>
      <c r="C455" s="9" t="s">
        <v>460</v>
      </c>
      <c r="D455" s="9">
        <v>25.0</v>
      </c>
      <c r="E455" s="10">
        <v>0.6</v>
      </c>
      <c r="F455" s="9">
        <v>3.0</v>
      </c>
      <c r="G455" s="9">
        <v>1.0</v>
      </c>
      <c r="H455" s="9">
        <v>0.0</v>
      </c>
      <c r="I455" s="9">
        <v>0.0</v>
      </c>
      <c r="J455" s="17">
        <v>1325.0</v>
      </c>
      <c r="K455" s="18">
        <v>-2079.0</v>
      </c>
      <c r="L455" s="17">
        <v>-2022.0</v>
      </c>
      <c r="M455" s="18">
        <v>-2022.0</v>
      </c>
      <c r="N455" s="18">
        <v>0.0</v>
      </c>
      <c r="O455" s="18">
        <v>7.406</v>
      </c>
      <c r="P455" s="4"/>
    </row>
    <row r="456">
      <c r="A456" s="8" t="s">
        <v>463</v>
      </c>
      <c r="B456" s="9">
        <v>25.0</v>
      </c>
      <c r="C456" s="9" t="s">
        <v>460</v>
      </c>
      <c r="D456" s="9">
        <v>25.0</v>
      </c>
      <c r="E456" s="10">
        <v>0.6</v>
      </c>
      <c r="F456" s="9">
        <v>4.0</v>
      </c>
      <c r="G456" s="9">
        <v>1.0</v>
      </c>
      <c r="H456" s="9">
        <v>0.0</v>
      </c>
      <c r="I456" s="9">
        <v>0.0</v>
      </c>
      <c r="J456" s="17">
        <v>1425.0</v>
      </c>
      <c r="K456" s="18">
        <v>-2145.12</v>
      </c>
      <c r="L456" s="17">
        <v>-2079.0</v>
      </c>
      <c r="M456" s="18">
        <v>-2079.0</v>
      </c>
      <c r="N456" s="18">
        <v>0.0</v>
      </c>
      <c r="O456" s="18">
        <v>11.728</v>
      </c>
      <c r="P456" s="4"/>
    </row>
    <row r="457">
      <c r="A457" s="8" t="s">
        <v>464</v>
      </c>
      <c r="B457" s="9">
        <v>25.0</v>
      </c>
      <c r="C457" s="9" t="s">
        <v>460</v>
      </c>
      <c r="D457" s="9">
        <v>25.0</v>
      </c>
      <c r="E457" s="10">
        <v>0.6</v>
      </c>
      <c r="F457" s="9">
        <v>5.0</v>
      </c>
      <c r="G457" s="9">
        <v>1.0</v>
      </c>
      <c r="H457" s="9">
        <v>0.0</v>
      </c>
      <c r="I457" s="9">
        <v>0.0</v>
      </c>
      <c r="J457" s="17">
        <v>1675.0</v>
      </c>
      <c r="K457" s="18">
        <v>-2442.64</v>
      </c>
      <c r="L457" s="17">
        <v>-2427.0</v>
      </c>
      <c r="M457" s="18">
        <v>-2427.0</v>
      </c>
      <c r="N457" s="18">
        <v>0.0</v>
      </c>
      <c r="O457" s="18">
        <v>2.267</v>
      </c>
      <c r="P457" s="4"/>
    </row>
    <row r="458">
      <c r="A458" s="8" t="s">
        <v>465</v>
      </c>
      <c r="B458" s="9">
        <v>25.0</v>
      </c>
      <c r="C458" s="9" t="s">
        <v>460</v>
      </c>
      <c r="D458" s="9">
        <v>25.0</v>
      </c>
      <c r="E458" s="10">
        <v>1.0</v>
      </c>
      <c r="F458" s="9">
        <v>1.0</v>
      </c>
      <c r="G458" s="9">
        <v>1.0</v>
      </c>
      <c r="H458" s="9">
        <v>0.0</v>
      </c>
      <c r="I458" s="9">
        <v>0.0</v>
      </c>
      <c r="J458" s="17">
        <v>6550.0</v>
      </c>
      <c r="K458" s="18">
        <v>-463.0</v>
      </c>
      <c r="L458" s="17">
        <v>-307.0</v>
      </c>
      <c r="M458" s="18">
        <v>-307.0</v>
      </c>
      <c r="N458" s="18">
        <v>0.0</v>
      </c>
      <c r="O458" s="18">
        <v>64.569</v>
      </c>
      <c r="P458" s="4"/>
    </row>
    <row r="459">
      <c r="A459" s="8" t="s">
        <v>466</v>
      </c>
      <c r="B459" s="9">
        <v>25.0</v>
      </c>
      <c r="C459" s="9" t="s">
        <v>460</v>
      </c>
      <c r="D459" s="9">
        <v>25.0</v>
      </c>
      <c r="E459" s="10">
        <v>1.0</v>
      </c>
      <c r="F459" s="9">
        <v>2.0</v>
      </c>
      <c r="G459" s="9">
        <v>1.0</v>
      </c>
      <c r="H459" s="9">
        <v>0.0</v>
      </c>
      <c r="I459" s="9">
        <v>0.0</v>
      </c>
      <c r="J459" s="17">
        <v>5500.0</v>
      </c>
      <c r="K459" s="18">
        <v>-646.174</v>
      </c>
      <c r="L459" s="17">
        <v>-532.0</v>
      </c>
      <c r="M459" s="18">
        <v>-532.0</v>
      </c>
      <c r="N459" s="18">
        <v>0.0</v>
      </c>
      <c r="O459" s="18">
        <v>14.137</v>
      </c>
      <c r="P459" s="4"/>
    </row>
    <row r="460">
      <c r="A460" s="8" t="s">
        <v>467</v>
      </c>
      <c r="B460" s="9">
        <v>25.0</v>
      </c>
      <c r="C460" s="9" t="s">
        <v>460</v>
      </c>
      <c r="D460" s="9">
        <v>25.0</v>
      </c>
      <c r="E460" s="10">
        <v>1.0</v>
      </c>
      <c r="F460" s="9">
        <v>3.0</v>
      </c>
      <c r="G460" s="9">
        <v>1.0</v>
      </c>
      <c r="H460" s="9">
        <v>0.0</v>
      </c>
      <c r="I460" s="9">
        <v>0.0</v>
      </c>
      <c r="J460" s="17">
        <v>5675.0</v>
      </c>
      <c r="K460" s="18">
        <v>-649.5</v>
      </c>
      <c r="L460" s="17">
        <v>-516.0</v>
      </c>
      <c r="M460" s="18">
        <v>-516.0</v>
      </c>
      <c r="N460" s="18">
        <v>0.0</v>
      </c>
      <c r="O460" s="18">
        <v>15.037</v>
      </c>
      <c r="P460" s="4"/>
    </row>
    <row r="461">
      <c r="A461" s="8" t="s">
        <v>468</v>
      </c>
      <c r="B461" s="9">
        <v>25.0</v>
      </c>
      <c r="C461" s="9" t="s">
        <v>460</v>
      </c>
      <c r="D461" s="9">
        <v>25.0</v>
      </c>
      <c r="E461" s="10">
        <v>1.0</v>
      </c>
      <c r="F461" s="9">
        <v>4.0</v>
      </c>
      <c r="G461" s="9">
        <v>1.0</v>
      </c>
      <c r="H461" s="9">
        <v>0.0</v>
      </c>
      <c r="I461" s="9">
        <v>0.0</v>
      </c>
      <c r="J461" s="17">
        <v>6175.0</v>
      </c>
      <c r="K461" s="18">
        <v>-524.143</v>
      </c>
      <c r="L461" s="17">
        <v>-375.0</v>
      </c>
      <c r="M461" s="18">
        <v>-375.0</v>
      </c>
      <c r="N461" s="18">
        <v>0.0</v>
      </c>
      <c r="O461" s="18">
        <v>50.954</v>
      </c>
      <c r="P461" s="4"/>
    </row>
    <row r="462">
      <c r="A462" s="8" t="s">
        <v>469</v>
      </c>
      <c r="B462" s="9">
        <v>25.0</v>
      </c>
      <c r="C462" s="9" t="s">
        <v>460</v>
      </c>
      <c r="D462" s="9">
        <v>25.0</v>
      </c>
      <c r="E462" s="10">
        <v>1.0</v>
      </c>
      <c r="F462" s="9">
        <v>5.0</v>
      </c>
      <c r="G462" s="9">
        <v>1.0</v>
      </c>
      <c r="H462" s="9">
        <v>0.0</v>
      </c>
      <c r="I462" s="9">
        <v>0.0</v>
      </c>
      <c r="J462" s="17">
        <v>7225.0</v>
      </c>
      <c r="K462" s="18">
        <v>-547.5</v>
      </c>
      <c r="L462" s="17">
        <v>-350.0</v>
      </c>
      <c r="M462" s="18">
        <v>-350.0</v>
      </c>
      <c r="N462" s="18">
        <v>0.0</v>
      </c>
      <c r="O462" s="18">
        <v>72.637</v>
      </c>
      <c r="P462" s="4"/>
    </row>
    <row r="463">
      <c r="A463" s="8" t="s">
        <v>470</v>
      </c>
      <c r="B463" s="9">
        <v>25.0</v>
      </c>
      <c r="C463" s="9" t="s">
        <v>460</v>
      </c>
      <c r="D463" s="9">
        <v>25.0</v>
      </c>
      <c r="E463" s="10">
        <v>2.0</v>
      </c>
      <c r="F463" s="9">
        <v>1.0</v>
      </c>
      <c r="G463" s="9">
        <v>1.0</v>
      </c>
      <c r="H463" s="9">
        <v>0.0</v>
      </c>
      <c r="I463" s="9">
        <v>0.0</v>
      </c>
      <c r="J463" s="17">
        <v>44875.0</v>
      </c>
      <c r="K463" s="18">
        <v>18035.5</v>
      </c>
      <c r="L463" s="17">
        <v>18775.0</v>
      </c>
      <c r="M463" s="18">
        <v>18775.0</v>
      </c>
      <c r="N463" s="18">
        <v>0.0</v>
      </c>
      <c r="O463" s="18">
        <v>0.095</v>
      </c>
      <c r="P463" s="4"/>
    </row>
    <row r="464">
      <c r="A464" s="8" t="s">
        <v>471</v>
      </c>
      <c r="B464" s="9">
        <v>25.0</v>
      </c>
      <c r="C464" s="9" t="s">
        <v>460</v>
      </c>
      <c r="D464" s="9">
        <v>25.0</v>
      </c>
      <c r="E464" s="10">
        <v>2.0</v>
      </c>
      <c r="F464" s="9">
        <v>2.0</v>
      </c>
      <c r="G464" s="9">
        <v>1.0</v>
      </c>
      <c r="H464" s="9">
        <v>0.0</v>
      </c>
      <c r="I464" s="9">
        <v>0.0</v>
      </c>
      <c r="J464" s="17">
        <v>17134.0</v>
      </c>
      <c r="K464" s="18">
        <v>17134.0</v>
      </c>
      <c r="L464" s="17">
        <v>17134.0</v>
      </c>
      <c r="M464" s="18">
        <v>17134.0</v>
      </c>
      <c r="N464" s="18">
        <v>0.0</v>
      </c>
      <c r="O464" s="18">
        <v>0.055</v>
      </c>
      <c r="P464" s="4"/>
    </row>
    <row r="465">
      <c r="A465" s="8" t="s">
        <v>472</v>
      </c>
      <c r="B465" s="9">
        <v>25.0</v>
      </c>
      <c r="C465" s="9" t="s">
        <v>460</v>
      </c>
      <c r="D465" s="9">
        <v>25.0</v>
      </c>
      <c r="E465" s="10">
        <v>2.0</v>
      </c>
      <c r="F465" s="9">
        <v>3.0</v>
      </c>
      <c r="G465" s="9">
        <v>1.0</v>
      </c>
      <c r="H465" s="9">
        <v>0.0</v>
      </c>
      <c r="I465" s="9">
        <v>0.0</v>
      </c>
      <c r="J465" s="17">
        <v>38775.0</v>
      </c>
      <c r="K465" s="18">
        <v>15057.9</v>
      </c>
      <c r="L465" s="17">
        <v>15104.0</v>
      </c>
      <c r="M465" s="18">
        <v>15104.0</v>
      </c>
      <c r="N465" s="18">
        <v>0.0</v>
      </c>
      <c r="O465" s="18">
        <v>0.201</v>
      </c>
      <c r="P465" s="4"/>
    </row>
    <row r="466">
      <c r="A466" s="8" t="s">
        <v>473</v>
      </c>
      <c r="B466" s="9">
        <v>25.0</v>
      </c>
      <c r="C466" s="9" t="s">
        <v>460</v>
      </c>
      <c r="D466" s="9">
        <v>25.0</v>
      </c>
      <c r="E466" s="10">
        <v>2.0</v>
      </c>
      <c r="F466" s="9">
        <v>4.0</v>
      </c>
      <c r="G466" s="9">
        <v>1.0</v>
      </c>
      <c r="H466" s="9">
        <v>0.0</v>
      </c>
      <c r="I466" s="9">
        <v>0.0</v>
      </c>
      <c r="J466" s="17">
        <v>42225.0</v>
      </c>
      <c r="K466" s="18">
        <v>16239.5</v>
      </c>
      <c r="L466" s="17">
        <v>16247.0</v>
      </c>
      <c r="M466" s="18">
        <v>16247.0</v>
      </c>
      <c r="N466" s="18">
        <v>0.0</v>
      </c>
      <c r="O466" s="18">
        <v>0.06</v>
      </c>
      <c r="P466" s="4"/>
    </row>
    <row r="467">
      <c r="A467" s="8" t="s">
        <v>474</v>
      </c>
      <c r="B467" s="9">
        <v>25.0</v>
      </c>
      <c r="C467" s="9" t="s">
        <v>460</v>
      </c>
      <c r="D467" s="9">
        <v>25.0</v>
      </c>
      <c r="E467" s="10">
        <v>2.0</v>
      </c>
      <c r="F467" s="9">
        <v>5.0</v>
      </c>
      <c r="G467" s="9">
        <v>1.0</v>
      </c>
      <c r="H467" s="9">
        <v>0.0</v>
      </c>
      <c r="I467" s="9">
        <v>0.0</v>
      </c>
      <c r="J467" s="17">
        <v>19127.0</v>
      </c>
      <c r="K467" s="18">
        <v>19127.0</v>
      </c>
      <c r="L467" s="17">
        <v>19127.0</v>
      </c>
      <c r="M467" s="18">
        <v>19127.0</v>
      </c>
      <c r="N467" s="18">
        <v>0.0</v>
      </c>
      <c r="O467" s="18">
        <v>0.052</v>
      </c>
      <c r="P467" s="4"/>
    </row>
    <row r="468">
      <c r="A468" s="8" t="s">
        <v>475</v>
      </c>
      <c r="B468" s="9">
        <v>25.0</v>
      </c>
      <c r="C468" s="9" t="s">
        <v>460</v>
      </c>
      <c r="D468" s="9">
        <v>50.0</v>
      </c>
      <c r="E468" s="10">
        <v>0.6</v>
      </c>
      <c r="F468" s="9">
        <v>1.0</v>
      </c>
      <c r="G468" s="9">
        <v>1.0</v>
      </c>
      <c r="H468" s="9">
        <v>0.0</v>
      </c>
      <c r="I468" s="9">
        <v>0.0</v>
      </c>
      <c r="J468" s="17">
        <v>3175.0</v>
      </c>
      <c r="K468" s="18">
        <v>-3724.69</v>
      </c>
      <c r="L468" s="17">
        <v>-3641.0</v>
      </c>
      <c r="M468" s="18">
        <v>-3641.0</v>
      </c>
      <c r="N468" s="18">
        <v>0.0</v>
      </c>
      <c r="O468" s="18">
        <v>33.234</v>
      </c>
      <c r="P468" s="4"/>
    </row>
    <row r="469">
      <c r="A469" s="8" t="s">
        <v>476</v>
      </c>
      <c r="B469" s="9">
        <v>25.0</v>
      </c>
      <c r="C469" s="9" t="s">
        <v>460</v>
      </c>
      <c r="D469" s="9">
        <v>50.0</v>
      </c>
      <c r="E469" s="10">
        <v>0.6</v>
      </c>
      <c r="F469" s="9">
        <v>2.0</v>
      </c>
      <c r="G469" s="9">
        <v>1.0</v>
      </c>
      <c r="H469" s="9">
        <v>0.0</v>
      </c>
      <c r="I469" s="9">
        <v>0.0</v>
      </c>
      <c r="J469" s="17">
        <v>3025.0</v>
      </c>
      <c r="K469" s="18">
        <v>-3583.5</v>
      </c>
      <c r="L469" s="17">
        <v>-3462.0</v>
      </c>
      <c r="M469" s="18">
        <v>-3462.0</v>
      </c>
      <c r="N469" s="18">
        <v>0.0</v>
      </c>
      <c r="O469" s="18">
        <v>23.225</v>
      </c>
      <c r="P469" s="4"/>
    </row>
    <row r="470">
      <c r="A470" s="8" t="s">
        <v>477</v>
      </c>
      <c r="B470" s="9">
        <v>25.0</v>
      </c>
      <c r="C470" s="9" t="s">
        <v>460</v>
      </c>
      <c r="D470" s="9">
        <v>50.0</v>
      </c>
      <c r="E470" s="10">
        <v>0.6</v>
      </c>
      <c r="F470" s="9">
        <v>3.0</v>
      </c>
      <c r="G470" s="9">
        <v>1.0</v>
      </c>
      <c r="H470" s="9">
        <v>0.0</v>
      </c>
      <c r="I470" s="9">
        <v>0.0</v>
      </c>
      <c r="J470" s="17">
        <v>2825.0</v>
      </c>
      <c r="K470" s="18">
        <v>-3391.09</v>
      </c>
      <c r="L470" s="17">
        <v>-3379.0</v>
      </c>
      <c r="M470" s="18">
        <v>-3379.0</v>
      </c>
      <c r="N470" s="18">
        <v>0.0</v>
      </c>
      <c r="O470" s="18">
        <v>2.59</v>
      </c>
      <c r="P470" s="4"/>
    </row>
    <row r="471">
      <c r="A471" s="8" t="s">
        <v>478</v>
      </c>
      <c r="B471" s="9">
        <v>25.0</v>
      </c>
      <c r="C471" s="9" t="s">
        <v>460</v>
      </c>
      <c r="D471" s="9">
        <v>50.0</v>
      </c>
      <c r="E471" s="10">
        <v>0.6</v>
      </c>
      <c r="F471" s="9">
        <v>4.0</v>
      </c>
      <c r="G471" s="9">
        <v>1.0</v>
      </c>
      <c r="H471" s="9">
        <v>0.0</v>
      </c>
      <c r="I471" s="9">
        <v>0.0</v>
      </c>
      <c r="J471" s="17">
        <v>3075.0</v>
      </c>
      <c r="K471" s="18">
        <v>-3649.61</v>
      </c>
      <c r="L471" s="17">
        <v>-3528.0</v>
      </c>
      <c r="M471" s="18">
        <v>-3528.0</v>
      </c>
      <c r="N471" s="18">
        <v>0.0</v>
      </c>
      <c r="O471" s="18">
        <v>44.966</v>
      </c>
      <c r="P471" s="4"/>
    </row>
    <row r="472">
      <c r="A472" s="8" t="s">
        <v>479</v>
      </c>
      <c r="B472" s="9">
        <v>25.0</v>
      </c>
      <c r="C472" s="9" t="s">
        <v>460</v>
      </c>
      <c r="D472" s="9">
        <v>50.0</v>
      </c>
      <c r="E472" s="10">
        <v>0.6</v>
      </c>
      <c r="F472" s="9">
        <v>5.0</v>
      </c>
      <c r="G472" s="9">
        <v>1.0</v>
      </c>
      <c r="H472" s="9">
        <v>0.0</v>
      </c>
      <c r="I472" s="9">
        <v>0.0</v>
      </c>
      <c r="J472" s="17">
        <v>3100.0</v>
      </c>
      <c r="K472" s="18">
        <v>-3698.82</v>
      </c>
      <c r="L472" s="17">
        <v>-3548.0</v>
      </c>
      <c r="M472" s="18">
        <v>-3548.0</v>
      </c>
      <c r="N472" s="18">
        <v>0.0</v>
      </c>
      <c r="O472" s="18">
        <v>55.679</v>
      </c>
      <c r="P472" s="4"/>
    </row>
    <row r="473">
      <c r="A473" s="8" t="s">
        <v>480</v>
      </c>
      <c r="B473" s="9">
        <v>25.0</v>
      </c>
      <c r="C473" s="9" t="s">
        <v>460</v>
      </c>
      <c r="D473" s="9">
        <v>50.0</v>
      </c>
      <c r="E473" s="10">
        <v>1.0</v>
      </c>
      <c r="F473" s="9">
        <v>1.0</v>
      </c>
      <c r="G473" s="9">
        <v>1.0</v>
      </c>
      <c r="H473" s="9">
        <v>0.0</v>
      </c>
      <c r="I473" s="9">
        <v>0.0</v>
      </c>
      <c r="J473" s="17">
        <v>13650.0</v>
      </c>
      <c r="K473" s="18">
        <v>-105.368</v>
      </c>
      <c r="L473" s="17">
        <v>34.0</v>
      </c>
      <c r="M473" s="18">
        <v>34.0</v>
      </c>
      <c r="N473" s="18">
        <v>0.0</v>
      </c>
      <c r="O473" s="18">
        <v>25.806</v>
      </c>
      <c r="P473" s="4"/>
    </row>
    <row r="474">
      <c r="A474" s="8" t="s">
        <v>481</v>
      </c>
      <c r="B474" s="9">
        <v>25.0</v>
      </c>
      <c r="C474" s="9" t="s">
        <v>460</v>
      </c>
      <c r="D474" s="9">
        <v>50.0</v>
      </c>
      <c r="E474" s="10">
        <v>1.0</v>
      </c>
      <c r="F474" s="9">
        <v>2.0</v>
      </c>
      <c r="G474" s="9">
        <v>1.0</v>
      </c>
      <c r="H474" s="9">
        <v>0.0</v>
      </c>
      <c r="I474" s="9">
        <v>0.0</v>
      </c>
      <c r="J474" s="17">
        <v>13025.0</v>
      </c>
      <c r="K474" s="18">
        <v>3.52941</v>
      </c>
      <c r="L474" s="17">
        <v>11.0</v>
      </c>
      <c r="M474" s="18">
        <v>11.0</v>
      </c>
      <c r="N474" s="18">
        <v>0.0</v>
      </c>
      <c r="O474" s="18">
        <v>1.212</v>
      </c>
      <c r="P474" s="4"/>
    </row>
    <row r="475">
      <c r="A475" s="8" t="s">
        <v>482</v>
      </c>
      <c r="B475" s="9">
        <v>25.0</v>
      </c>
      <c r="C475" s="9" t="s">
        <v>460</v>
      </c>
      <c r="D475" s="9">
        <v>50.0</v>
      </c>
      <c r="E475" s="10">
        <v>1.0</v>
      </c>
      <c r="F475" s="9">
        <v>3.0</v>
      </c>
      <c r="G475" s="9">
        <v>1.0</v>
      </c>
      <c r="H475" s="9">
        <v>0.0</v>
      </c>
      <c r="I475" s="9">
        <v>0.0</v>
      </c>
      <c r="J475" s="17">
        <v>12175.0</v>
      </c>
      <c r="K475" s="18">
        <v>-137.7</v>
      </c>
      <c r="L475" s="17">
        <v>-19.0</v>
      </c>
      <c r="M475" s="18">
        <v>-19.0</v>
      </c>
      <c r="N475" s="18">
        <v>0.0</v>
      </c>
      <c r="O475" s="18">
        <v>14.772</v>
      </c>
      <c r="P475" s="4"/>
    </row>
    <row r="476">
      <c r="A476" s="8" t="s">
        <v>483</v>
      </c>
      <c r="B476" s="9">
        <v>25.0</v>
      </c>
      <c r="C476" s="9" t="s">
        <v>460</v>
      </c>
      <c r="D476" s="9">
        <v>50.0</v>
      </c>
      <c r="E476" s="10">
        <v>1.0</v>
      </c>
      <c r="F476" s="9">
        <v>4.0</v>
      </c>
      <c r="G476" s="9">
        <v>1.0</v>
      </c>
      <c r="H476" s="9">
        <v>0.0</v>
      </c>
      <c r="I476" s="9">
        <v>0.0</v>
      </c>
      <c r="J476" s="17">
        <v>13225.0</v>
      </c>
      <c r="K476" s="18">
        <v>-170.714</v>
      </c>
      <c r="L476" s="17">
        <v>79.0</v>
      </c>
      <c r="M476" s="18">
        <v>79.0</v>
      </c>
      <c r="N476" s="18">
        <v>0.0</v>
      </c>
      <c r="O476" s="18">
        <v>116.585</v>
      </c>
      <c r="P476" s="4"/>
    </row>
    <row r="477">
      <c r="A477" s="8" t="s">
        <v>484</v>
      </c>
      <c r="B477" s="9">
        <v>25.0</v>
      </c>
      <c r="C477" s="9" t="s">
        <v>460</v>
      </c>
      <c r="D477" s="9">
        <v>50.0</v>
      </c>
      <c r="E477" s="10">
        <v>1.0</v>
      </c>
      <c r="F477" s="9">
        <v>5.0</v>
      </c>
      <c r="G477" s="9">
        <v>1.0</v>
      </c>
      <c r="H477" s="9">
        <v>0.0</v>
      </c>
      <c r="I477" s="9">
        <v>0.0</v>
      </c>
      <c r="J477" s="17">
        <v>13400.0</v>
      </c>
      <c r="K477" s="18">
        <v>-117.143</v>
      </c>
      <c r="L477" s="17">
        <v>-76.0</v>
      </c>
      <c r="M477" s="18">
        <v>-76.0</v>
      </c>
      <c r="N477" s="18">
        <v>0.0</v>
      </c>
      <c r="O477" s="18">
        <v>2.598</v>
      </c>
      <c r="P477" s="4"/>
    </row>
    <row r="478">
      <c r="A478" s="8" t="s">
        <v>485</v>
      </c>
      <c r="B478" s="9">
        <v>25.0</v>
      </c>
      <c r="C478" s="9" t="s">
        <v>460</v>
      </c>
      <c r="D478" s="9">
        <v>50.0</v>
      </c>
      <c r="E478" s="10">
        <v>2.0</v>
      </c>
      <c r="F478" s="9">
        <v>1.0</v>
      </c>
      <c r="G478" s="9">
        <v>1.0</v>
      </c>
      <c r="H478" s="9">
        <v>0.0</v>
      </c>
      <c r="I478" s="9">
        <v>0.0</v>
      </c>
      <c r="J478" s="17">
        <v>36116.0</v>
      </c>
      <c r="K478" s="18">
        <v>36116.0</v>
      </c>
      <c r="L478" s="17">
        <v>36116.0</v>
      </c>
      <c r="M478" s="18">
        <v>36116.0</v>
      </c>
      <c r="N478" s="18">
        <v>0.0</v>
      </c>
      <c r="O478" s="18">
        <v>0.078</v>
      </c>
      <c r="P478" s="4"/>
    </row>
    <row r="479">
      <c r="A479" s="8" t="s">
        <v>486</v>
      </c>
      <c r="B479" s="9">
        <v>25.0</v>
      </c>
      <c r="C479" s="9" t="s">
        <v>460</v>
      </c>
      <c r="D479" s="9">
        <v>50.0</v>
      </c>
      <c r="E479" s="10">
        <v>2.0</v>
      </c>
      <c r="F479" s="9">
        <v>2.0</v>
      </c>
      <c r="G479" s="9">
        <v>1.0</v>
      </c>
      <c r="H479" s="9">
        <v>0.0</v>
      </c>
      <c r="I479" s="9">
        <v>0.0</v>
      </c>
      <c r="J479" s="17">
        <v>37996.0</v>
      </c>
      <c r="K479" s="18">
        <v>37996.0</v>
      </c>
      <c r="L479" s="17">
        <v>37996.0</v>
      </c>
      <c r="M479" s="18">
        <v>37996.0</v>
      </c>
      <c r="N479" s="18">
        <v>0.0</v>
      </c>
      <c r="O479" s="18">
        <v>0.107</v>
      </c>
      <c r="P479" s="4"/>
    </row>
    <row r="480">
      <c r="A480" s="8" t="s">
        <v>487</v>
      </c>
      <c r="B480" s="9">
        <v>25.0</v>
      </c>
      <c r="C480" s="9" t="s">
        <v>460</v>
      </c>
      <c r="D480" s="9">
        <v>50.0</v>
      </c>
      <c r="E480" s="10">
        <v>2.0</v>
      </c>
      <c r="F480" s="9">
        <v>3.0</v>
      </c>
      <c r="G480" s="9">
        <v>0.0</v>
      </c>
      <c r="H480" s="9">
        <v>1.0</v>
      </c>
      <c r="I480" s="9">
        <v>0.0</v>
      </c>
      <c r="J480" s="17">
        <v>83475.0</v>
      </c>
      <c r="K480" s="18">
        <v>33010.7</v>
      </c>
      <c r="L480" s="17">
        <v>35640.0</v>
      </c>
      <c r="M480" s="18">
        <v>33836.6</v>
      </c>
      <c r="N480" s="18">
        <v>5.06013</v>
      </c>
      <c r="O480" s="18">
        <v>3600.0</v>
      </c>
      <c r="P480" s="4"/>
    </row>
    <row r="481">
      <c r="A481" s="8" t="s">
        <v>488</v>
      </c>
      <c r="B481" s="9">
        <v>25.0</v>
      </c>
      <c r="C481" s="9" t="s">
        <v>460</v>
      </c>
      <c r="D481" s="9">
        <v>50.0</v>
      </c>
      <c r="E481" s="10">
        <v>2.0</v>
      </c>
      <c r="F481" s="9">
        <v>4.0</v>
      </c>
      <c r="G481" s="9">
        <v>0.0</v>
      </c>
      <c r="H481" s="9">
        <v>1.0</v>
      </c>
      <c r="I481" s="9">
        <v>0.0</v>
      </c>
      <c r="J481" s="17">
        <v>90575.0</v>
      </c>
      <c r="K481" s="18">
        <v>36015.1</v>
      </c>
      <c r="L481" s="17">
        <v>38712.0</v>
      </c>
      <c r="M481" s="18">
        <v>37220.0</v>
      </c>
      <c r="N481" s="18">
        <v>3.8541</v>
      </c>
      <c r="O481" s="18">
        <v>3600.0</v>
      </c>
      <c r="P481" s="4"/>
    </row>
    <row r="482">
      <c r="A482" s="8" t="s">
        <v>489</v>
      </c>
      <c r="B482" s="9">
        <v>25.0</v>
      </c>
      <c r="C482" s="9" t="s">
        <v>460</v>
      </c>
      <c r="D482" s="9">
        <v>50.0</v>
      </c>
      <c r="E482" s="10">
        <v>2.0</v>
      </c>
      <c r="F482" s="9">
        <v>5.0</v>
      </c>
      <c r="G482" s="9">
        <v>1.0</v>
      </c>
      <c r="H482" s="9">
        <v>0.0</v>
      </c>
      <c r="I482" s="9">
        <v>0.0</v>
      </c>
      <c r="J482" s="17">
        <v>91825.0</v>
      </c>
      <c r="K482" s="18">
        <v>35660.4</v>
      </c>
      <c r="L482" s="17">
        <v>35714.0</v>
      </c>
      <c r="M482" s="18">
        <v>35714.0</v>
      </c>
      <c r="N482" s="18">
        <v>0.0</v>
      </c>
      <c r="O482" s="18">
        <v>0.146</v>
      </c>
      <c r="P482" s="4"/>
    </row>
    <row r="483">
      <c r="A483" s="8" t="s">
        <v>490</v>
      </c>
      <c r="B483" s="9">
        <v>25.0</v>
      </c>
      <c r="C483" s="9" t="s">
        <v>460</v>
      </c>
      <c r="D483" s="9">
        <v>75.0</v>
      </c>
      <c r="E483" s="10">
        <v>0.6</v>
      </c>
      <c r="F483" s="9">
        <v>1.0</v>
      </c>
      <c r="G483" s="9">
        <v>1.0</v>
      </c>
      <c r="H483" s="9">
        <v>0.0</v>
      </c>
      <c r="I483" s="9">
        <v>0.0</v>
      </c>
      <c r="J483" s="17">
        <v>4325.0</v>
      </c>
      <c r="K483" s="18">
        <v>-4410.46</v>
      </c>
      <c r="L483" s="17">
        <v>-4328.0</v>
      </c>
      <c r="M483" s="18">
        <v>-4328.0</v>
      </c>
      <c r="N483" s="18">
        <v>0.0</v>
      </c>
      <c r="O483" s="18">
        <v>37.169</v>
      </c>
      <c r="P483" s="4"/>
    </row>
    <row r="484">
      <c r="A484" s="8" t="s">
        <v>491</v>
      </c>
      <c r="B484" s="9">
        <v>25.0</v>
      </c>
      <c r="C484" s="9" t="s">
        <v>460</v>
      </c>
      <c r="D484" s="9">
        <v>75.0</v>
      </c>
      <c r="E484" s="10">
        <v>0.6</v>
      </c>
      <c r="F484" s="9">
        <v>2.0</v>
      </c>
      <c r="G484" s="9">
        <v>1.0</v>
      </c>
      <c r="H484" s="9">
        <v>0.0</v>
      </c>
      <c r="I484" s="9">
        <v>0.0</v>
      </c>
      <c r="J484" s="17">
        <v>-4666.0</v>
      </c>
      <c r="K484" s="18">
        <v>-4666.0</v>
      </c>
      <c r="L484" s="17">
        <v>-4666.0</v>
      </c>
      <c r="M484" s="18">
        <v>-4666.0</v>
      </c>
      <c r="N484" s="18">
        <v>0.0</v>
      </c>
      <c r="O484" s="18">
        <v>3.153</v>
      </c>
      <c r="P484" s="4"/>
    </row>
    <row r="485">
      <c r="A485" s="8" t="s">
        <v>492</v>
      </c>
      <c r="B485" s="9">
        <v>25.0</v>
      </c>
      <c r="C485" s="9" t="s">
        <v>460</v>
      </c>
      <c r="D485" s="9">
        <v>75.0</v>
      </c>
      <c r="E485" s="10">
        <v>0.6</v>
      </c>
      <c r="F485" s="9">
        <v>3.0</v>
      </c>
      <c r="G485" s="9">
        <v>1.0</v>
      </c>
      <c r="H485" s="9">
        <v>0.0</v>
      </c>
      <c r="I485" s="9">
        <v>0.0</v>
      </c>
      <c r="J485" s="17">
        <v>4375.0</v>
      </c>
      <c r="K485" s="18">
        <v>-4439.5</v>
      </c>
      <c r="L485" s="17">
        <v>-4395.0</v>
      </c>
      <c r="M485" s="18">
        <v>-4395.0</v>
      </c>
      <c r="N485" s="18">
        <v>0.0</v>
      </c>
      <c r="O485" s="18">
        <v>18.882</v>
      </c>
      <c r="P485" s="4"/>
    </row>
    <row r="486">
      <c r="A486" s="8" t="s">
        <v>493</v>
      </c>
      <c r="B486" s="9">
        <v>25.0</v>
      </c>
      <c r="C486" s="9" t="s">
        <v>460</v>
      </c>
      <c r="D486" s="9">
        <v>75.0</v>
      </c>
      <c r="E486" s="10">
        <v>0.6</v>
      </c>
      <c r="F486" s="9">
        <v>4.0</v>
      </c>
      <c r="G486" s="9">
        <v>1.0</v>
      </c>
      <c r="H486" s="9">
        <v>0.0</v>
      </c>
      <c r="I486" s="9">
        <v>0.0</v>
      </c>
      <c r="J486" s="17">
        <v>-4935.0</v>
      </c>
      <c r="K486" s="18">
        <v>-4935.0</v>
      </c>
      <c r="L486" s="17">
        <v>-4935.0</v>
      </c>
      <c r="M486" s="18">
        <v>-4935.0</v>
      </c>
      <c r="N486" s="18">
        <v>0.0</v>
      </c>
      <c r="O486" s="18">
        <v>4.067</v>
      </c>
      <c r="P486" s="4"/>
    </row>
    <row r="487">
      <c r="A487" s="8" t="s">
        <v>494</v>
      </c>
      <c r="B487" s="9">
        <v>25.0</v>
      </c>
      <c r="C487" s="9" t="s">
        <v>460</v>
      </c>
      <c r="D487" s="9">
        <v>75.0</v>
      </c>
      <c r="E487" s="10">
        <v>0.6</v>
      </c>
      <c r="F487" s="9">
        <v>5.0</v>
      </c>
      <c r="G487" s="9">
        <v>1.0</v>
      </c>
      <c r="H487" s="9">
        <v>0.0</v>
      </c>
      <c r="I487" s="9">
        <v>0.0</v>
      </c>
      <c r="J487" s="17">
        <v>4475.0</v>
      </c>
      <c r="K487" s="18">
        <v>-4589.24</v>
      </c>
      <c r="L487" s="17">
        <v>-4548.0</v>
      </c>
      <c r="M487" s="18">
        <v>-4548.0</v>
      </c>
      <c r="N487" s="18">
        <v>0.0</v>
      </c>
      <c r="O487" s="18">
        <v>15.704</v>
      </c>
      <c r="P487" s="4"/>
    </row>
    <row r="488">
      <c r="A488" s="8" t="s">
        <v>495</v>
      </c>
      <c r="B488" s="9">
        <v>25.0</v>
      </c>
      <c r="C488" s="9" t="s">
        <v>460</v>
      </c>
      <c r="D488" s="9">
        <v>75.0</v>
      </c>
      <c r="E488" s="10">
        <v>1.0</v>
      </c>
      <c r="F488" s="9">
        <v>1.0</v>
      </c>
      <c r="G488" s="9">
        <v>1.0</v>
      </c>
      <c r="H488" s="9">
        <v>0.0</v>
      </c>
      <c r="I488" s="9">
        <v>0.0</v>
      </c>
      <c r="J488" s="17">
        <v>18675.0</v>
      </c>
      <c r="K488" s="18">
        <v>521.902</v>
      </c>
      <c r="L488" s="17">
        <v>605.0</v>
      </c>
      <c r="M488" s="18">
        <v>605.0</v>
      </c>
      <c r="N488" s="18">
        <v>0.0</v>
      </c>
      <c r="O488" s="18">
        <v>11.848</v>
      </c>
      <c r="P488" s="4"/>
    </row>
    <row r="489">
      <c r="A489" s="8" t="s">
        <v>496</v>
      </c>
      <c r="B489" s="9">
        <v>25.0</v>
      </c>
      <c r="C489" s="9" t="s">
        <v>460</v>
      </c>
      <c r="D489" s="9">
        <v>75.0</v>
      </c>
      <c r="E489" s="10">
        <v>1.0</v>
      </c>
      <c r="F489" s="9">
        <v>2.0</v>
      </c>
      <c r="G489" s="9">
        <v>1.0</v>
      </c>
      <c r="H489" s="9">
        <v>0.0</v>
      </c>
      <c r="I489" s="9">
        <v>0.0</v>
      </c>
      <c r="J489" s="17">
        <v>18725.0</v>
      </c>
      <c r="K489" s="18">
        <v>423.884</v>
      </c>
      <c r="L489" s="17">
        <v>532.0</v>
      </c>
      <c r="M489" s="18">
        <v>532.0</v>
      </c>
      <c r="N489" s="18">
        <v>0.0</v>
      </c>
      <c r="O489" s="18">
        <v>17.203</v>
      </c>
      <c r="P489" s="4"/>
    </row>
    <row r="490">
      <c r="A490" s="8" t="s">
        <v>497</v>
      </c>
      <c r="B490" s="9">
        <v>25.0</v>
      </c>
      <c r="C490" s="9" t="s">
        <v>460</v>
      </c>
      <c r="D490" s="9">
        <v>75.0</v>
      </c>
      <c r="E490" s="10">
        <v>1.0</v>
      </c>
      <c r="F490" s="9">
        <v>3.0</v>
      </c>
      <c r="G490" s="9">
        <v>1.0</v>
      </c>
      <c r="H490" s="9">
        <v>0.0</v>
      </c>
      <c r="I490" s="9">
        <v>0.0</v>
      </c>
      <c r="J490" s="17">
        <v>18900.0</v>
      </c>
      <c r="K490" s="18">
        <v>534.983</v>
      </c>
      <c r="L490" s="17">
        <v>557.0</v>
      </c>
      <c r="M490" s="18">
        <v>557.0</v>
      </c>
      <c r="N490" s="18">
        <v>0.0</v>
      </c>
      <c r="O490" s="18">
        <v>1.688</v>
      </c>
      <c r="P490" s="4"/>
    </row>
    <row r="491">
      <c r="A491" s="8" t="s">
        <v>498</v>
      </c>
      <c r="B491" s="9">
        <v>25.0</v>
      </c>
      <c r="C491" s="9" t="s">
        <v>460</v>
      </c>
      <c r="D491" s="9">
        <v>75.0</v>
      </c>
      <c r="E491" s="10">
        <v>1.0</v>
      </c>
      <c r="F491" s="9">
        <v>4.0</v>
      </c>
      <c r="G491" s="9">
        <v>1.0</v>
      </c>
      <c r="H491" s="9">
        <v>0.0</v>
      </c>
      <c r="I491" s="9">
        <v>0.0</v>
      </c>
      <c r="J491" s="17">
        <v>20850.0</v>
      </c>
      <c r="K491" s="18">
        <v>718.371</v>
      </c>
      <c r="L491" s="17">
        <v>771.0</v>
      </c>
      <c r="M491" s="18">
        <v>771.0</v>
      </c>
      <c r="N491" s="18">
        <v>0.0</v>
      </c>
      <c r="O491" s="18">
        <v>4.22</v>
      </c>
      <c r="P491" s="4"/>
    </row>
    <row r="492">
      <c r="A492" s="8" t="s">
        <v>499</v>
      </c>
      <c r="B492" s="9">
        <v>25.0</v>
      </c>
      <c r="C492" s="9" t="s">
        <v>460</v>
      </c>
      <c r="D492" s="9">
        <v>75.0</v>
      </c>
      <c r="E492" s="10">
        <v>1.0</v>
      </c>
      <c r="F492" s="9">
        <v>5.0</v>
      </c>
      <c r="G492" s="9">
        <v>1.0</v>
      </c>
      <c r="H492" s="9">
        <v>0.0</v>
      </c>
      <c r="I492" s="9">
        <v>0.0</v>
      </c>
      <c r="J492" s="17">
        <v>381.0</v>
      </c>
      <c r="K492" s="18">
        <v>381.0</v>
      </c>
      <c r="L492" s="17">
        <v>381.0</v>
      </c>
      <c r="M492" s="18">
        <v>381.0</v>
      </c>
      <c r="N492" s="18">
        <v>0.0</v>
      </c>
      <c r="O492" s="18">
        <v>0.793</v>
      </c>
      <c r="P492" s="4"/>
    </row>
    <row r="493">
      <c r="A493" s="8" t="s">
        <v>500</v>
      </c>
      <c r="B493" s="9">
        <v>25.0</v>
      </c>
      <c r="C493" s="9" t="s">
        <v>460</v>
      </c>
      <c r="D493" s="9">
        <v>75.0</v>
      </c>
      <c r="E493" s="10">
        <v>2.0</v>
      </c>
      <c r="F493" s="9">
        <v>1.0</v>
      </c>
      <c r="G493" s="9">
        <v>1.0</v>
      </c>
      <c r="H493" s="9">
        <v>0.0</v>
      </c>
      <c r="I493" s="9">
        <v>0.0</v>
      </c>
      <c r="J493" s="17">
        <v>54898.0</v>
      </c>
      <c r="K493" s="18">
        <v>54898.0</v>
      </c>
      <c r="L493" s="17">
        <v>54898.0</v>
      </c>
      <c r="M493" s="18">
        <v>54898.0</v>
      </c>
      <c r="N493" s="18">
        <v>0.0</v>
      </c>
      <c r="O493" s="18">
        <v>0.107</v>
      </c>
      <c r="P493" s="4"/>
    </row>
    <row r="494">
      <c r="A494" s="8" t="s">
        <v>501</v>
      </c>
      <c r="B494" s="9">
        <v>25.0</v>
      </c>
      <c r="C494" s="9" t="s">
        <v>460</v>
      </c>
      <c r="D494" s="9">
        <v>75.0</v>
      </c>
      <c r="E494" s="10">
        <v>2.0</v>
      </c>
      <c r="F494" s="9">
        <v>2.0</v>
      </c>
      <c r="G494" s="9">
        <v>1.0</v>
      </c>
      <c r="H494" s="9">
        <v>0.0</v>
      </c>
      <c r="I494" s="9">
        <v>0.0</v>
      </c>
      <c r="J494" s="17">
        <v>54977.0</v>
      </c>
      <c r="K494" s="18">
        <v>54977.0</v>
      </c>
      <c r="L494" s="17">
        <v>54977.0</v>
      </c>
      <c r="M494" s="18">
        <v>54977.0</v>
      </c>
      <c r="N494" s="18">
        <v>0.0</v>
      </c>
      <c r="O494" s="18">
        <v>0.094</v>
      </c>
      <c r="P494" s="4"/>
    </row>
    <row r="495">
      <c r="A495" s="8" t="s">
        <v>502</v>
      </c>
      <c r="B495" s="9">
        <v>25.0</v>
      </c>
      <c r="C495" s="9" t="s">
        <v>460</v>
      </c>
      <c r="D495" s="9">
        <v>75.0</v>
      </c>
      <c r="E495" s="10">
        <v>2.0</v>
      </c>
      <c r="F495" s="9">
        <v>3.0</v>
      </c>
      <c r="G495" s="9">
        <v>0.0</v>
      </c>
      <c r="H495" s="9">
        <v>1.0</v>
      </c>
      <c r="I495" s="9">
        <v>0.0</v>
      </c>
      <c r="J495" s="17">
        <v>129475.0</v>
      </c>
      <c r="K495" s="18">
        <v>51185.4</v>
      </c>
      <c r="L495" s="17">
        <v>55779.0</v>
      </c>
      <c r="M495" s="18">
        <v>52620.5</v>
      </c>
      <c r="N495" s="18">
        <v>5.66257</v>
      </c>
      <c r="O495" s="18">
        <v>3600.0</v>
      </c>
      <c r="P495" s="4"/>
    </row>
    <row r="496">
      <c r="A496" s="8" t="s">
        <v>503</v>
      </c>
      <c r="B496" s="9">
        <v>25.0</v>
      </c>
      <c r="C496" s="9" t="s">
        <v>460</v>
      </c>
      <c r="D496" s="9">
        <v>75.0</v>
      </c>
      <c r="E496" s="10">
        <v>2.0</v>
      </c>
      <c r="F496" s="9">
        <v>4.0</v>
      </c>
      <c r="G496" s="9">
        <v>0.0</v>
      </c>
      <c r="H496" s="9">
        <v>1.0</v>
      </c>
      <c r="I496" s="9">
        <v>0.0</v>
      </c>
      <c r="J496" s="17">
        <v>142825.0</v>
      </c>
      <c r="K496" s="18">
        <v>56267.3</v>
      </c>
      <c r="L496" s="17">
        <v>61410.0</v>
      </c>
      <c r="M496" s="18">
        <v>57758.0</v>
      </c>
      <c r="N496" s="18">
        <v>5.94691</v>
      </c>
      <c r="O496" s="18">
        <v>3600.0</v>
      </c>
      <c r="P496" s="4"/>
    </row>
    <row r="497">
      <c r="A497" s="8" t="s">
        <v>504</v>
      </c>
      <c r="B497" s="9">
        <v>25.0</v>
      </c>
      <c r="C497" s="9" t="s">
        <v>460</v>
      </c>
      <c r="D497" s="9">
        <v>75.0</v>
      </c>
      <c r="E497" s="10">
        <v>2.0</v>
      </c>
      <c r="F497" s="9">
        <v>5.0</v>
      </c>
      <c r="G497" s="9">
        <v>1.0</v>
      </c>
      <c r="H497" s="9">
        <v>0.0</v>
      </c>
      <c r="I497" s="9">
        <v>0.0</v>
      </c>
      <c r="J497" s="17">
        <v>132275.0</v>
      </c>
      <c r="K497" s="18">
        <v>54118.0</v>
      </c>
      <c r="L497" s="17">
        <v>56606.0</v>
      </c>
      <c r="M497" s="18">
        <v>56606.0</v>
      </c>
      <c r="N497" s="18">
        <v>0.0</v>
      </c>
      <c r="O497" s="18">
        <v>4.143</v>
      </c>
      <c r="P497" s="4"/>
    </row>
    <row r="498">
      <c r="A498" s="8" t="s">
        <v>505</v>
      </c>
      <c r="B498" s="9">
        <v>30.0</v>
      </c>
      <c r="C498" s="9" t="s">
        <v>460</v>
      </c>
      <c r="D498" s="9">
        <v>25.0</v>
      </c>
      <c r="E498" s="10">
        <v>0.6</v>
      </c>
      <c r="F498" s="9">
        <v>1.0</v>
      </c>
      <c r="G498" s="9">
        <v>1.0</v>
      </c>
      <c r="H498" s="9">
        <v>0.0</v>
      </c>
      <c r="I498" s="9">
        <v>0.0</v>
      </c>
      <c r="J498" s="17">
        <v>1710.0</v>
      </c>
      <c r="K498" s="18">
        <v>-3122.27</v>
      </c>
      <c r="L498" s="17">
        <v>-3074.0</v>
      </c>
      <c r="M498" s="18">
        <v>-3074.0</v>
      </c>
      <c r="N498" s="18">
        <v>0.0</v>
      </c>
      <c r="O498" s="18">
        <v>33.69</v>
      </c>
      <c r="P498" s="4"/>
    </row>
    <row r="499">
      <c r="A499" s="8" t="s">
        <v>506</v>
      </c>
      <c r="B499" s="9">
        <v>30.0</v>
      </c>
      <c r="C499" s="9" t="s">
        <v>460</v>
      </c>
      <c r="D499" s="9">
        <v>25.0</v>
      </c>
      <c r="E499" s="10">
        <v>0.6</v>
      </c>
      <c r="F499" s="9">
        <v>2.0</v>
      </c>
      <c r="G499" s="9">
        <v>1.0</v>
      </c>
      <c r="H499" s="9">
        <v>0.0</v>
      </c>
      <c r="I499" s="9">
        <v>0.0</v>
      </c>
      <c r="J499" s="17">
        <v>1860.0</v>
      </c>
      <c r="K499" s="18">
        <v>-3167.7</v>
      </c>
      <c r="L499" s="17">
        <v>-3114.0</v>
      </c>
      <c r="M499" s="18">
        <v>-3114.0</v>
      </c>
      <c r="N499" s="18">
        <v>0.0</v>
      </c>
      <c r="O499" s="18">
        <v>62.368</v>
      </c>
      <c r="P499" s="4"/>
    </row>
    <row r="500">
      <c r="A500" s="8" t="s">
        <v>507</v>
      </c>
      <c r="B500" s="9">
        <v>30.0</v>
      </c>
      <c r="C500" s="9" t="s">
        <v>460</v>
      </c>
      <c r="D500" s="9">
        <v>25.0</v>
      </c>
      <c r="E500" s="10">
        <v>0.6</v>
      </c>
      <c r="F500" s="9">
        <v>3.0</v>
      </c>
      <c r="G500" s="9">
        <v>1.0</v>
      </c>
      <c r="H500" s="9">
        <v>0.0</v>
      </c>
      <c r="I500" s="9">
        <v>0.0</v>
      </c>
      <c r="J500" s="17">
        <v>1680.0</v>
      </c>
      <c r="K500" s="18">
        <v>-2971.69</v>
      </c>
      <c r="L500" s="17">
        <v>-2944.0</v>
      </c>
      <c r="M500" s="18">
        <v>-2944.0</v>
      </c>
      <c r="N500" s="18">
        <v>0.0</v>
      </c>
      <c r="O500" s="18">
        <v>21.123</v>
      </c>
      <c r="P500" s="4"/>
    </row>
    <row r="501">
      <c r="A501" s="8" t="s">
        <v>508</v>
      </c>
      <c r="B501" s="9">
        <v>30.0</v>
      </c>
      <c r="C501" s="9" t="s">
        <v>460</v>
      </c>
      <c r="D501" s="9">
        <v>25.0</v>
      </c>
      <c r="E501" s="10">
        <v>0.6</v>
      </c>
      <c r="F501" s="9">
        <v>4.0</v>
      </c>
      <c r="G501" s="9">
        <v>1.0</v>
      </c>
      <c r="H501" s="9">
        <v>0.0</v>
      </c>
      <c r="I501" s="9">
        <v>0.0</v>
      </c>
      <c r="J501" s="17">
        <v>1770.0</v>
      </c>
      <c r="K501" s="18">
        <v>-3027.57</v>
      </c>
      <c r="L501" s="17">
        <v>-2948.0</v>
      </c>
      <c r="M501" s="18">
        <v>-2948.0</v>
      </c>
      <c r="N501" s="18">
        <v>0.0</v>
      </c>
      <c r="O501" s="18">
        <v>160.739</v>
      </c>
      <c r="P501" s="4"/>
    </row>
    <row r="502">
      <c r="A502" s="8" t="s">
        <v>509</v>
      </c>
      <c r="B502" s="9">
        <v>30.0</v>
      </c>
      <c r="C502" s="9" t="s">
        <v>460</v>
      </c>
      <c r="D502" s="9">
        <v>25.0</v>
      </c>
      <c r="E502" s="10">
        <v>0.6</v>
      </c>
      <c r="F502" s="9">
        <v>5.0</v>
      </c>
      <c r="G502" s="9">
        <v>1.0</v>
      </c>
      <c r="H502" s="9">
        <v>0.0</v>
      </c>
      <c r="I502" s="9">
        <v>0.0</v>
      </c>
      <c r="J502" s="17">
        <v>2010.0</v>
      </c>
      <c r="K502" s="18">
        <v>-3474.9</v>
      </c>
      <c r="L502" s="17">
        <v>-3388.0</v>
      </c>
      <c r="M502" s="18">
        <v>-3388.0</v>
      </c>
      <c r="N502" s="18">
        <v>0.0</v>
      </c>
      <c r="O502" s="18">
        <v>128.331</v>
      </c>
      <c r="P502" s="4"/>
    </row>
    <row r="503">
      <c r="A503" s="8" t="s">
        <v>510</v>
      </c>
      <c r="B503" s="9">
        <v>30.0</v>
      </c>
      <c r="C503" s="9" t="s">
        <v>460</v>
      </c>
      <c r="D503" s="9">
        <v>25.0</v>
      </c>
      <c r="E503" s="10">
        <v>1.0</v>
      </c>
      <c r="F503" s="9">
        <v>1.0</v>
      </c>
      <c r="G503" s="9">
        <v>1.0</v>
      </c>
      <c r="H503" s="9">
        <v>0.0</v>
      </c>
      <c r="I503" s="9">
        <v>0.0</v>
      </c>
      <c r="J503" s="17">
        <v>7440.0</v>
      </c>
      <c r="K503" s="18">
        <v>-1333.38</v>
      </c>
      <c r="L503" s="17">
        <v>-1235.0</v>
      </c>
      <c r="M503" s="18">
        <v>-1235.0</v>
      </c>
      <c r="N503" s="18">
        <v>0.0</v>
      </c>
      <c r="O503" s="18">
        <v>49.313</v>
      </c>
      <c r="P503" s="4"/>
    </row>
    <row r="504">
      <c r="A504" s="8" t="s">
        <v>511</v>
      </c>
      <c r="B504" s="9">
        <v>30.0</v>
      </c>
      <c r="C504" s="9" t="s">
        <v>460</v>
      </c>
      <c r="D504" s="9">
        <v>25.0</v>
      </c>
      <c r="E504" s="10">
        <v>1.0</v>
      </c>
      <c r="F504" s="9">
        <v>2.0</v>
      </c>
      <c r="G504" s="9">
        <v>1.0</v>
      </c>
      <c r="H504" s="9">
        <v>0.0</v>
      </c>
      <c r="I504" s="9">
        <v>0.0</v>
      </c>
      <c r="J504" s="17">
        <v>8070.0</v>
      </c>
      <c r="K504" s="18">
        <v>-1312.22</v>
      </c>
      <c r="L504" s="17">
        <v>-1189.0</v>
      </c>
      <c r="M504" s="18">
        <v>-1189.0</v>
      </c>
      <c r="N504" s="18">
        <v>0.0</v>
      </c>
      <c r="O504" s="18">
        <v>78.59</v>
      </c>
      <c r="P504" s="4"/>
    </row>
    <row r="505">
      <c r="A505" s="8" t="s">
        <v>512</v>
      </c>
      <c r="B505" s="9">
        <v>30.0</v>
      </c>
      <c r="C505" s="9" t="s">
        <v>460</v>
      </c>
      <c r="D505" s="9">
        <v>25.0</v>
      </c>
      <c r="E505" s="10">
        <v>1.0</v>
      </c>
      <c r="F505" s="9">
        <v>3.0</v>
      </c>
      <c r="G505" s="9">
        <v>1.0</v>
      </c>
      <c r="H505" s="9">
        <v>0.0</v>
      </c>
      <c r="I505" s="9">
        <v>0.0</v>
      </c>
      <c r="J505" s="17">
        <v>7290.0</v>
      </c>
      <c r="K505" s="18">
        <v>-1259.4</v>
      </c>
      <c r="L505" s="17">
        <v>-1102.0</v>
      </c>
      <c r="M505" s="18">
        <v>-1102.0</v>
      </c>
      <c r="N505" s="18">
        <v>0.0</v>
      </c>
      <c r="O505" s="18">
        <v>321.795</v>
      </c>
      <c r="P505" s="4"/>
    </row>
    <row r="506">
      <c r="A506" s="8" t="s">
        <v>513</v>
      </c>
      <c r="B506" s="9">
        <v>30.0</v>
      </c>
      <c r="C506" s="9" t="s">
        <v>460</v>
      </c>
      <c r="D506" s="9">
        <v>25.0</v>
      </c>
      <c r="E506" s="10">
        <v>1.0</v>
      </c>
      <c r="F506" s="9">
        <v>4.0</v>
      </c>
      <c r="G506" s="9">
        <v>1.0</v>
      </c>
      <c r="H506" s="9">
        <v>0.0</v>
      </c>
      <c r="I506" s="9">
        <v>0.0</v>
      </c>
      <c r="J506" s="17">
        <v>7710.0</v>
      </c>
      <c r="K506" s="18">
        <v>-1218.89</v>
      </c>
      <c r="L506" s="17">
        <v>-1122.0</v>
      </c>
      <c r="M506" s="18">
        <v>-1122.0</v>
      </c>
      <c r="N506" s="18">
        <v>0.0</v>
      </c>
      <c r="O506" s="18">
        <v>94.708</v>
      </c>
      <c r="P506" s="4"/>
    </row>
    <row r="507">
      <c r="A507" s="8" t="s">
        <v>514</v>
      </c>
      <c r="B507" s="9">
        <v>30.0</v>
      </c>
      <c r="C507" s="9" t="s">
        <v>460</v>
      </c>
      <c r="D507" s="9">
        <v>25.0</v>
      </c>
      <c r="E507" s="10">
        <v>1.0</v>
      </c>
      <c r="F507" s="9">
        <v>5.0</v>
      </c>
      <c r="G507" s="9">
        <v>1.0</v>
      </c>
      <c r="H507" s="9">
        <v>0.0</v>
      </c>
      <c r="I507" s="9">
        <v>0.0</v>
      </c>
      <c r="J507" s="17">
        <v>8760.0</v>
      </c>
      <c r="K507" s="18">
        <v>-1310.45</v>
      </c>
      <c r="L507" s="17">
        <v>-1122.0</v>
      </c>
      <c r="M507" s="18">
        <v>-1122.0</v>
      </c>
      <c r="N507" s="18">
        <v>0.0</v>
      </c>
      <c r="O507" s="18">
        <v>915.853</v>
      </c>
      <c r="P507" s="4"/>
    </row>
    <row r="508">
      <c r="A508" s="8" t="s">
        <v>515</v>
      </c>
      <c r="B508" s="9">
        <v>30.0</v>
      </c>
      <c r="C508" s="9" t="s">
        <v>460</v>
      </c>
      <c r="D508" s="9">
        <v>25.0</v>
      </c>
      <c r="E508" s="10">
        <v>2.0</v>
      </c>
      <c r="F508" s="9">
        <v>1.0</v>
      </c>
      <c r="G508" s="9">
        <v>1.0</v>
      </c>
      <c r="H508" s="9">
        <v>0.0</v>
      </c>
      <c r="I508" s="9">
        <v>0.0</v>
      </c>
      <c r="J508" s="17">
        <v>51900.0</v>
      </c>
      <c r="K508" s="18">
        <v>16216.0</v>
      </c>
      <c r="L508" s="17">
        <v>16344.0</v>
      </c>
      <c r="M508" s="18">
        <v>16344.0</v>
      </c>
      <c r="N508" s="18">
        <v>0.0</v>
      </c>
      <c r="O508" s="18">
        <v>17.454</v>
      </c>
      <c r="P508" s="4"/>
    </row>
    <row r="509">
      <c r="A509" s="8" t="s">
        <v>516</v>
      </c>
      <c r="B509" s="9">
        <v>30.0</v>
      </c>
      <c r="C509" s="9" t="s">
        <v>460</v>
      </c>
      <c r="D509" s="9">
        <v>25.0</v>
      </c>
      <c r="E509" s="10">
        <v>2.0</v>
      </c>
      <c r="F509" s="9">
        <v>2.0</v>
      </c>
      <c r="G509" s="9">
        <v>1.0</v>
      </c>
      <c r="H509" s="9">
        <v>0.0</v>
      </c>
      <c r="I509" s="9">
        <v>0.0</v>
      </c>
      <c r="J509" s="17">
        <v>56400.0</v>
      </c>
      <c r="K509" s="18">
        <v>17504.5</v>
      </c>
      <c r="L509" s="17">
        <v>17533.0</v>
      </c>
      <c r="M509" s="18">
        <v>17533.0</v>
      </c>
      <c r="N509" s="18">
        <v>0.0</v>
      </c>
      <c r="O509" s="18">
        <v>0.506</v>
      </c>
      <c r="P509" s="4"/>
    </row>
    <row r="510">
      <c r="A510" s="8" t="s">
        <v>517</v>
      </c>
      <c r="B510" s="9">
        <v>30.0</v>
      </c>
      <c r="C510" s="9" t="s">
        <v>460</v>
      </c>
      <c r="D510" s="9">
        <v>25.0</v>
      </c>
      <c r="E510" s="10">
        <v>2.0</v>
      </c>
      <c r="F510" s="9">
        <v>3.0</v>
      </c>
      <c r="G510" s="9">
        <v>1.0</v>
      </c>
      <c r="H510" s="9">
        <v>0.0</v>
      </c>
      <c r="I510" s="9">
        <v>0.0</v>
      </c>
      <c r="J510" s="17">
        <v>50910.0</v>
      </c>
      <c r="K510" s="18">
        <v>15759.4</v>
      </c>
      <c r="L510" s="17">
        <v>15870.0</v>
      </c>
      <c r="M510" s="18">
        <v>15870.0</v>
      </c>
      <c r="N510" s="18">
        <v>0.0</v>
      </c>
      <c r="O510" s="18">
        <v>3.143</v>
      </c>
      <c r="P510" s="4"/>
    </row>
    <row r="511">
      <c r="A511" s="8" t="s">
        <v>518</v>
      </c>
      <c r="B511" s="9">
        <v>30.0</v>
      </c>
      <c r="C511" s="9" t="s">
        <v>460</v>
      </c>
      <c r="D511" s="9">
        <v>25.0</v>
      </c>
      <c r="E511" s="10">
        <v>2.0</v>
      </c>
      <c r="F511" s="9">
        <v>4.0</v>
      </c>
      <c r="G511" s="9">
        <v>1.0</v>
      </c>
      <c r="H511" s="9">
        <v>0.0</v>
      </c>
      <c r="I511" s="9">
        <v>0.0</v>
      </c>
      <c r="J511" s="17">
        <v>53820.0</v>
      </c>
      <c r="K511" s="18">
        <v>16749.6</v>
      </c>
      <c r="L511" s="17">
        <v>16871.0</v>
      </c>
      <c r="M511" s="18">
        <v>16871.0</v>
      </c>
      <c r="N511" s="18">
        <v>0.0</v>
      </c>
      <c r="O511" s="18">
        <v>6.653</v>
      </c>
      <c r="P511" s="4"/>
    </row>
    <row r="512">
      <c r="A512" s="8" t="s">
        <v>519</v>
      </c>
      <c r="B512" s="9">
        <v>30.0</v>
      </c>
      <c r="C512" s="9" t="s">
        <v>460</v>
      </c>
      <c r="D512" s="9">
        <v>25.0</v>
      </c>
      <c r="E512" s="10">
        <v>2.0</v>
      </c>
      <c r="F512" s="9">
        <v>5.0</v>
      </c>
      <c r="G512" s="9">
        <v>1.0</v>
      </c>
      <c r="H512" s="9">
        <v>0.0</v>
      </c>
      <c r="I512" s="9">
        <v>0.0</v>
      </c>
      <c r="J512" s="17">
        <v>20663.0</v>
      </c>
      <c r="K512" s="18">
        <v>20663.0</v>
      </c>
      <c r="L512" s="17">
        <v>20663.0</v>
      </c>
      <c r="M512" s="18">
        <v>20663.0</v>
      </c>
      <c r="N512" s="18">
        <v>0.0</v>
      </c>
      <c r="O512" s="18">
        <v>0.244</v>
      </c>
      <c r="P512" s="4"/>
    </row>
    <row r="513">
      <c r="A513" s="8" t="s">
        <v>520</v>
      </c>
      <c r="B513" s="9">
        <v>30.0</v>
      </c>
      <c r="C513" s="9" t="s">
        <v>460</v>
      </c>
      <c r="D513" s="9">
        <v>50.0</v>
      </c>
      <c r="E513" s="10">
        <v>0.6</v>
      </c>
      <c r="F513" s="9">
        <v>1.0</v>
      </c>
      <c r="G513" s="9">
        <v>1.0</v>
      </c>
      <c r="H513" s="9">
        <v>0.0</v>
      </c>
      <c r="I513" s="9">
        <v>0.0</v>
      </c>
      <c r="J513" s="17">
        <v>-5180.0</v>
      </c>
      <c r="K513" s="18">
        <v>-5180.0</v>
      </c>
      <c r="L513" s="17">
        <v>-5180.0</v>
      </c>
      <c r="M513" s="18">
        <v>-5180.0</v>
      </c>
      <c r="N513" s="18">
        <v>0.0</v>
      </c>
      <c r="O513" s="18">
        <v>6.815</v>
      </c>
      <c r="P513" s="4"/>
    </row>
    <row r="514">
      <c r="A514" s="8" t="s">
        <v>521</v>
      </c>
      <c r="B514" s="9">
        <v>30.0</v>
      </c>
      <c r="C514" s="9" t="s">
        <v>460</v>
      </c>
      <c r="D514" s="9">
        <v>50.0</v>
      </c>
      <c r="E514" s="10">
        <v>0.6</v>
      </c>
      <c r="F514" s="9">
        <v>2.0</v>
      </c>
      <c r="G514" s="9">
        <v>1.0</v>
      </c>
      <c r="H514" s="9">
        <v>0.0</v>
      </c>
      <c r="I514" s="9">
        <v>0.0</v>
      </c>
      <c r="J514" s="17">
        <v>3420.0</v>
      </c>
      <c r="K514" s="18">
        <v>-5717.73</v>
      </c>
      <c r="L514" s="17">
        <v>-5618.0</v>
      </c>
      <c r="M514" s="18">
        <v>-5618.0</v>
      </c>
      <c r="N514" s="18">
        <v>0.0</v>
      </c>
      <c r="O514" s="18">
        <v>81.205</v>
      </c>
      <c r="P514" s="4"/>
    </row>
    <row r="515">
      <c r="A515" s="8" t="s">
        <v>522</v>
      </c>
      <c r="B515" s="9">
        <v>30.0</v>
      </c>
      <c r="C515" s="9" t="s">
        <v>460</v>
      </c>
      <c r="D515" s="9">
        <v>50.0</v>
      </c>
      <c r="E515" s="10">
        <v>0.6</v>
      </c>
      <c r="F515" s="9">
        <v>3.0</v>
      </c>
      <c r="G515" s="9">
        <v>1.0</v>
      </c>
      <c r="H515" s="9">
        <v>0.0</v>
      </c>
      <c r="I515" s="9">
        <v>0.0</v>
      </c>
      <c r="J515" s="17">
        <v>3840.0</v>
      </c>
      <c r="K515" s="18">
        <v>-5403.05</v>
      </c>
      <c r="L515" s="17">
        <v>-5232.0</v>
      </c>
      <c r="M515" s="18">
        <v>-5232.0</v>
      </c>
      <c r="N515" s="18">
        <v>0.0</v>
      </c>
      <c r="O515" s="18">
        <v>517.379</v>
      </c>
      <c r="P515" s="4"/>
    </row>
    <row r="516">
      <c r="A516" s="8" t="s">
        <v>523</v>
      </c>
      <c r="B516" s="9">
        <v>30.0</v>
      </c>
      <c r="C516" s="9" t="s">
        <v>460</v>
      </c>
      <c r="D516" s="9">
        <v>50.0</v>
      </c>
      <c r="E516" s="10">
        <v>0.6</v>
      </c>
      <c r="F516" s="9">
        <v>4.0</v>
      </c>
      <c r="G516" s="9">
        <v>1.0</v>
      </c>
      <c r="H516" s="9">
        <v>0.0</v>
      </c>
      <c r="I516" s="9">
        <v>0.0</v>
      </c>
      <c r="J516" s="17">
        <v>-5173.0</v>
      </c>
      <c r="K516" s="18">
        <v>-5173.0</v>
      </c>
      <c r="L516" s="17">
        <v>-5173.0</v>
      </c>
      <c r="M516" s="18">
        <v>-5173.0</v>
      </c>
      <c r="N516" s="18">
        <v>0.0</v>
      </c>
      <c r="O516" s="18">
        <v>20.186</v>
      </c>
      <c r="P516" s="4"/>
    </row>
    <row r="517">
      <c r="A517" s="8" t="s">
        <v>524</v>
      </c>
      <c r="B517" s="9">
        <v>30.0</v>
      </c>
      <c r="C517" s="9" t="s">
        <v>460</v>
      </c>
      <c r="D517" s="9">
        <v>50.0</v>
      </c>
      <c r="E517" s="10">
        <v>0.6</v>
      </c>
      <c r="F517" s="9">
        <v>5.0</v>
      </c>
      <c r="G517" s="9">
        <v>1.0</v>
      </c>
      <c r="H517" s="9">
        <v>0.0</v>
      </c>
      <c r="I517" s="9">
        <v>0.0</v>
      </c>
      <c r="J517" s="17">
        <v>3630.0</v>
      </c>
      <c r="K517" s="18">
        <v>-5191.73</v>
      </c>
      <c r="L517" s="17">
        <v>-5138.0</v>
      </c>
      <c r="M517" s="18">
        <v>-5138.0</v>
      </c>
      <c r="N517" s="18">
        <v>0.0</v>
      </c>
      <c r="O517" s="18">
        <v>102.989</v>
      </c>
      <c r="P517" s="4"/>
    </row>
    <row r="518">
      <c r="A518" s="8" t="s">
        <v>525</v>
      </c>
      <c r="B518" s="9">
        <v>30.0</v>
      </c>
      <c r="C518" s="9" t="s">
        <v>460</v>
      </c>
      <c r="D518" s="9">
        <v>50.0</v>
      </c>
      <c r="E518" s="10">
        <v>1.0</v>
      </c>
      <c r="F518" s="9">
        <v>1.0</v>
      </c>
      <c r="G518" s="9">
        <v>1.0</v>
      </c>
      <c r="H518" s="9">
        <v>0.0</v>
      </c>
      <c r="I518" s="9">
        <v>0.0</v>
      </c>
      <c r="J518" s="17">
        <v>15660.0</v>
      </c>
      <c r="K518" s="18">
        <v>-1320.14</v>
      </c>
      <c r="L518" s="17">
        <v>-1206.0</v>
      </c>
      <c r="M518" s="18">
        <v>-1206.0</v>
      </c>
      <c r="N518" s="18">
        <v>0.0</v>
      </c>
      <c r="O518" s="18">
        <v>85.8</v>
      </c>
      <c r="P518" s="4"/>
    </row>
    <row r="519">
      <c r="A519" s="8" t="s">
        <v>526</v>
      </c>
      <c r="B519" s="9">
        <v>30.0</v>
      </c>
      <c r="C519" s="9" t="s">
        <v>460</v>
      </c>
      <c r="D519" s="9">
        <v>50.0</v>
      </c>
      <c r="E519" s="10">
        <v>1.0</v>
      </c>
      <c r="F519" s="9">
        <v>2.0</v>
      </c>
      <c r="G519" s="9">
        <v>1.0</v>
      </c>
      <c r="H519" s="9">
        <v>0.0</v>
      </c>
      <c r="I519" s="9">
        <v>0.0</v>
      </c>
      <c r="J519" s="17">
        <v>14850.0</v>
      </c>
      <c r="K519" s="18">
        <v>-2030.36</v>
      </c>
      <c r="L519" s="17">
        <v>-1951.0</v>
      </c>
      <c r="M519" s="18">
        <v>-1951.0</v>
      </c>
      <c r="N519" s="18">
        <v>0.0</v>
      </c>
      <c r="O519" s="18">
        <v>40.719</v>
      </c>
      <c r="P519" s="4"/>
    </row>
    <row r="520">
      <c r="A520" s="8" t="s">
        <v>527</v>
      </c>
      <c r="B520" s="9">
        <v>30.0</v>
      </c>
      <c r="C520" s="9" t="s">
        <v>460</v>
      </c>
      <c r="D520" s="9">
        <v>50.0</v>
      </c>
      <c r="E520" s="10">
        <v>1.0</v>
      </c>
      <c r="F520" s="9">
        <v>3.0</v>
      </c>
      <c r="G520" s="9">
        <v>1.0</v>
      </c>
      <c r="H520" s="9">
        <v>0.0</v>
      </c>
      <c r="I520" s="9">
        <v>0.0</v>
      </c>
      <c r="J520" s="17">
        <v>16740.0</v>
      </c>
      <c r="K520" s="18">
        <v>-1298.55</v>
      </c>
      <c r="L520" s="17">
        <v>-1186.0</v>
      </c>
      <c r="M520" s="18">
        <v>-1186.0</v>
      </c>
      <c r="N520" s="18">
        <v>0.0</v>
      </c>
      <c r="O520" s="18">
        <v>53.565</v>
      </c>
      <c r="P520" s="4"/>
    </row>
    <row r="521">
      <c r="A521" s="8" t="s">
        <v>528</v>
      </c>
      <c r="B521" s="9">
        <v>30.0</v>
      </c>
      <c r="C521" s="9" t="s">
        <v>460</v>
      </c>
      <c r="D521" s="9">
        <v>50.0</v>
      </c>
      <c r="E521" s="10">
        <v>1.0</v>
      </c>
      <c r="F521" s="9">
        <v>4.0</v>
      </c>
      <c r="G521" s="9">
        <v>1.0</v>
      </c>
      <c r="H521" s="9">
        <v>0.0</v>
      </c>
      <c r="I521" s="9">
        <v>0.0</v>
      </c>
      <c r="J521" s="17">
        <v>16170.0</v>
      </c>
      <c r="K521" s="18">
        <v>-1174.87</v>
      </c>
      <c r="L521" s="17">
        <v>-938.0</v>
      </c>
      <c r="M521" s="18">
        <v>-938.0</v>
      </c>
      <c r="N521" s="18">
        <v>0.0</v>
      </c>
      <c r="O521" s="18">
        <v>2199.73</v>
      </c>
      <c r="P521" s="4"/>
    </row>
    <row r="522">
      <c r="A522" s="8" t="s">
        <v>529</v>
      </c>
      <c r="B522" s="9">
        <v>30.0</v>
      </c>
      <c r="C522" s="9" t="s">
        <v>460</v>
      </c>
      <c r="D522" s="9">
        <v>50.0</v>
      </c>
      <c r="E522" s="10">
        <v>1.0</v>
      </c>
      <c r="F522" s="9">
        <v>5.0</v>
      </c>
      <c r="G522" s="9">
        <v>1.0</v>
      </c>
      <c r="H522" s="9">
        <v>0.0</v>
      </c>
      <c r="I522" s="9">
        <v>0.0</v>
      </c>
      <c r="J522" s="17">
        <v>15780.0</v>
      </c>
      <c r="K522" s="18">
        <v>-1410.56</v>
      </c>
      <c r="L522" s="17">
        <v>-1300.0</v>
      </c>
      <c r="M522" s="18">
        <v>-1300.0</v>
      </c>
      <c r="N522" s="18">
        <v>0.0</v>
      </c>
      <c r="O522" s="18">
        <v>65.959</v>
      </c>
      <c r="P522" s="4"/>
    </row>
    <row r="523">
      <c r="A523" s="8" t="s">
        <v>530</v>
      </c>
      <c r="B523" s="9">
        <v>30.0</v>
      </c>
      <c r="C523" s="9" t="s">
        <v>460</v>
      </c>
      <c r="D523" s="9">
        <v>50.0</v>
      </c>
      <c r="E523" s="10">
        <v>2.0</v>
      </c>
      <c r="F523" s="9">
        <v>1.0</v>
      </c>
      <c r="G523" s="9">
        <v>1.0</v>
      </c>
      <c r="H523" s="9">
        <v>0.0</v>
      </c>
      <c r="I523" s="9">
        <v>0.0</v>
      </c>
      <c r="J523" s="17">
        <v>109530.0</v>
      </c>
      <c r="K523" s="18">
        <v>34299.0</v>
      </c>
      <c r="L523" s="17">
        <v>34399.0</v>
      </c>
      <c r="M523" s="18">
        <v>34399.0</v>
      </c>
      <c r="N523" s="18">
        <v>0.0</v>
      </c>
      <c r="O523" s="18">
        <v>4.104</v>
      </c>
      <c r="P523" s="4"/>
    </row>
    <row r="524">
      <c r="A524" s="8" t="s">
        <v>531</v>
      </c>
      <c r="B524" s="9">
        <v>30.0</v>
      </c>
      <c r="C524" s="9" t="s">
        <v>460</v>
      </c>
      <c r="D524" s="9">
        <v>50.0</v>
      </c>
      <c r="E524" s="10">
        <v>2.0</v>
      </c>
      <c r="F524" s="9">
        <v>2.0</v>
      </c>
      <c r="G524" s="9">
        <v>1.0</v>
      </c>
      <c r="H524" s="9">
        <v>0.0</v>
      </c>
      <c r="I524" s="9">
        <v>0.0</v>
      </c>
      <c r="J524" s="17">
        <v>32568.0</v>
      </c>
      <c r="K524" s="18">
        <v>32568.0</v>
      </c>
      <c r="L524" s="17">
        <v>32568.0</v>
      </c>
      <c r="M524" s="18">
        <v>32568.0</v>
      </c>
      <c r="N524" s="18">
        <v>0.0</v>
      </c>
      <c r="O524" s="18">
        <v>0.77</v>
      </c>
      <c r="P524" s="4"/>
    </row>
    <row r="525">
      <c r="A525" s="8" t="s">
        <v>532</v>
      </c>
      <c r="B525" s="9">
        <v>30.0</v>
      </c>
      <c r="C525" s="9" t="s">
        <v>460</v>
      </c>
      <c r="D525" s="9">
        <v>50.0</v>
      </c>
      <c r="E525" s="10">
        <v>2.0</v>
      </c>
      <c r="F525" s="9">
        <v>3.0</v>
      </c>
      <c r="G525" s="9">
        <v>1.0</v>
      </c>
      <c r="H525" s="9">
        <v>0.0</v>
      </c>
      <c r="I525" s="9">
        <v>0.0</v>
      </c>
      <c r="J525" s="17">
        <v>117090.0</v>
      </c>
      <c r="K525" s="18">
        <v>37080.0</v>
      </c>
      <c r="L525" s="17">
        <v>37084.0</v>
      </c>
      <c r="M525" s="18">
        <v>37084.0</v>
      </c>
      <c r="N525" s="18">
        <v>0.0</v>
      </c>
      <c r="O525" s="18">
        <v>0.319</v>
      </c>
      <c r="P525" s="4"/>
    </row>
    <row r="526">
      <c r="A526" s="8" t="s">
        <v>533</v>
      </c>
      <c r="B526" s="9">
        <v>30.0</v>
      </c>
      <c r="C526" s="9" t="s">
        <v>460</v>
      </c>
      <c r="D526" s="9">
        <v>50.0</v>
      </c>
      <c r="E526" s="10">
        <v>2.0</v>
      </c>
      <c r="F526" s="9">
        <v>4.0</v>
      </c>
      <c r="G526" s="9">
        <v>1.0</v>
      </c>
      <c r="H526" s="9">
        <v>0.0</v>
      </c>
      <c r="I526" s="9">
        <v>0.0</v>
      </c>
      <c r="J526" s="17">
        <v>113040.0</v>
      </c>
      <c r="K526" s="18">
        <v>35782.2</v>
      </c>
      <c r="L526" s="17">
        <v>35824.0</v>
      </c>
      <c r="M526" s="18">
        <v>35824.0</v>
      </c>
      <c r="N526" s="18">
        <v>0.0</v>
      </c>
      <c r="O526" s="18">
        <v>1.27</v>
      </c>
      <c r="P526" s="4"/>
    </row>
    <row r="527">
      <c r="A527" s="8" t="s">
        <v>534</v>
      </c>
      <c r="B527" s="9">
        <v>30.0</v>
      </c>
      <c r="C527" s="9" t="s">
        <v>460</v>
      </c>
      <c r="D527" s="9">
        <v>50.0</v>
      </c>
      <c r="E527" s="10">
        <v>2.0</v>
      </c>
      <c r="F527" s="9">
        <v>5.0</v>
      </c>
      <c r="G527" s="9">
        <v>1.0</v>
      </c>
      <c r="H527" s="9">
        <v>0.0</v>
      </c>
      <c r="I527" s="9">
        <v>0.0</v>
      </c>
      <c r="J527" s="17">
        <v>34884.0</v>
      </c>
      <c r="K527" s="18">
        <v>34884.0</v>
      </c>
      <c r="L527" s="17">
        <v>34884.0</v>
      </c>
      <c r="M527" s="18">
        <v>34884.0</v>
      </c>
      <c r="N527" s="18">
        <v>0.0</v>
      </c>
      <c r="O527" s="18">
        <v>0.27</v>
      </c>
      <c r="P527" s="4"/>
    </row>
    <row r="528">
      <c r="A528" s="8" t="s">
        <v>535</v>
      </c>
      <c r="B528" s="9">
        <v>30.0</v>
      </c>
      <c r="C528" s="9" t="s">
        <v>460</v>
      </c>
      <c r="D528" s="9">
        <v>75.0</v>
      </c>
      <c r="E528" s="10">
        <v>0.6</v>
      </c>
      <c r="F528" s="9">
        <v>1.0</v>
      </c>
      <c r="G528" s="9">
        <v>1.0</v>
      </c>
      <c r="H528" s="9">
        <v>0.0</v>
      </c>
      <c r="I528" s="9">
        <v>0.0</v>
      </c>
      <c r="J528" s="17">
        <v>-6971.0</v>
      </c>
      <c r="K528" s="18">
        <v>-6971.0</v>
      </c>
      <c r="L528" s="17">
        <v>-6971.0</v>
      </c>
      <c r="M528" s="18">
        <v>-6971.0</v>
      </c>
      <c r="N528" s="18">
        <v>0.0</v>
      </c>
      <c r="O528" s="18">
        <v>42.444</v>
      </c>
      <c r="P528" s="4"/>
    </row>
    <row r="529">
      <c r="A529" s="8" t="s">
        <v>536</v>
      </c>
      <c r="B529" s="9">
        <v>30.0</v>
      </c>
      <c r="C529" s="9" t="s">
        <v>460</v>
      </c>
      <c r="D529" s="9">
        <v>75.0</v>
      </c>
      <c r="E529" s="10">
        <v>0.6</v>
      </c>
      <c r="F529" s="9">
        <v>2.0</v>
      </c>
      <c r="G529" s="9">
        <v>1.0</v>
      </c>
      <c r="H529" s="9">
        <v>0.0</v>
      </c>
      <c r="I529" s="9">
        <v>0.0</v>
      </c>
      <c r="J529" s="17">
        <v>5400.0</v>
      </c>
      <c r="K529" s="18">
        <v>-6880.38</v>
      </c>
      <c r="L529" s="17">
        <v>-6865.0</v>
      </c>
      <c r="M529" s="18">
        <v>-6865.0</v>
      </c>
      <c r="N529" s="18">
        <v>0.0</v>
      </c>
      <c r="O529" s="18">
        <v>123.531</v>
      </c>
      <c r="P529" s="4"/>
    </row>
    <row r="530">
      <c r="A530" s="8" t="s">
        <v>537</v>
      </c>
      <c r="B530" s="9">
        <v>30.0</v>
      </c>
      <c r="C530" s="9" t="s">
        <v>460</v>
      </c>
      <c r="D530" s="9">
        <v>75.0</v>
      </c>
      <c r="E530" s="10">
        <v>0.6</v>
      </c>
      <c r="F530" s="9">
        <v>3.0</v>
      </c>
      <c r="G530" s="9">
        <v>1.0</v>
      </c>
      <c r="H530" s="9">
        <v>0.0</v>
      </c>
      <c r="I530" s="9">
        <v>0.0</v>
      </c>
      <c r="J530" s="17">
        <v>4950.0</v>
      </c>
      <c r="K530" s="18">
        <v>-6223.91</v>
      </c>
      <c r="L530" s="17">
        <v>-6154.0</v>
      </c>
      <c r="M530" s="18">
        <v>-6154.0</v>
      </c>
      <c r="N530" s="18">
        <v>0.0</v>
      </c>
      <c r="O530" s="18">
        <v>456.717</v>
      </c>
      <c r="P530" s="4"/>
    </row>
    <row r="531">
      <c r="A531" s="8" t="s">
        <v>538</v>
      </c>
      <c r="B531" s="9">
        <v>30.0</v>
      </c>
      <c r="C531" s="9" t="s">
        <v>460</v>
      </c>
      <c r="D531" s="9">
        <v>75.0</v>
      </c>
      <c r="E531" s="10">
        <v>0.6</v>
      </c>
      <c r="F531" s="9">
        <v>4.0</v>
      </c>
      <c r="G531" s="9">
        <v>1.0</v>
      </c>
      <c r="H531" s="9">
        <v>0.0</v>
      </c>
      <c r="I531" s="9">
        <v>0.0</v>
      </c>
      <c r="J531" s="17">
        <v>5250.0</v>
      </c>
      <c r="K531" s="18">
        <v>-6649.1</v>
      </c>
      <c r="L531" s="17">
        <v>-6610.0</v>
      </c>
      <c r="M531" s="18">
        <v>-6610.0</v>
      </c>
      <c r="N531" s="18">
        <v>0.0</v>
      </c>
      <c r="O531" s="18">
        <v>90.954</v>
      </c>
      <c r="P531" s="4"/>
    </row>
    <row r="532">
      <c r="A532" s="8" t="s">
        <v>539</v>
      </c>
      <c r="B532" s="9">
        <v>30.0</v>
      </c>
      <c r="C532" s="9" t="s">
        <v>460</v>
      </c>
      <c r="D532" s="9">
        <v>75.0</v>
      </c>
      <c r="E532" s="10">
        <v>0.6</v>
      </c>
      <c r="F532" s="9">
        <v>5.0</v>
      </c>
      <c r="G532" s="9">
        <v>1.0</v>
      </c>
      <c r="H532" s="9">
        <v>0.0</v>
      </c>
      <c r="I532" s="9">
        <v>0.0</v>
      </c>
      <c r="J532" s="17">
        <v>5310.0</v>
      </c>
      <c r="K532" s="18">
        <v>-6724.3</v>
      </c>
      <c r="L532" s="17">
        <v>-6600.0</v>
      </c>
      <c r="M532" s="18">
        <v>-6600.0</v>
      </c>
      <c r="N532" s="18">
        <v>0.0</v>
      </c>
      <c r="O532" s="18">
        <v>580.266</v>
      </c>
      <c r="P532" s="4"/>
    </row>
    <row r="533">
      <c r="A533" s="8" t="s">
        <v>540</v>
      </c>
      <c r="B533" s="9">
        <v>30.0</v>
      </c>
      <c r="C533" s="9" t="s">
        <v>460</v>
      </c>
      <c r="D533" s="9">
        <v>75.0</v>
      </c>
      <c r="E533" s="10">
        <v>1.0</v>
      </c>
      <c r="F533" s="9">
        <v>1.0</v>
      </c>
      <c r="G533" s="9">
        <v>1.0</v>
      </c>
      <c r="H533" s="9">
        <v>0.0</v>
      </c>
      <c r="I533" s="9">
        <v>0.0</v>
      </c>
      <c r="J533" s="17">
        <v>23250.0</v>
      </c>
      <c r="K533" s="18">
        <v>-1177.46</v>
      </c>
      <c r="L533" s="17">
        <v>-1087.0</v>
      </c>
      <c r="M533" s="18">
        <v>-1087.0</v>
      </c>
      <c r="N533" s="18">
        <v>0.0</v>
      </c>
      <c r="O533" s="18">
        <v>119.495</v>
      </c>
      <c r="P533" s="4"/>
    </row>
    <row r="534">
      <c r="A534" s="8" t="s">
        <v>541</v>
      </c>
      <c r="B534" s="9">
        <v>30.0</v>
      </c>
      <c r="C534" s="9" t="s">
        <v>460</v>
      </c>
      <c r="D534" s="9">
        <v>75.0</v>
      </c>
      <c r="E534" s="10">
        <v>1.0</v>
      </c>
      <c r="F534" s="9">
        <v>2.0</v>
      </c>
      <c r="G534" s="9">
        <v>0.0</v>
      </c>
      <c r="H534" s="9">
        <v>1.0</v>
      </c>
      <c r="I534" s="9">
        <v>0.0</v>
      </c>
      <c r="J534" s="17">
        <v>23550.0</v>
      </c>
      <c r="K534" s="18">
        <v>-1120.94</v>
      </c>
      <c r="L534" s="17">
        <v>-695.0</v>
      </c>
      <c r="M534" s="18">
        <v>-765.083</v>
      </c>
      <c r="N534" s="18">
        <v>10.0839</v>
      </c>
      <c r="O534" s="18">
        <v>3600.0</v>
      </c>
      <c r="P534" s="4"/>
    </row>
    <row r="535">
      <c r="A535" s="8" t="s">
        <v>542</v>
      </c>
      <c r="B535" s="9">
        <v>30.0</v>
      </c>
      <c r="C535" s="9" t="s">
        <v>460</v>
      </c>
      <c r="D535" s="9">
        <v>75.0</v>
      </c>
      <c r="E535" s="10">
        <v>1.0</v>
      </c>
      <c r="F535" s="9">
        <v>3.0</v>
      </c>
      <c r="G535" s="9">
        <v>1.0</v>
      </c>
      <c r="H535" s="9">
        <v>0.0</v>
      </c>
      <c r="I535" s="9">
        <v>0.0</v>
      </c>
      <c r="J535" s="17">
        <v>21570.0</v>
      </c>
      <c r="K535" s="18">
        <v>-1074.87</v>
      </c>
      <c r="L535" s="17">
        <v>-1041.0</v>
      </c>
      <c r="M535" s="18">
        <v>-1041.0</v>
      </c>
      <c r="N535" s="18">
        <v>0.0</v>
      </c>
      <c r="O535" s="18">
        <v>17.885</v>
      </c>
      <c r="P535" s="4"/>
    </row>
    <row r="536">
      <c r="A536" s="8" t="s">
        <v>543</v>
      </c>
      <c r="B536" s="9">
        <v>30.0</v>
      </c>
      <c r="C536" s="9" t="s">
        <v>460</v>
      </c>
      <c r="D536" s="9">
        <v>75.0</v>
      </c>
      <c r="E536" s="10">
        <v>1.0</v>
      </c>
      <c r="F536" s="9">
        <v>4.0</v>
      </c>
      <c r="G536" s="9">
        <v>1.0</v>
      </c>
      <c r="H536" s="9">
        <v>0.0</v>
      </c>
      <c r="I536" s="9">
        <v>0.0</v>
      </c>
      <c r="J536" s="17">
        <v>22920.0</v>
      </c>
      <c r="K536" s="18">
        <v>-1023.9</v>
      </c>
      <c r="L536" s="17">
        <v>-927.0</v>
      </c>
      <c r="M536" s="18">
        <v>-927.0</v>
      </c>
      <c r="N536" s="18">
        <v>0.0</v>
      </c>
      <c r="O536" s="18">
        <v>64.027</v>
      </c>
      <c r="P536" s="4"/>
    </row>
    <row r="537">
      <c r="A537" s="8" t="s">
        <v>544</v>
      </c>
      <c r="B537" s="9">
        <v>30.0</v>
      </c>
      <c r="C537" s="9" t="s">
        <v>460</v>
      </c>
      <c r="D537" s="9">
        <v>75.0</v>
      </c>
      <c r="E537" s="10">
        <v>1.0</v>
      </c>
      <c r="F537" s="9">
        <v>5.0</v>
      </c>
      <c r="G537" s="9">
        <v>1.0</v>
      </c>
      <c r="H537" s="9">
        <v>0.0</v>
      </c>
      <c r="I537" s="9">
        <v>0.0</v>
      </c>
      <c r="J537" s="17">
        <v>23100.0</v>
      </c>
      <c r="K537" s="18">
        <v>-1080.09</v>
      </c>
      <c r="L537" s="17">
        <v>-1006.0</v>
      </c>
      <c r="M537" s="18">
        <v>-1006.0</v>
      </c>
      <c r="N537" s="18">
        <v>0.0</v>
      </c>
      <c r="O537" s="18">
        <v>48.244</v>
      </c>
      <c r="P537" s="4"/>
    </row>
    <row r="538">
      <c r="A538" s="8" t="s">
        <v>545</v>
      </c>
      <c r="B538" s="9">
        <v>30.0</v>
      </c>
      <c r="C538" s="9" t="s">
        <v>460</v>
      </c>
      <c r="D538" s="9">
        <v>75.0</v>
      </c>
      <c r="E538" s="10">
        <v>2.0</v>
      </c>
      <c r="F538" s="9">
        <v>1.0</v>
      </c>
      <c r="G538" s="9">
        <v>1.0</v>
      </c>
      <c r="H538" s="9">
        <v>0.0</v>
      </c>
      <c r="I538" s="9">
        <v>0.0</v>
      </c>
      <c r="J538" s="17">
        <v>162660.0</v>
      </c>
      <c r="K538" s="18">
        <v>51953.5</v>
      </c>
      <c r="L538" s="17">
        <v>52084.0</v>
      </c>
      <c r="M538" s="18">
        <v>52084.0</v>
      </c>
      <c r="N538" s="18">
        <v>0.0</v>
      </c>
      <c r="O538" s="18">
        <v>6.613</v>
      </c>
      <c r="P538" s="4"/>
    </row>
    <row r="539">
      <c r="A539" s="8" t="s">
        <v>546</v>
      </c>
      <c r="B539" s="9">
        <v>30.0</v>
      </c>
      <c r="C539" s="9" t="s">
        <v>460</v>
      </c>
      <c r="D539" s="9">
        <v>75.0</v>
      </c>
      <c r="E539" s="10">
        <v>2.0</v>
      </c>
      <c r="F539" s="9">
        <v>2.0</v>
      </c>
      <c r="G539" s="9">
        <v>1.0</v>
      </c>
      <c r="H539" s="9">
        <v>0.0</v>
      </c>
      <c r="I539" s="9">
        <v>0.0</v>
      </c>
      <c r="J539" s="17">
        <v>164700.0</v>
      </c>
      <c r="K539" s="18">
        <v>53000.9</v>
      </c>
      <c r="L539" s="17">
        <v>53515.0</v>
      </c>
      <c r="M539" s="18">
        <v>53515.0</v>
      </c>
      <c r="N539" s="18">
        <v>0.0</v>
      </c>
      <c r="O539" s="18">
        <v>1318.19</v>
      </c>
      <c r="P539" s="4"/>
    </row>
    <row r="540">
      <c r="A540" s="8" t="s">
        <v>547</v>
      </c>
      <c r="B540" s="9">
        <v>30.0</v>
      </c>
      <c r="C540" s="9" t="s">
        <v>460</v>
      </c>
      <c r="D540" s="9">
        <v>75.0</v>
      </c>
      <c r="E540" s="10">
        <v>2.0</v>
      </c>
      <c r="F540" s="9">
        <v>3.0</v>
      </c>
      <c r="G540" s="9">
        <v>1.0</v>
      </c>
      <c r="H540" s="9">
        <v>0.0</v>
      </c>
      <c r="I540" s="9">
        <v>0.0</v>
      </c>
      <c r="J540" s="17">
        <v>150990.0</v>
      </c>
      <c r="K540" s="18">
        <v>48394.5</v>
      </c>
      <c r="L540" s="17">
        <v>48418.0</v>
      </c>
      <c r="M540" s="18">
        <v>48418.0</v>
      </c>
      <c r="N540" s="18">
        <v>0.0</v>
      </c>
      <c r="O540" s="18">
        <v>1.088</v>
      </c>
      <c r="P540" s="4"/>
    </row>
    <row r="541">
      <c r="A541" s="8" t="s">
        <v>548</v>
      </c>
      <c r="B541" s="9">
        <v>30.0</v>
      </c>
      <c r="C541" s="9" t="s">
        <v>460</v>
      </c>
      <c r="D541" s="9">
        <v>75.0</v>
      </c>
      <c r="E541" s="10">
        <v>2.0</v>
      </c>
      <c r="F541" s="9">
        <v>4.0</v>
      </c>
      <c r="G541" s="9">
        <v>1.0</v>
      </c>
      <c r="H541" s="9">
        <v>0.0</v>
      </c>
      <c r="I541" s="9">
        <v>0.0</v>
      </c>
      <c r="J541" s="17">
        <v>160410.0</v>
      </c>
      <c r="K541" s="18">
        <v>51098.1</v>
      </c>
      <c r="L541" s="17">
        <v>51321.0</v>
      </c>
      <c r="M541" s="18">
        <v>51321.0</v>
      </c>
      <c r="N541" s="18">
        <v>0.0</v>
      </c>
      <c r="O541" s="18">
        <v>21.049</v>
      </c>
      <c r="P541" s="4"/>
    </row>
    <row r="542">
      <c r="A542" s="8" t="s">
        <v>549</v>
      </c>
      <c r="B542" s="9">
        <v>30.0</v>
      </c>
      <c r="C542" s="9" t="s">
        <v>460</v>
      </c>
      <c r="D542" s="9">
        <v>75.0</v>
      </c>
      <c r="E542" s="10">
        <v>2.0</v>
      </c>
      <c r="F542" s="9">
        <v>5.0</v>
      </c>
      <c r="G542" s="9">
        <v>1.0</v>
      </c>
      <c r="H542" s="9">
        <v>0.0</v>
      </c>
      <c r="I542" s="9">
        <v>0.0</v>
      </c>
      <c r="J542" s="17">
        <v>161580.0</v>
      </c>
      <c r="K542" s="18">
        <v>51626.3</v>
      </c>
      <c r="L542" s="17">
        <v>51682.0</v>
      </c>
      <c r="M542" s="18">
        <v>51682.0</v>
      </c>
      <c r="N542" s="18">
        <v>0.0</v>
      </c>
      <c r="O542" s="18">
        <v>2.019</v>
      </c>
      <c r="P542" s="4"/>
    </row>
    <row r="543">
      <c r="A543" s="8" t="s">
        <v>550</v>
      </c>
      <c r="B543" s="9">
        <v>35.0</v>
      </c>
      <c r="C543" s="9" t="s">
        <v>460</v>
      </c>
      <c r="D543" s="9">
        <v>25.0</v>
      </c>
      <c r="E543" s="10">
        <v>0.6</v>
      </c>
      <c r="F543" s="9">
        <v>1.0</v>
      </c>
      <c r="G543" s="9">
        <v>1.0</v>
      </c>
      <c r="H543" s="9">
        <v>0.0</v>
      </c>
      <c r="I543" s="9">
        <v>0.0</v>
      </c>
      <c r="J543" s="17">
        <v>2100.0</v>
      </c>
      <c r="K543" s="18">
        <v>-4335.19</v>
      </c>
      <c r="L543" s="17">
        <v>-4278.0</v>
      </c>
      <c r="M543" s="18">
        <v>-4278.0</v>
      </c>
      <c r="N543" s="18">
        <v>0.0</v>
      </c>
      <c r="O543" s="18">
        <v>385.786</v>
      </c>
      <c r="P543" s="4"/>
    </row>
    <row r="544">
      <c r="A544" s="8" t="s">
        <v>551</v>
      </c>
      <c r="B544" s="9">
        <v>35.0</v>
      </c>
      <c r="C544" s="9" t="s">
        <v>460</v>
      </c>
      <c r="D544" s="9">
        <v>25.0</v>
      </c>
      <c r="E544" s="10">
        <v>0.6</v>
      </c>
      <c r="F544" s="9">
        <v>2.0</v>
      </c>
      <c r="G544" s="9">
        <v>1.0</v>
      </c>
      <c r="H544" s="9">
        <v>0.0</v>
      </c>
      <c r="I544" s="9">
        <v>0.0</v>
      </c>
      <c r="J544" s="17">
        <v>2345.0</v>
      </c>
      <c r="K544" s="18">
        <v>-4663.0</v>
      </c>
      <c r="L544" s="17">
        <v>-4640.0</v>
      </c>
      <c r="M544" s="18">
        <v>-4640.0</v>
      </c>
      <c r="N544" s="18">
        <v>0.0</v>
      </c>
      <c r="O544" s="18">
        <v>175.683</v>
      </c>
      <c r="P544" s="4"/>
    </row>
    <row r="545">
      <c r="A545" s="8" t="s">
        <v>552</v>
      </c>
      <c r="B545" s="9">
        <v>35.0</v>
      </c>
      <c r="C545" s="9" t="s">
        <v>460</v>
      </c>
      <c r="D545" s="9">
        <v>25.0</v>
      </c>
      <c r="E545" s="10">
        <v>0.6</v>
      </c>
      <c r="F545" s="9">
        <v>3.0</v>
      </c>
      <c r="G545" s="9">
        <v>1.0</v>
      </c>
      <c r="H545" s="9">
        <v>0.0</v>
      </c>
      <c r="I545" s="9">
        <v>0.0</v>
      </c>
      <c r="J545" s="17">
        <v>1960.0</v>
      </c>
      <c r="K545" s="18">
        <v>-4053.0</v>
      </c>
      <c r="L545" s="17">
        <v>-4048.0</v>
      </c>
      <c r="M545" s="18">
        <v>-4048.0</v>
      </c>
      <c r="N545" s="18">
        <v>0.0</v>
      </c>
      <c r="O545" s="18">
        <v>48.087</v>
      </c>
      <c r="P545" s="4"/>
    </row>
    <row r="546">
      <c r="A546" s="8" t="s">
        <v>553</v>
      </c>
      <c r="B546" s="9">
        <v>35.0</v>
      </c>
      <c r="C546" s="9" t="s">
        <v>460</v>
      </c>
      <c r="D546" s="9">
        <v>25.0</v>
      </c>
      <c r="E546" s="10">
        <v>0.6</v>
      </c>
      <c r="F546" s="9">
        <v>4.0</v>
      </c>
      <c r="G546" s="9">
        <v>1.0</v>
      </c>
      <c r="H546" s="9">
        <v>0.0</v>
      </c>
      <c r="I546" s="9">
        <v>0.0</v>
      </c>
      <c r="J546" s="17">
        <v>2205.0</v>
      </c>
      <c r="K546" s="18">
        <v>-4413.92</v>
      </c>
      <c r="L546" s="17">
        <v>-4377.0</v>
      </c>
      <c r="M546" s="18">
        <v>-4377.0</v>
      </c>
      <c r="N546" s="18">
        <v>0.0</v>
      </c>
      <c r="O546" s="18">
        <v>199.958</v>
      </c>
      <c r="P546" s="4"/>
    </row>
    <row r="547">
      <c r="A547" s="8" t="s">
        <v>554</v>
      </c>
      <c r="B547" s="9">
        <v>35.0</v>
      </c>
      <c r="C547" s="9" t="s">
        <v>460</v>
      </c>
      <c r="D547" s="9">
        <v>25.0</v>
      </c>
      <c r="E547" s="10">
        <v>0.6</v>
      </c>
      <c r="F547" s="9">
        <v>5.0</v>
      </c>
      <c r="G547" s="9">
        <v>1.0</v>
      </c>
      <c r="H547" s="9">
        <v>0.0</v>
      </c>
      <c r="I547" s="9">
        <v>0.0</v>
      </c>
      <c r="J547" s="17">
        <v>-4487.0</v>
      </c>
      <c r="K547" s="18">
        <v>-4487.0</v>
      </c>
      <c r="L547" s="17">
        <v>-4487.0</v>
      </c>
      <c r="M547" s="18">
        <v>-4487.0</v>
      </c>
      <c r="N547" s="18">
        <v>0.0</v>
      </c>
      <c r="O547" s="18">
        <v>20.113</v>
      </c>
      <c r="P547" s="4"/>
    </row>
    <row r="548">
      <c r="A548" s="8" t="s">
        <v>555</v>
      </c>
      <c r="B548" s="9">
        <v>35.0</v>
      </c>
      <c r="C548" s="9" t="s">
        <v>460</v>
      </c>
      <c r="D548" s="9">
        <v>25.0</v>
      </c>
      <c r="E548" s="10">
        <v>1.0</v>
      </c>
      <c r="F548" s="9">
        <v>1.0</v>
      </c>
      <c r="G548" s="9">
        <v>1.0</v>
      </c>
      <c r="H548" s="9">
        <v>0.0</v>
      </c>
      <c r="I548" s="9">
        <v>0.0</v>
      </c>
      <c r="J548" s="17">
        <v>9240.0</v>
      </c>
      <c r="K548" s="18">
        <v>-2288.0</v>
      </c>
      <c r="L548" s="17">
        <v>-2221.0</v>
      </c>
      <c r="M548" s="18">
        <v>-2221.0</v>
      </c>
      <c r="N548" s="18">
        <v>0.0</v>
      </c>
      <c r="O548" s="18">
        <v>123.752</v>
      </c>
      <c r="P548" s="4"/>
    </row>
    <row r="549">
      <c r="A549" s="8" t="s">
        <v>556</v>
      </c>
      <c r="B549" s="9">
        <v>35.0</v>
      </c>
      <c r="C549" s="9" t="s">
        <v>460</v>
      </c>
      <c r="D549" s="9">
        <v>25.0</v>
      </c>
      <c r="E549" s="10">
        <v>1.0</v>
      </c>
      <c r="F549" s="9">
        <v>2.0</v>
      </c>
      <c r="G549" s="9">
        <v>1.0</v>
      </c>
      <c r="H549" s="9">
        <v>0.0</v>
      </c>
      <c r="I549" s="9">
        <v>0.0</v>
      </c>
      <c r="J549" s="17">
        <v>10325.0</v>
      </c>
      <c r="K549" s="18">
        <v>-2215.61</v>
      </c>
      <c r="L549" s="17">
        <v>-2165.0</v>
      </c>
      <c r="M549" s="18">
        <v>-2165.0</v>
      </c>
      <c r="N549" s="18">
        <v>0.0</v>
      </c>
      <c r="O549" s="18">
        <v>115.616</v>
      </c>
      <c r="P549" s="4"/>
    </row>
    <row r="550">
      <c r="A550" s="8" t="s">
        <v>557</v>
      </c>
      <c r="B550" s="9">
        <v>35.0</v>
      </c>
      <c r="C550" s="9" t="s">
        <v>460</v>
      </c>
      <c r="D550" s="9">
        <v>25.0</v>
      </c>
      <c r="E550" s="10">
        <v>1.0</v>
      </c>
      <c r="F550" s="9">
        <v>3.0</v>
      </c>
      <c r="G550" s="9">
        <v>1.0</v>
      </c>
      <c r="H550" s="9">
        <v>0.0</v>
      </c>
      <c r="I550" s="9">
        <v>0.0</v>
      </c>
      <c r="J550" s="17">
        <v>8505.0</v>
      </c>
      <c r="K550" s="18">
        <v>-2050.19</v>
      </c>
      <c r="L550" s="17">
        <v>-1985.0</v>
      </c>
      <c r="M550" s="18">
        <v>-1985.0</v>
      </c>
      <c r="N550" s="18">
        <v>0.0</v>
      </c>
      <c r="O550" s="18">
        <v>147.923</v>
      </c>
      <c r="P550" s="4"/>
    </row>
    <row r="551">
      <c r="A551" s="8" t="s">
        <v>558</v>
      </c>
      <c r="B551" s="9">
        <v>35.0</v>
      </c>
      <c r="C551" s="9" t="s">
        <v>460</v>
      </c>
      <c r="D551" s="9">
        <v>25.0</v>
      </c>
      <c r="E551" s="10">
        <v>1.0</v>
      </c>
      <c r="F551" s="9">
        <v>4.0</v>
      </c>
      <c r="G551" s="9">
        <v>1.0</v>
      </c>
      <c r="H551" s="9">
        <v>0.0</v>
      </c>
      <c r="I551" s="9">
        <v>0.0</v>
      </c>
      <c r="J551" s="17">
        <v>9625.0</v>
      </c>
      <c r="K551" s="18">
        <v>-2164.04</v>
      </c>
      <c r="L551" s="17">
        <v>-2056.0</v>
      </c>
      <c r="M551" s="18">
        <v>-2056.0</v>
      </c>
      <c r="N551" s="18">
        <v>0.0</v>
      </c>
      <c r="O551" s="18">
        <v>434.415</v>
      </c>
      <c r="P551" s="4"/>
    </row>
    <row r="552">
      <c r="A552" s="8" t="s">
        <v>559</v>
      </c>
      <c r="B552" s="9">
        <v>35.0</v>
      </c>
      <c r="C552" s="9" t="s">
        <v>460</v>
      </c>
      <c r="D552" s="9">
        <v>25.0</v>
      </c>
      <c r="E552" s="10">
        <v>1.0</v>
      </c>
      <c r="F552" s="9">
        <v>5.0</v>
      </c>
      <c r="G552" s="9">
        <v>1.0</v>
      </c>
      <c r="H552" s="9">
        <v>0.0</v>
      </c>
      <c r="I552" s="9">
        <v>0.0</v>
      </c>
      <c r="J552" s="17">
        <v>9100.0</v>
      </c>
      <c r="K552" s="18">
        <v>-2324.11</v>
      </c>
      <c r="L552" s="17">
        <v>-2152.0</v>
      </c>
      <c r="M552" s="18">
        <v>-2152.0</v>
      </c>
      <c r="N552" s="18">
        <v>0.0</v>
      </c>
      <c r="O552" s="18">
        <v>1236.78</v>
      </c>
      <c r="P552" s="4"/>
    </row>
    <row r="553">
      <c r="A553" s="8" t="s">
        <v>560</v>
      </c>
      <c r="B553" s="9">
        <v>35.0</v>
      </c>
      <c r="C553" s="9" t="s">
        <v>460</v>
      </c>
      <c r="D553" s="9">
        <v>25.0</v>
      </c>
      <c r="E553" s="10">
        <v>2.0</v>
      </c>
      <c r="F553" s="9">
        <v>1.0</v>
      </c>
      <c r="G553" s="9">
        <v>1.0</v>
      </c>
      <c r="H553" s="9">
        <v>0.0</v>
      </c>
      <c r="I553" s="9">
        <v>0.0</v>
      </c>
      <c r="J553" s="17">
        <v>65660.0</v>
      </c>
      <c r="K553" s="18">
        <v>16793.0</v>
      </c>
      <c r="L553" s="17">
        <v>16890.0</v>
      </c>
      <c r="M553" s="18">
        <v>16890.0</v>
      </c>
      <c r="N553" s="18">
        <v>0.0</v>
      </c>
      <c r="O553" s="18">
        <v>14.627</v>
      </c>
      <c r="P553" s="4"/>
    </row>
    <row r="554">
      <c r="A554" s="8" t="s">
        <v>561</v>
      </c>
      <c r="B554" s="9">
        <v>35.0</v>
      </c>
      <c r="C554" s="9" t="s">
        <v>460</v>
      </c>
      <c r="D554" s="9">
        <v>25.0</v>
      </c>
      <c r="E554" s="10">
        <v>2.0</v>
      </c>
      <c r="F554" s="9">
        <v>2.0</v>
      </c>
      <c r="G554" s="9">
        <v>1.0</v>
      </c>
      <c r="H554" s="9">
        <v>0.0</v>
      </c>
      <c r="I554" s="9">
        <v>0.0</v>
      </c>
      <c r="J554" s="17">
        <v>18981.0</v>
      </c>
      <c r="K554" s="18">
        <v>18981.0</v>
      </c>
      <c r="L554" s="17">
        <v>18981.0</v>
      </c>
      <c r="M554" s="18">
        <v>18981.0</v>
      </c>
      <c r="N554" s="18">
        <v>0.0</v>
      </c>
      <c r="O554" s="18">
        <v>1.239</v>
      </c>
      <c r="P554" s="4"/>
    </row>
    <row r="555">
      <c r="A555" s="8" t="s">
        <v>562</v>
      </c>
      <c r="B555" s="9">
        <v>35.0</v>
      </c>
      <c r="C555" s="9" t="s">
        <v>460</v>
      </c>
      <c r="D555" s="9">
        <v>25.0</v>
      </c>
      <c r="E555" s="10">
        <v>2.0</v>
      </c>
      <c r="F555" s="9">
        <v>3.0</v>
      </c>
      <c r="G555" s="9">
        <v>1.0</v>
      </c>
      <c r="H555" s="9">
        <v>0.0</v>
      </c>
      <c r="I555" s="9">
        <v>0.0</v>
      </c>
      <c r="J555" s="17">
        <v>60375.0</v>
      </c>
      <c r="K555" s="18">
        <v>15438.6</v>
      </c>
      <c r="L555" s="17">
        <v>15523.0</v>
      </c>
      <c r="M555" s="18">
        <v>15523.0</v>
      </c>
      <c r="N555" s="18">
        <v>0.0</v>
      </c>
      <c r="O555" s="18">
        <v>15.19</v>
      </c>
      <c r="P555" s="4"/>
    </row>
    <row r="556">
      <c r="A556" s="8" t="s">
        <v>563</v>
      </c>
      <c r="B556" s="9">
        <v>35.0</v>
      </c>
      <c r="C556" s="9" t="s">
        <v>460</v>
      </c>
      <c r="D556" s="9">
        <v>25.0</v>
      </c>
      <c r="E556" s="10">
        <v>2.0</v>
      </c>
      <c r="F556" s="9">
        <v>4.0</v>
      </c>
      <c r="G556" s="9">
        <v>1.0</v>
      </c>
      <c r="H556" s="9">
        <v>0.0</v>
      </c>
      <c r="I556" s="9">
        <v>0.0</v>
      </c>
      <c r="J556" s="17">
        <v>68215.0</v>
      </c>
      <c r="K556" s="18">
        <v>17506.2</v>
      </c>
      <c r="L556" s="17">
        <v>17535.0</v>
      </c>
      <c r="M556" s="18">
        <v>17535.0</v>
      </c>
      <c r="N556" s="18">
        <v>0.0</v>
      </c>
      <c r="O556" s="18">
        <v>2.777</v>
      </c>
      <c r="P556" s="4"/>
    </row>
    <row r="557">
      <c r="A557" s="8" t="s">
        <v>564</v>
      </c>
      <c r="B557" s="9">
        <v>35.0</v>
      </c>
      <c r="C557" s="9" t="s">
        <v>460</v>
      </c>
      <c r="D557" s="9">
        <v>25.0</v>
      </c>
      <c r="E557" s="10">
        <v>2.0</v>
      </c>
      <c r="F557" s="9">
        <v>5.0</v>
      </c>
      <c r="G557" s="9">
        <v>1.0</v>
      </c>
      <c r="H557" s="9">
        <v>0.0</v>
      </c>
      <c r="I557" s="9">
        <v>0.0</v>
      </c>
      <c r="J557" s="17">
        <v>64680.0</v>
      </c>
      <c r="K557" s="18">
        <v>16373.3</v>
      </c>
      <c r="L557" s="17">
        <v>16390.0</v>
      </c>
      <c r="M557" s="18">
        <v>16390.0</v>
      </c>
      <c r="N557" s="18">
        <v>0.0</v>
      </c>
      <c r="O557" s="18">
        <v>3.409</v>
      </c>
      <c r="P557" s="4"/>
    </row>
    <row r="558">
      <c r="A558" s="8" t="s">
        <v>565</v>
      </c>
      <c r="B558" s="9">
        <v>35.0</v>
      </c>
      <c r="C558" s="9" t="s">
        <v>460</v>
      </c>
      <c r="D558" s="9">
        <v>50.0</v>
      </c>
      <c r="E558" s="10">
        <v>0.6</v>
      </c>
      <c r="F558" s="9">
        <v>1.0</v>
      </c>
      <c r="G558" s="9">
        <v>1.0</v>
      </c>
      <c r="H558" s="9">
        <v>0.0</v>
      </c>
      <c r="I558" s="9">
        <v>0.0</v>
      </c>
      <c r="J558" s="17">
        <v>4235.0</v>
      </c>
      <c r="K558" s="18">
        <v>-7032.9</v>
      </c>
      <c r="L558" s="17">
        <v>-6984.0</v>
      </c>
      <c r="M558" s="18">
        <v>-6984.0</v>
      </c>
      <c r="N558" s="18">
        <v>0.0</v>
      </c>
      <c r="O558" s="18">
        <v>1105.32</v>
      </c>
      <c r="P558" s="4"/>
    </row>
    <row r="559">
      <c r="A559" s="8" t="s">
        <v>566</v>
      </c>
      <c r="B559" s="9">
        <v>35.0</v>
      </c>
      <c r="C559" s="9" t="s">
        <v>460</v>
      </c>
      <c r="D559" s="9">
        <v>50.0</v>
      </c>
      <c r="E559" s="10">
        <v>0.6</v>
      </c>
      <c r="F559" s="9">
        <v>2.0</v>
      </c>
      <c r="G559" s="9">
        <v>1.0</v>
      </c>
      <c r="H559" s="9">
        <v>0.0</v>
      </c>
      <c r="I559" s="9">
        <v>0.0</v>
      </c>
      <c r="J559" s="17">
        <v>4025.0</v>
      </c>
      <c r="K559" s="18">
        <v>-6670.35</v>
      </c>
      <c r="L559" s="17">
        <v>-6589.0</v>
      </c>
      <c r="M559" s="18">
        <v>-6589.0</v>
      </c>
      <c r="N559" s="18">
        <v>0.0</v>
      </c>
      <c r="O559" s="18">
        <v>1569.18</v>
      </c>
      <c r="P559" s="4"/>
    </row>
    <row r="560">
      <c r="A560" s="8" t="s">
        <v>567</v>
      </c>
      <c r="B560" s="9">
        <v>35.0</v>
      </c>
      <c r="C560" s="9" t="s">
        <v>460</v>
      </c>
      <c r="D560" s="9">
        <v>50.0</v>
      </c>
      <c r="E560" s="10">
        <v>0.6</v>
      </c>
      <c r="F560" s="9">
        <v>3.0</v>
      </c>
      <c r="G560" s="9">
        <v>1.0</v>
      </c>
      <c r="H560" s="9">
        <v>0.0</v>
      </c>
      <c r="I560" s="9">
        <v>0.0</v>
      </c>
      <c r="J560" s="17">
        <v>4410.0</v>
      </c>
      <c r="K560" s="18">
        <v>-7181.22</v>
      </c>
      <c r="L560" s="17">
        <v>-7135.0</v>
      </c>
      <c r="M560" s="18">
        <v>-7135.0</v>
      </c>
      <c r="N560" s="18">
        <v>0.0</v>
      </c>
      <c r="O560" s="18">
        <v>648.171</v>
      </c>
      <c r="P560" s="4"/>
    </row>
    <row r="561">
      <c r="A561" s="8" t="s">
        <v>568</v>
      </c>
      <c r="B561" s="9">
        <v>35.0</v>
      </c>
      <c r="C561" s="9" t="s">
        <v>460</v>
      </c>
      <c r="D561" s="9">
        <v>50.0</v>
      </c>
      <c r="E561" s="10">
        <v>0.6</v>
      </c>
      <c r="F561" s="9">
        <v>4.0</v>
      </c>
      <c r="G561" s="9">
        <v>1.0</v>
      </c>
      <c r="H561" s="9">
        <v>0.0</v>
      </c>
      <c r="I561" s="9">
        <v>0.0</v>
      </c>
      <c r="J561" s="17">
        <v>4375.0</v>
      </c>
      <c r="K561" s="18">
        <v>-7249.45</v>
      </c>
      <c r="L561" s="17">
        <v>-7233.0</v>
      </c>
      <c r="M561" s="18">
        <v>-7233.0</v>
      </c>
      <c r="N561" s="18">
        <v>0.0</v>
      </c>
      <c r="O561" s="18">
        <v>586.342</v>
      </c>
      <c r="P561" s="4"/>
    </row>
    <row r="562">
      <c r="A562" s="8" t="s">
        <v>569</v>
      </c>
      <c r="B562" s="9">
        <v>35.0</v>
      </c>
      <c r="C562" s="9" t="s">
        <v>460</v>
      </c>
      <c r="D562" s="9">
        <v>50.0</v>
      </c>
      <c r="E562" s="10">
        <v>0.6</v>
      </c>
      <c r="F562" s="9">
        <v>5.0</v>
      </c>
      <c r="G562" s="9">
        <v>1.0</v>
      </c>
      <c r="H562" s="9">
        <v>0.0</v>
      </c>
      <c r="I562" s="9">
        <v>0.0</v>
      </c>
      <c r="J562" s="17">
        <v>-7307.0</v>
      </c>
      <c r="K562" s="18">
        <v>-7307.0</v>
      </c>
      <c r="L562" s="17">
        <v>-7307.0</v>
      </c>
      <c r="M562" s="18">
        <v>-7307.0</v>
      </c>
      <c r="N562" s="18">
        <v>0.0</v>
      </c>
      <c r="O562" s="18">
        <v>133.018</v>
      </c>
      <c r="P562" s="4"/>
    </row>
    <row r="563">
      <c r="A563" s="8" t="s">
        <v>570</v>
      </c>
      <c r="B563" s="9">
        <v>35.0</v>
      </c>
      <c r="C563" s="9" t="s">
        <v>460</v>
      </c>
      <c r="D563" s="9">
        <v>50.0</v>
      </c>
      <c r="E563" s="10">
        <v>1.0</v>
      </c>
      <c r="F563" s="9">
        <v>1.0</v>
      </c>
      <c r="G563" s="9">
        <v>1.0</v>
      </c>
      <c r="H563" s="9">
        <v>0.0</v>
      </c>
      <c r="I563" s="9">
        <v>0.0</v>
      </c>
      <c r="J563" s="17">
        <v>18620.0</v>
      </c>
      <c r="K563" s="18">
        <v>-2724.23</v>
      </c>
      <c r="L563" s="17">
        <v>-2592.0</v>
      </c>
      <c r="M563" s="18">
        <v>-2592.0</v>
      </c>
      <c r="N563" s="18">
        <v>0.0</v>
      </c>
      <c r="O563" s="18">
        <v>813.03</v>
      </c>
      <c r="P563" s="4"/>
    </row>
    <row r="564">
      <c r="A564" s="8" t="s">
        <v>571</v>
      </c>
      <c r="B564" s="9">
        <v>35.0</v>
      </c>
      <c r="C564" s="9" t="s">
        <v>460</v>
      </c>
      <c r="D564" s="9">
        <v>50.0</v>
      </c>
      <c r="E564" s="10">
        <v>1.0</v>
      </c>
      <c r="F564" s="9">
        <v>2.0</v>
      </c>
      <c r="G564" s="9">
        <v>1.0</v>
      </c>
      <c r="H564" s="9">
        <v>0.0</v>
      </c>
      <c r="I564" s="9">
        <v>0.0</v>
      </c>
      <c r="J564" s="17">
        <v>17570.0</v>
      </c>
      <c r="K564" s="18">
        <v>-2568.43</v>
      </c>
      <c r="L564" s="17">
        <v>-2480.0</v>
      </c>
      <c r="M564" s="18">
        <v>-2480.0</v>
      </c>
      <c r="N564" s="18">
        <v>0.0</v>
      </c>
      <c r="O564" s="18">
        <v>301.052</v>
      </c>
      <c r="P564" s="4"/>
    </row>
    <row r="565">
      <c r="A565" s="8" t="s">
        <v>572</v>
      </c>
      <c r="B565" s="9">
        <v>35.0</v>
      </c>
      <c r="C565" s="9" t="s">
        <v>460</v>
      </c>
      <c r="D565" s="9">
        <v>50.0</v>
      </c>
      <c r="E565" s="10">
        <v>1.0</v>
      </c>
      <c r="F565" s="9">
        <v>3.0</v>
      </c>
      <c r="G565" s="9">
        <v>1.0</v>
      </c>
      <c r="H565" s="9">
        <v>0.0</v>
      </c>
      <c r="I565" s="9">
        <v>0.0</v>
      </c>
      <c r="J565" s="17">
        <v>19320.0</v>
      </c>
      <c r="K565" s="18">
        <v>-2683.31</v>
      </c>
      <c r="L565" s="17">
        <v>-2593.0</v>
      </c>
      <c r="M565" s="18">
        <v>-2593.0</v>
      </c>
      <c r="N565" s="18">
        <v>0.0</v>
      </c>
      <c r="O565" s="18">
        <v>385.591</v>
      </c>
      <c r="P565" s="4"/>
    </row>
    <row r="566">
      <c r="A566" s="8" t="s">
        <v>573</v>
      </c>
      <c r="B566" s="9">
        <v>35.0</v>
      </c>
      <c r="C566" s="9" t="s">
        <v>460</v>
      </c>
      <c r="D566" s="9">
        <v>50.0</v>
      </c>
      <c r="E566" s="10">
        <v>1.0</v>
      </c>
      <c r="F566" s="9">
        <v>4.0</v>
      </c>
      <c r="G566" s="9">
        <v>0.0</v>
      </c>
      <c r="H566" s="9">
        <v>1.0</v>
      </c>
      <c r="I566" s="9">
        <v>0.0</v>
      </c>
      <c r="J566" s="17">
        <v>19180.0</v>
      </c>
      <c r="K566" s="18">
        <v>-2652.55</v>
      </c>
      <c r="L566" s="17">
        <v>-2433.0</v>
      </c>
      <c r="M566" s="18">
        <v>-2450.1</v>
      </c>
      <c r="N566" s="18">
        <v>0.702836</v>
      </c>
      <c r="O566" s="18">
        <v>3600.0</v>
      </c>
      <c r="P566" s="4"/>
    </row>
    <row r="567">
      <c r="A567" s="8" t="s">
        <v>574</v>
      </c>
      <c r="B567" s="9">
        <v>35.0</v>
      </c>
      <c r="C567" s="9" t="s">
        <v>460</v>
      </c>
      <c r="D567" s="9">
        <v>50.0</v>
      </c>
      <c r="E567" s="10">
        <v>1.0</v>
      </c>
      <c r="F567" s="9">
        <v>5.0</v>
      </c>
      <c r="G567" s="9">
        <v>1.0</v>
      </c>
      <c r="H567" s="9">
        <v>0.0</v>
      </c>
      <c r="I567" s="9">
        <v>0.0</v>
      </c>
      <c r="J567" s="17">
        <v>18340.0</v>
      </c>
      <c r="K567" s="18">
        <v>-3056.33</v>
      </c>
      <c r="L567" s="17">
        <v>-3012.0</v>
      </c>
      <c r="M567" s="18">
        <v>-3012.0</v>
      </c>
      <c r="N567" s="18">
        <v>0.0</v>
      </c>
      <c r="O567" s="18">
        <v>185.112</v>
      </c>
      <c r="P567" s="4"/>
    </row>
    <row r="568">
      <c r="A568" s="8" t="s">
        <v>575</v>
      </c>
      <c r="B568" s="9">
        <v>35.0</v>
      </c>
      <c r="C568" s="9" t="s">
        <v>460</v>
      </c>
      <c r="D568" s="9">
        <v>50.0</v>
      </c>
      <c r="E568" s="10">
        <v>2.0</v>
      </c>
      <c r="F568" s="9">
        <v>1.0</v>
      </c>
      <c r="G568" s="9">
        <v>1.0</v>
      </c>
      <c r="H568" s="9">
        <v>0.0</v>
      </c>
      <c r="I568" s="9">
        <v>0.0</v>
      </c>
      <c r="J568" s="17">
        <v>132230.0</v>
      </c>
      <c r="K568" s="18">
        <v>34803.3</v>
      </c>
      <c r="L568" s="17">
        <v>34944.0</v>
      </c>
      <c r="M568" s="18">
        <v>34944.0</v>
      </c>
      <c r="N568" s="18">
        <v>0.0</v>
      </c>
      <c r="O568" s="18">
        <v>26.752</v>
      </c>
      <c r="P568" s="4"/>
    </row>
    <row r="569">
      <c r="A569" s="8" t="s">
        <v>576</v>
      </c>
      <c r="B569" s="9">
        <v>35.0</v>
      </c>
      <c r="C569" s="9" t="s">
        <v>460</v>
      </c>
      <c r="D569" s="9">
        <v>50.0</v>
      </c>
      <c r="E569" s="10">
        <v>2.0</v>
      </c>
      <c r="F569" s="9">
        <v>2.0</v>
      </c>
      <c r="G569" s="9">
        <v>1.0</v>
      </c>
      <c r="H569" s="9">
        <v>0.0</v>
      </c>
      <c r="I569" s="9">
        <v>0.0</v>
      </c>
      <c r="J569" s="17">
        <v>124880.0</v>
      </c>
      <c r="K569" s="18">
        <v>32995.7</v>
      </c>
      <c r="L569" s="17">
        <v>33016.0</v>
      </c>
      <c r="M569" s="18">
        <v>33016.0</v>
      </c>
      <c r="N569" s="18">
        <v>0.0</v>
      </c>
      <c r="O569" s="18">
        <v>2.822</v>
      </c>
      <c r="P569" s="4"/>
    </row>
    <row r="570">
      <c r="A570" s="8" t="s">
        <v>577</v>
      </c>
      <c r="B570" s="9">
        <v>35.0</v>
      </c>
      <c r="C570" s="9" t="s">
        <v>460</v>
      </c>
      <c r="D570" s="9">
        <v>50.0</v>
      </c>
      <c r="E570" s="10">
        <v>2.0</v>
      </c>
      <c r="F570" s="9">
        <v>3.0</v>
      </c>
      <c r="G570" s="9">
        <v>1.0</v>
      </c>
      <c r="H570" s="9">
        <v>0.0</v>
      </c>
      <c r="I570" s="9">
        <v>0.0</v>
      </c>
      <c r="J570" s="17">
        <v>137410.0</v>
      </c>
      <c r="K570" s="18">
        <v>36096.2</v>
      </c>
      <c r="L570" s="17">
        <v>36237.0</v>
      </c>
      <c r="M570" s="18">
        <v>36237.0</v>
      </c>
      <c r="N570" s="18">
        <v>0.0</v>
      </c>
      <c r="O570" s="18">
        <v>61.856</v>
      </c>
      <c r="P570" s="4"/>
    </row>
    <row r="571">
      <c r="A571" s="8" t="s">
        <v>578</v>
      </c>
      <c r="B571" s="9">
        <v>35.0</v>
      </c>
      <c r="C571" s="9" t="s">
        <v>460</v>
      </c>
      <c r="D571" s="9">
        <v>50.0</v>
      </c>
      <c r="E571" s="10">
        <v>2.0</v>
      </c>
      <c r="F571" s="9">
        <v>4.0</v>
      </c>
      <c r="G571" s="9">
        <v>1.0</v>
      </c>
      <c r="H571" s="9">
        <v>0.0</v>
      </c>
      <c r="I571" s="9">
        <v>0.0</v>
      </c>
      <c r="J571" s="17">
        <v>136185.0</v>
      </c>
      <c r="K571" s="18">
        <v>36230.7</v>
      </c>
      <c r="L571" s="17">
        <v>36423.0</v>
      </c>
      <c r="M571" s="18">
        <v>36423.0</v>
      </c>
      <c r="N571" s="18">
        <v>0.0</v>
      </c>
      <c r="O571" s="18">
        <v>44.392</v>
      </c>
      <c r="P571" s="4"/>
    </row>
    <row r="572">
      <c r="A572" s="8" t="s">
        <v>579</v>
      </c>
      <c r="B572" s="9">
        <v>35.0</v>
      </c>
      <c r="C572" s="9" t="s">
        <v>460</v>
      </c>
      <c r="D572" s="9">
        <v>50.0</v>
      </c>
      <c r="E572" s="10">
        <v>2.0</v>
      </c>
      <c r="F572" s="9">
        <v>5.0</v>
      </c>
      <c r="G572" s="9">
        <v>1.0</v>
      </c>
      <c r="H572" s="9">
        <v>0.0</v>
      </c>
      <c r="I572" s="9">
        <v>0.0</v>
      </c>
      <c r="J572" s="17">
        <v>34023.0</v>
      </c>
      <c r="K572" s="18">
        <v>34023.0</v>
      </c>
      <c r="L572" s="17">
        <v>34023.0</v>
      </c>
      <c r="M572" s="18">
        <v>34023.0</v>
      </c>
      <c r="N572" s="18">
        <v>0.0</v>
      </c>
      <c r="O572" s="18">
        <v>2.08</v>
      </c>
      <c r="P572" s="4"/>
    </row>
    <row r="573">
      <c r="A573" s="8" t="s">
        <v>580</v>
      </c>
      <c r="B573" s="9">
        <v>35.0</v>
      </c>
      <c r="C573" s="9" t="s">
        <v>460</v>
      </c>
      <c r="D573" s="9">
        <v>75.0</v>
      </c>
      <c r="E573" s="10">
        <v>0.6</v>
      </c>
      <c r="F573" s="9">
        <v>1.0</v>
      </c>
      <c r="G573" s="9">
        <v>0.0</v>
      </c>
      <c r="H573" s="9">
        <v>1.0</v>
      </c>
      <c r="I573" s="9">
        <v>0.0</v>
      </c>
      <c r="J573" s="17">
        <v>6545.0</v>
      </c>
      <c r="K573" s="18">
        <v>-9618.32</v>
      </c>
      <c r="L573" s="17">
        <v>-9267.0</v>
      </c>
      <c r="M573" s="18">
        <v>-9513.37</v>
      </c>
      <c r="N573" s="18">
        <v>2.65861</v>
      </c>
      <c r="O573" s="18">
        <v>3600.0</v>
      </c>
      <c r="P573" s="4"/>
    </row>
    <row r="574">
      <c r="A574" s="8" t="s">
        <v>581</v>
      </c>
      <c r="B574" s="9">
        <v>35.0</v>
      </c>
      <c r="C574" s="9" t="s">
        <v>460</v>
      </c>
      <c r="D574" s="9">
        <v>75.0</v>
      </c>
      <c r="E574" s="10">
        <v>0.6</v>
      </c>
      <c r="F574" s="9">
        <v>2.0</v>
      </c>
      <c r="G574" s="9">
        <v>0.0</v>
      </c>
      <c r="H574" s="9">
        <v>1.0</v>
      </c>
      <c r="I574" s="9">
        <v>0.0</v>
      </c>
      <c r="J574" s="17">
        <v>6405.0</v>
      </c>
      <c r="K574" s="18">
        <v>-9706.68</v>
      </c>
      <c r="L574" s="17">
        <v>-9604.0</v>
      </c>
      <c r="M574" s="18">
        <v>-9606.35</v>
      </c>
      <c r="N574" s="18">
        <v>0.0244463</v>
      </c>
      <c r="O574" s="18">
        <v>3600.0</v>
      </c>
      <c r="P574" s="4"/>
    </row>
    <row r="575">
      <c r="A575" s="8" t="s">
        <v>582</v>
      </c>
      <c r="B575" s="9">
        <v>35.0</v>
      </c>
      <c r="C575" s="9" t="s">
        <v>460</v>
      </c>
      <c r="D575" s="9">
        <v>75.0</v>
      </c>
      <c r="E575" s="10">
        <v>0.6</v>
      </c>
      <c r="F575" s="9">
        <v>3.0</v>
      </c>
      <c r="G575" s="9">
        <v>1.0</v>
      </c>
      <c r="H575" s="9">
        <v>0.0</v>
      </c>
      <c r="I575" s="9">
        <v>0.0</v>
      </c>
      <c r="J575" s="17">
        <v>6020.0</v>
      </c>
      <c r="K575" s="18">
        <v>-9419.0</v>
      </c>
      <c r="L575" s="17">
        <v>-9368.0</v>
      </c>
      <c r="M575" s="18">
        <v>-9368.0</v>
      </c>
      <c r="N575" s="18">
        <v>0.0</v>
      </c>
      <c r="O575" s="18">
        <v>1304.21</v>
      </c>
      <c r="P575" s="4"/>
    </row>
    <row r="576">
      <c r="A576" s="8" t="s">
        <v>583</v>
      </c>
      <c r="B576" s="9">
        <v>35.0</v>
      </c>
      <c r="C576" s="9" t="s">
        <v>460</v>
      </c>
      <c r="D576" s="9">
        <v>75.0</v>
      </c>
      <c r="E576" s="10">
        <v>0.6</v>
      </c>
      <c r="F576" s="9">
        <v>4.0</v>
      </c>
      <c r="G576" s="9">
        <v>1.0</v>
      </c>
      <c r="H576" s="9">
        <v>0.0</v>
      </c>
      <c r="I576" s="9">
        <v>0.0</v>
      </c>
      <c r="J576" s="17">
        <v>-9786.0</v>
      </c>
      <c r="K576" s="18">
        <v>-9786.0</v>
      </c>
      <c r="L576" s="17">
        <v>-9786.0</v>
      </c>
      <c r="M576" s="18">
        <v>-9786.0</v>
      </c>
      <c r="N576" s="18">
        <v>0.0</v>
      </c>
      <c r="O576" s="18">
        <v>318.718</v>
      </c>
      <c r="P576" s="4"/>
    </row>
    <row r="577">
      <c r="A577" s="8" t="s">
        <v>584</v>
      </c>
      <c r="B577" s="9">
        <v>35.0</v>
      </c>
      <c r="C577" s="9" t="s">
        <v>460</v>
      </c>
      <c r="D577" s="9">
        <v>75.0</v>
      </c>
      <c r="E577" s="10">
        <v>0.6</v>
      </c>
      <c r="F577" s="9">
        <v>5.0</v>
      </c>
      <c r="G577" s="9">
        <v>1.0</v>
      </c>
      <c r="H577" s="9">
        <v>0.0</v>
      </c>
      <c r="I577" s="9">
        <v>0.0</v>
      </c>
      <c r="J577" s="17">
        <v>6790.0</v>
      </c>
      <c r="K577" s="18">
        <v>-9949.09</v>
      </c>
      <c r="L577" s="17">
        <v>-9890.0</v>
      </c>
      <c r="M577" s="18">
        <v>-9890.0</v>
      </c>
      <c r="N577" s="18">
        <v>0.0</v>
      </c>
      <c r="O577" s="18">
        <v>2239.42</v>
      </c>
      <c r="P577" s="4"/>
    </row>
    <row r="578">
      <c r="A578" s="8" t="s">
        <v>585</v>
      </c>
      <c r="B578" s="9">
        <v>35.0</v>
      </c>
      <c r="C578" s="9" t="s">
        <v>460</v>
      </c>
      <c r="D578" s="9">
        <v>75.0</v>
      </c>
      <c r="E578" s="10">
        <v>1.0</v>
      </c>
      <c r="F578" s="9">
        <v>1.0</v>
      </c>
      <c r="G578" s="9">
        <v>0.0</v>
      </c>
      <c r="H578" s="9">
        <v>1.0</v>
      </c>
      <c r="I578" s="9">
        <v>0.0</v>
      </c>
      <c r="J578" s="17">
        <v>28665.0</v>
      </c>
      <c r="K578" s="18">
        <v>-2845.7</v>
      </c>
      <c r="L578" s="17">
        <v>-2555.0</v>
      </c>
      <c r="M578" s="18">
        <v>-2644.13</v>
      </c>
      <c r="N578" s="18">
        <v>3.48858</v>
      </c>
      <c r="O578" s="18">
        <v>3600.0</v>
      </c>
      <c r="P578" s="4"/>
    </row>
    <row r="579">
      <c r="A579" s="8" t="s">
        <v>586</v>
      </c>
      <c r="B579" s="9">
        <v>35.0</v>
      </c>
      <c r="C579" s="9" t="s">
        <v>460</v>
      </c>
      <c r="D579" s="9">
        <v>75.0</v>
      </c>
      <c r="E579" s="10">
        <v>1.0</v>
      </c>
      <c r="F579" s="9">
        <v>2.0</v>
      </c>
      <c r="G579" s="9">
        <v>1.0</v>
      </c>
      <c r="H579" s="9">
        <v>0.0</v>
      </c>
      <c r="I579" s="9">
        <v>0.0</v>
      </c>
      <c r="J579" s="17">
        <v>28140.0</v>
      </c>
      <c r="K579" s="18">
        <v>-3028.96</v>
      </c>
      <c r="L579" s="17">
        <v>-2866.0</v>
      </c>
      <c r="M579" s="18">
        <v>-2866.0</v>
      </c>
      <c r="N579" s="18">
        <v>0.0</v>
      </c>
      <c r="O579" s="18">
        <v>1667.88</v>
      </c>
      <c r="P579" s="4"/>
    </row>
    <row r="580">
      <c r="A580" s="8" t="s">
        <v>587</v>
      </c>
      <c r="B580" s="9">
        <v>35.0</v>
      </c>
      <c r="C580" s="9" t="s">
        <v>460</v>
      </c>
      <c r="D580" s="9">
        <v>75.0</v>
      </c>
      <c r="E580" s="10">
        <v>1.0</v>
      </c>
      <c r="F580" s="9">
        <v>3.0</v>
      </c>
      <c r="G580" s="9">
        <v>1.0</v>
      </c>
      <c r="H580" s="9">
        <v>0.0</v>
      </c>
      <c r="I580" s="9">
        <v>0.0</v>
      </c>
      <c r="J580" s="17">
        <v>26355.0</v>
      </c>
      <c r="K580" s="18">
        <v>-3178.29</v>
      </c>
      <c r="L580" s="17">
        <v>-2985.0</v>
      </c>
      <c r="M580" s="18">
        <v>-2985.0</v>
      </c>
      <c r="N580" s="18">
        <v>0.0</v>
      </c>
      <c r="O580" s="18">
        <v>3333.23</v>
      </c>
      <c r="P580" s="4"/>
    </row>
    <row r="581">
      <c r="A581" s="8" t="s">
        <v>588</v>
      </c>
      <c r="B581" s="9">
        <v>35.0</v>
      </c>
      <c r="C581" s="9" t="s">
        <v>460</v>
      </c>
      <c r="D581" s="9">
        <v>75.0</v>
      </c>
      <c r="E581" s="10">
        <v>1.0</v>
      </c>
      <c r="F581" s="9">
        <v>4.0</v>
      </c>
      <c r="G581" s="9">
        <v>1.0</v>
      </c>
      <c r="H581" s="9">
        <v>0.0</v>
      </c>
      <c r="I581" s="9">
        <v>0.0</v>
      </c>
      <c r="J581" s="17">
        <v>28700.0</v>
      </c>
      <c r="K581" s="18">
        <v>-2885.5</v>
      </c>
      <c r="L581" s="17">
        <v>-2721.0</v>
      </c>
      <c r="M581" s="18">
        <v>-2721.0</v>
      </c>
      <c r="N581" s="18">
        <v>0.0</v>
      </c>
      <c r="O581" s="18">
        <v>2543.29</v>
      </c>
      <c r="P581" s="4"/>
    </row>
    <row r="582">
      <c r="A582" s="8" t="s">
        <v>589</v>
      </c>
      <c r="B582" s="9">
        <v>35.0</v>
      </c>
      <c r="C582" s="9" t="s">
        <v>460</v>
      </c>
      <c r="D582" s="9">
        <v>75.0</v>
      </c>
      <c r="E582" s="10">
        <v>1.0</v>
      </c>
      <c r="F582" s="9">
        <v>5.0</v>
      </c>
      <c r="G582" s="9">
        <v>1.0</v>
      </c>
      <c r="H582" s="9">
        <v>0.0</v>
      </c>
      <c r="I582" s="9">
        <v>0.0</v>
      </c>
      <c r="J582" s="17">
        <v>29785.0</v>
      </c>
      <c r="K582" s="18">
        <v>-2856.83</v>
      </c>
      <c r="L582" s="17">
        <v>-2712.0</v>
      </c>
      <c r="M582" s="18">
        <v>-2712.0</v>
      </c>
      <c r="N582" s="18">
        <v>0.0</v>
      </c>
      <c r="O582" s="18">
        <v>1167.82</v>
      </c>
      <c r="P582" s="4"/>
    </row>
    <row r="583">
      <c r="A583" s="8" t="s">
        <v>590</v>
      </c>
      <c r="B583" s="9">
        <v>35.0</v>
      </c>
      <c r="C583" s="9" t="s">
        <v>460</v>
      </c>
      <c r="D583" s="9">
        <v>75.0</v>
      </c>
      <c r="E583" s="10">
        <v>2.0</v>
      </c>
      <c r="F583" s="9">
        <v>1.0</v>
      </c>
      <c r="G583" s="9">
        <v>1.0</v>
      </c>
      <c r="H583" s="9">
        <v>0.0</v>
      </c>
      <c r="I583" s="9">
        <v>0.0</v>
      </c>
      <c r="J583" s="17">
        <v>203770.0</v>
      </c>
      <c r="K583" s="18">
        <v>54667.8</v>
      </c>
      <c r="L583" s="17">
        <v>54722.0</v>
      </c>
      <c r="M583" s="18">
        <v>54722.0</v>
      </c>
      <c r="N583" s="18">
        <v>0.0</v>
      </c>
      <c r="O583" s="18">
        <v>6.149</v>
      </c>
      <c r="P583" s="4"/>
    </row>
    <row r="584">
      <c r="A584" s="8" t="s">
        <v>591</v>
      </c>
      <c r="B584" s="9">
        <v>35.0</v>
      </c>
      <c r="C584" s="9" t="s">
        <v>460</v>
      </c>
      <c r="D584" s="9">
        <v>75.0</v>
      </c>
      <c r="E584" s="10">
        <v>2.0</v>
      </c>
      <c r="F584" s="9">
        <v>2.0</v>
      </c>
      <c r="G584" s="9">
        <v>1.0</v>
      </c>
      <c r="H584" s="9">
        <v>0.0</v>
      </c>
      <c r="I584" s="9">
        <v>0.0</v>
      </c>
      <c r="J584" s="17">
        <v>200060.0</v>
      </c>
      <c r="K584" s="18">
        <v>53349.2</v>
      </c>
      <c r="L584" s="17">
        <v>53411.0</v>
      </c>
      <c r="M584" s="18">
        <v>53411.0</v>
      </c>
      <c r="N584" s="18">
        <v>0.0</v>
      </c>
      <c r="O584" s="18">
        <v>6.427</v>
      </c>
      <c r="P584" s="4"/>
    </row>
    <row r="585">
      <c r="A585" s="8" t="s">
        <v>592</v>
      </c>
      <c r="B585" s="9">
        <v>35.0</v>
      </c>
      <c r="C585" s="9" t="s">
        <v>460</v>
      </c>
      <c r="D585" s="9">
        <v>75.0</v>
      </c>
      <c r="E585" s="10">
        <v>2.0</v>
      </c>
      <c r="F585" s="9">
        <v>3.0</v>
      </c>
      <c r="G585" s="9">
        <v>1.0</v>
      </c>
      <c r="H585" s="9">
        <v>0.0</v>
      </c>
      <c r="I585" s="9">
        <v>0.0</v>
      </c>
      <c r="J585" s="17">
        <v>50045.0</v>
      </c>
      <c r="K585" s="18">
        <v>50045.0</v>
      </c>
      <c r="L585" s="17">
        <v>50045.0</v>
      </c>
      <c r="M585" s="18">
        <v>50045.0</v>
      </c>
      <c r="N585" s="18">
        <v>0.0</v>
      </c>
      <c r="O585" s="18">
        <v>1.689</v>
      </c>
      <c r="P585" s="4"/>
    </row>
    <row r="586">
      <c r="A586" s="8" t="s">
        <v>593</v>
      </c>
      <c r="B586" s="9">
        <v>35.0</v>
      </c>
      <c r="C586" s="9" t="s">
        <v>460</v>
      </c>
      <c r="D586" s="9">
        <v>75.0</v>
      </c>
      <c r="E586" s="10">
        <v>2.0</v>
      </c>
      <c r="F586" s="9">
        <v>4.0</v>
      </c>
      <c r="G586" s="9">
        <v>1.0</v>
      </c>
      <c r="H586" s="9">
        <v>0.0</v>
      </c>
      <c r="I586" s="9">
        <v>0.0</v>
      </c>
      <c r="J586" s="17">
        <v>203910.0</v>
      </c>
      <c r="K586" s="18">
        <v>55010.1</v>
      </c>
      <c r="L586" s="17">
        <v>55084.0</v>
      </c>
      <c r="M586" s="18">
        <v>55084.0</v>
      </c>
      <c r="N586" s="18">
        <v>0.0</v>
      </c>
      <c r="O586" s="18">
        <v>9.415</v>
      </c>
      <c r="P586" s="4"/>
    </row>
    <row r="587">
      <c r="A587" s="8" t="s">
        <v>594</v>
      </c>
      <c r="B587" s="9">
        <v>35.0</v>
      </c>
      <c r="C587" s="9" t="s">
        <v>460</v>
      </c>
      <c r="D587" s="9">
        <v>75.0</v>
      </c>
      <c r="E587" s="10">
        <v>2.0</v>
      </c>
      <c r="F587" s="9">
        <v>5.0</v>
      </c>
      <c r="G587" s="9">
        <v>1.0</v>
      </c>
      <c r="H587" s="9">
        <v>0.0</v>
      </c>
      <c r="I587" s="9">
        <v>0.0</v>
      </c>
      <c r="J587" s="17">
        <v>211715.0</v>
      </c>
      <c r="K587" s="18">
        <v>56873.7</v>
      </c>
      <c r="L587" s="17">
        <v>56987.0</v>
      </c>
      <c r="M587" s="18">
        <v>56987.0</v>
      </c>
      <c r="N587" s="18">
        <v>0.0</v>
      </c>
      <c r="O587" s="18">
        <v>35.756</v>
      </c>
      <c r="P587" s="4"/>
    </row>
    <row r="588">
      <c r="A588" s="8" t="s">
        <v>595</v>
      </c>
      <c r="B588" s="9">
        <v>40.0</v>
      </c>
      <c r="C588" s="9" t="s">
        <v>460</v>
      </c>
      <c r="D588" s="9">
        <v>25.0</v>
      </c>
      <c r="E588" s="10">
        <v>0.6</v>
      </c>
      <c r="F588" s="9">
        <v>1.0</v>
      </c>
      <c r="G588" s="9">
        <v>1.0</v>
      </c>
      <c r="H588" s="9">
        <v>0.0</v>
      </c>
      <c r="I588" s="9">
        <v>0.0</v>
      </c>
      <c r="J588" s="17">
        <v>-5261.0</v>
      </c>
      <c r="K588" s="18">
        <v>-5261.0</v>
      </c>
      <c r="L588" s="17">
        <v>-5261.0</v>
      </c>
      <c r="M588" s="18">
        <v>-5261.0</v>
      </c>
      <c r="N588" s="18">
        <v>0.0</v>
      </c>
      <c r="O588" s="18">
        <v>148.85</v>
      </c>
      <c r="P588" s="4"/>
    </row>
    <row r="589">
      <c r="A589" s="8" t="s">
        <v>596</v>
      </c>
      <c r="B589" s="9">
        <v>40.0</v>
      </c>
      <c r="C589" s="9" t="s">
        <v>460</v>
      </c>
      <c r="D589" s="9">
        <v>25.0</v>
      </c>
      <c r="E589" s="10">
        <v>0.6</v>
      </c>
      <c r="F589" s="9">
        <v>2.0</v>
      </c>
      <c r="G589" s="9">
        <v>0.0</v>
      </c>
      <c r="H589" s="9">
        <v>1.0</v>
      </c>
      <c r="I589" s="9">
        <v>0.0</v>
      </c>
      <c r="J589" s="17">
        <v>2360.0</v>
      </c>
      <c r="K589" s="18">
        <v>-5475.44</v>
      </c>
      <c r="L589" s="17">
        <v>-5361.0</v>
      </c>
      <c r="M589" s="18">
        <v>-5381.0</v>
      </c>
      <c r="N589" s="18">
        <v>0.373065</v>
      </c>
      <c r="O589" s="18">
        <v>3600.0</v>
      </c>
      <c r="P589" s="4"/>
    </row>
    <row r="590">
      <c r="A590" s="8" t="s">
        <v>597</v>
      </c>
      <c r="B590" s="9">
        <v>40.0</v>
      </c>
      <c r="C590" s="9" t="s">
        <v>460</v>
      </c>
      <c r="D590" s="9">
        <v>25.0</v>
      </c>
      <c r="E590" s="10">
        <v>0.6</v>
      </c>
      <c r="F590" s="9">
        <v>3.0</v>
      </c>
      <c r="G590" s="9">
        <v>1.0</v>
      </c>
      <c r="H590" s="9">
        <v>0.0</v>
      </c>
      <c r="I590" s="9">
        <v>0.0</v>
      </c>
      <c r="J590" s="17">
        <v>2640.0</v>
      </c>
      <c r="K590" s="18">
        <v>-5970.75</v>
      </c>
      <c r="L590" s="17">
        <v>-5897.0</v>
      </c>
      <c r="M590" s="18">
        <v>-5897.0</v>
      </c>
      <c r="N590" s="18">
        <v>0.0</v>
      </c>
      <c r="O590" s="18">
        <v>2502.17</v>
      </c>
      <c r="P590" s="4"/>
    </row>
    <row r="591">
      <c r="A591" s="8" t="s">
        <v>598</v>
      </c>
      <c r="B591" s="9">
        <v>40.0</v>
      </c>
      <c r="C591" s="9" t="s">
        <v>460</v>
      </c>
      <c r="D591" s="9">
        <v>25.0</v>
      </c>
      <c r="E591" s="10">
        <v>0.6</v>
      </c>
      <c r="F591" s="9">
        <v>4.0</v>
      </c>
      <c r="G591" s="9">
        <v>1.0</v>
      </c>
      <c r="H591" s="9">
        <v>0.0</v>
      </c>
      <c r="I591" s="9">
        <v>0.0</v>
      </c>
      <c r="J591" s="17">
        <v>2680.0</v>
      </c>
      <c r="K591" s="18">
        <v>-6100.78</v>
      </c>
      <c r="L591" s="17">
        <v>-6075.0</v>
      </c>
      <c r="M591" s="18">
        <v>-6075.0</v>
      </c>
      <c r="N591" s="18">
        <v>0.0</v>
      </c>
      <c r="O591" s="18">
        <v>825.031</v>
      </c>
      <c r="P591" s="4"/>
    </row>
    <row r="592">
      <c r="A592" s="8" t="s">
        <v>599</v>
      </c>
      <c r="B592" s="9">
        <v>40.0</v>
      </c>
      <c r="C592" s="9" t="s">
        <v>460</v>
      </c>
      <c r="D592" s="9">
        <v>25.0</v>
      </c>
      <c r="E592" s="10">
        <v>0.6</v>
      </c>
      <c r="F592" s="9">
        <v>5.0</v>
      </c>
      <c r="G592" s="9">
        <v>1.0</v>
      </c>
      <c r="H592" s="9">
        <v>0.0</v>
      </c>
      <c r="I592" s="9">
        <v>0.0</v>
      </c>
      <c r="J592" s="17">
        <v>2400.0</v>
      </c>
      <c r="K592" s="18">
        <v>-5421.49</v>
      </c>
      <c r="L592" s="17">
        <v>-5391.0</v>
      </c>
      <c r="M592" s="18">
        <v>-5391.0</v>
      </c>
      <c r="N592" s="18">
        <v>0.0</v>
      </c>
      <c r="O592" s="18">
        <v>645.071</v>
      </c>
      <c r="P592" s="4"/>
    </row>
    <row r="593">
      <c r="A593" s="8" t="s">
        <v>600</v>
      </c>
      <c r="B593" s="9">
        <v>40.0</v>
      </c>
      <c r="C593" s="9" t="s">
        <v>460</v>
      </c>
      <c r="D593" s="9">
        <v>25.0</v>
      </c>
      <c r="E593" s="10">
        <v>1.0</v>
      </c>
      <c r="F593" s="9">
        <v>1.0</v>
      </c>
      <c r="G593" s="9">
        <v>1.0</v>
      </c>
      <c r="H593" s="9">
        <v>0.0</v>
      </c>
      <c r="I593" s="9">
        <v>0.0</v>
      </c>
      <c r="J593" s="17">
        <v>9640.0</v>
      </c>
      <c r="K593" s="18">
        <v>-3097.82</v>
      </c>
      <c r="L593" s="17">
        <v>-2989.0</v>
      </c>
      <c r="M593" s="18">
        <v>-2989.0</v>
      </c>
      <c r="N593" s="18">
        <v>0.0</v>
      </c>
      <c r="O593" s="18">
        <v>1219.65</v>
      </c>
      <c r="P593" s="4"/>
    </row>
    <row r="594">
      <c r="A594" s="8" t="s">
        <v>601</v>
      </c>
      <c r="B594" s="9">
        <v>40.0</v>
      </c>
      <c r="C594" s="9" t="s">
        <v>460</v>
      </c>
      <c r="D594" s="9">
        <v>25.0</v>
      </c>
      <c r="E594" s="10">
        <v>1.0</v>
      </c>
      <c r="F594" s="9">
        <v>2.0</v>
      </c>
      <c r="G594" s="9">
        <v>0.0</v>
      </c>
      <c r="H594" s="9">
        <v>1.0</v>
      </c>
      <c r="I594" s="9">
        <v>0.0</v>
      </c>
      <c r="J594" s="17">
        <v>10440.0</v>
      </c>
      <c r="K594" s="18">
        <v>-3195.69</v>
      </c>
      <c r="L594" s="17">
        <v>-2855.0</v>
      </c>
      <c r="M594" s="18">
        <v>-3050.0</v>
      </c>
      <c r="N594" s="18">
        <v>6.83012</v>
      </c>
      <c r="O594" s="18">
        <v>3600.0</v>
      </c>
      <c r="P594" s="4"/>
    </row>
    <row r="595">
      <c r="A595" s="8" t="s">
        <v>602</v>
      </c>
      <c r="B595" s="9">
        <v>40.0</v>
      </c>
      <c r="C595" s="9" t="s">
        <v>460</v>
      </c>
      <c r="D595" s="9">
        <v>25.0</v>
      </c>
      <c r="E595" s="10">
        <v>1.0</v>
      </c>
      <c r="F595" s="9">
        <v>3.0</v>
      </c>
      <c r="G595" s="9">
        <v>1.0</v>
      </c>
      <c r="H595" s="9">
        <v>0.0</v>
      </c>
      <c r="I595" s="9">
        <v>0.0</v>
      </c>
      <c r="J595" s="17">
        <v>11640.0</v>
      </c>
      <c r="K595" s="18">
        <v>-3456.94</v>
      </c>
      <c r="L595" s="17">
        <v>-3372.0</v>
      </c>
      <c r="M595" s="18">
        <v>-3372.0</v>
      </c>
      <c r="N595" s="18">
        <v>0.0</v>
      </c>
      <c r="O595" s="18">
        <v>1253.24</v>
      </c>
      <c r="P595" s="4"/>
    </row>
    <row r="596">
      <c r="A596" s="8" t="s">
        <v>603</v>
      </c>
      <c r="B596" s="9">
        <v>40.0</v>
      </c>
      <c r="C596" s="9" t="s">
        <v>460</v>
      </c>
      <c r="D596" s="9">
        <v>25.0</v>
      </c>
      <c r="E596" s="10">
        <v>1.0</v>
      </c>
      <c r="F596" s="9">
        <v>4.0</v>
      </c>
      <c r="G596" s="9">
        <v>1.0</v>
      </c>
      <c r="H596" s="9">
        <v>0.0</v>
      </c>
      <c r="I596" s="9">
        <v>0.0</v>
      </c>
      <c r="J596" s="17">
        <v>11800.0</v>
      </c>
      <c r="K596" s="18">
        <v>-3465.82</v>
      </c>
      <c r="L596" s="17">
        <v>-3339.0</v>
      </c>
      <c r="M596" s="18">
        <v>-3339.0</v>
      </c>
      <c r="N596" s="18">
        <v>0.0</v>
      </c>
      <c r="O596" s="18">
        <v>2774.05</v>
      </c>
      <c r="P596" s="4"/>
    </row>
    <row r="597">
      <c r="A597" s="8" t="s">
        <v>604</v>
      </c>
      <c r="B597" s="9">
        <v>40.0</v>
      </c>
      <c r="C597" s="9" t="s">
        <v>460</v>
      </c>
      <c r="D597" s="9">
        <v>25.0</v>
      </c>
      <c r="E597" s="10">
        <v>1.0</v>
      </c>
      <c r="F597" s="9">
        <v>5.0</v>
      </c>
      <c r="G597" s="9">
        <v>0.0</v>
      </c>
      <c r="H597" s="9">
        <v>1.0</v>
      </c>
      <c r="I597" s="9">
        <v>0.0</v>
      </c>
      <c r="J597" s="17">
        <v>10560.0</v>
      </c>
      <c r="K597" s="18">
        <v>-3192.23</v>
      </c>
      <c r="L597" s="17">
        <v>-3010.0</v>
      </c>
      <c r="M597" s="18">
        <v>-3073.4</v>
      </c>
      <c r="N597" s="18">
        <v>2.10631</v>
      </c>
      <c r="O597" s="18">
        <v>3600.0</v>
      </c>
      <c r="P597" s="4"/>
    </row>
    <row r="598">
      <c r="A598" s="8" t="s">
        <v>605</v>
      </c>
      <c r="B598" s="9">
        <v>40.0</v>
      </c>
      <c r="C598" s="9" t="s">
        <v>460</v>
      </c>
      <c r="D598" s="9">
        <v>25.0</v>
      </c>
      <c r="E598" s="10">
        <v>2.0</v>
      </c>
      <c r="F598" s="9">
        <v>1.0</v>
      </c>
      <c r="G598" s="9">
        <v>1.0</v>
      </c>
      <c r="H598" s="9">
        <v>0.0</v>
      </c>
      <c r="I598" s="9">
        <v>0.0</v>
      </c>
      <c r="J598" s="17">
        <v>69320.0</v>
      </c>
      <c r="K598" s="18">
        <v>14656.9</v>
      </c>
      <c r="L598" s="17">
        <v>14690.0</v>
      </c>
      <c r="M598" s="18">
        <v>14690.0</v>
      </c>
      <c r="N598" s="18">
        <v>0.0</v>
      </c>
      <c r="O598" s="18">
        <v>14.965</v>
      </c>
      <c r="P598" s="4"/>
    </row>
    <row r="599">
      <c r="A599" s="8" t="s">
        <v>606</v>
      </c>
      <c r="B599" s="9">
        <v>40.0</v>
      </c>
      <c r="C599" s="9" t="s">
        <v>460</v>
      </c>
      <c r="D599" s="9">
        <v>25.0</v>
      </c>
      <c r="E599" s="10">
        <v>2.0</v>
      </c>
      <c r="F599" s="9">
        <v>2.0</v>
      </c>
      <c r="G599" s="9">
        <v>1.0</v>
      </c>
      <c r="H599" s="9">
        <v>0.0</v>
      </c>
      <c r="I599" s="9">
        <v>0.0</v>
      </c>
      <c r="J599" s="17">
        <v>75040.0</v>
      </c>
      <c r="K599" s="18">
        <v>16021.7</v>
      </c>
      <c r="L599" s="17">
        <v>16044.0</v>
      </c>
      <c r="M599" s="18">
        <v>16044.0</v>
      </c>
      <c r="N599" s="18">
        <v>0.0</v>
      </c>
      <c r="O599" s="18">
        <v>12.529</v>
      </c>
      <c r="P599" s="4"/>
    </row>
    <row r="600">
      <c r="A600" s="8" t="s">
        <v>607</v>
      </c>
      <c r="B600" s="9">
        <v>40.0</v>
      </c>
      <c r="C600" s="9" t="s">
        <v>460</v>
      </c>
      <c r="D600" s="9">
        <v>25.0</v>
      </c>
      <c r="E600" s="10">
        <v>2.0</v>
      </c>
      <c r="F600" s="9">
        <v>3.0</v>
      </c>
      <c r="G600" s="9">
        <v>1.0</v>
      </c>
      <c r="H600" s="9">
        <v>0.0</v>
      </c>
      <c r="I600" s="9">
        <v>0.0</v>
      </c>
      <c r="J600" s="17">
        <v>83800.0</v>
      </c>
      <c r="K600" s="18">
        <v>17893.1</v>
      </c>
      <c r="L600" s="17">
        <v>18046.0</v>
      </c>
      <c r="M600" s="18">
        <v>18046.0</v>
      </c>
      <c r="N600" s="18">
        <v>0.0</v>
      </c>
      <c r="O600" s="18">
        <v>230.673</v>
      </c>
      <c r="P600" s="4"/>
    </row>
    <row r="601">
      <c r="A601" s="8" t="s">
        <v>608</v>
      </c>
      <c r="B601" s="9">
        <v>40.0</v>
      </c>
      <c r="C601" s="9" t="s">
        <v>460</v>
      </c>
      <c r="D601" s="9">
        <v>25.0</v>
      </c>
      <c r="E601" s="10">
        <v>2.0</v>
      </c>
      <c r="F601" s="9">
        <v>4.0</v>
      </c>
      <c r="G601" s="9">
        <v>1.0</v>
      </c>
      <c r="H601" s="9">
        <v>0.0</v>
      </c>
      <c r="I601" s="9">
        <v>0.0</v>
      </c>
      <c r="J601" s="17">
        <v>84880.0</v>
      </c>
      <c r="K601" s="18">
        <v>18135.2</v>
      </c>
      <c r="L601" s="17">
        <v>18183.0</v>
      </c>
      <c r="M601" s="18">
        <v>18183.0</v>
      </c>
      <c r="N601" s="18">
        <v>0.0</v>
      </c>
      <c r="O601" s="18">
        <v>17.855</v>
      </c>
      <c r="P601" s="4"/>
    </row>
    <row r="602">
      <c r="A602" s="8" t="s">
        <v>609</v>
      </c>
      <c r="B602" s="9">
        <v>40.0</v>
      </c>
      <c r="C602" s="9" t="s">
        <v>460</v>
      </c>
      <c r="D602" s="9">
        <v>25.0</v>
      </c>
      <c r="E602" s="10">
        <v>2.0</v>
      </c>
      <c r="F602" s="9">
        <v>5.0</v>
      </c>
      <c r="G602" s="9">
        <v>1.0</v>
      </c>
      <c r="H602" s="9">
        <v>0.0</v>
      </c>
      <c r="I602" s="9">
        <v>0.0</v>
      </c>
      <c r="J602" s="17">
        <v>75920.0</v>
      </c>
      <c r="K602" s="18">
        <v>16086.4</v>
      </c>
      <c r="L602" s="17">
        <v>16150.0</v>
      </c>
      <c r="M602" s="18">
        <v>16150.0</v>
      </c>
      <c r="N602" s="18">
        <v>0.0</v>
      </c>
      <c r="O602" s="18">
        <v>15.897</v>
      </c>
      <c r="P602" s="4"/>
    </row>
    <row r="603">
      <c r="A603" s="8" t="s">
        <v>610</v>
      </c>
      <c r="B603" s="9">
        <v>40.0</v>
      </c>
      <c r="C603" s="9" t="s">
        <v>460</v>
      </c>
      <c r="D603" s="9">
        <v>50.0</v>
      </c>
      <c r="E603" s="10">
        <v>0.6</v>
      </c>
      <c r="F603" s="9">
        <v>1.0</v>
      </c>
      <c r="G603" s="9">
        <v>0.0</v>
      </c>
      <c r="H603" s="9">
        <v>1.0</v>
      </c>
      <c r="I603" s="9">
        <v>0.0</v>
      </c>
      <c r="J603" s="17">
        <v>5080.0</v>
      </c>
      <c r="K603" s="18">
        <v>-9464.35</v>
      </c>
      <c r="L603" s="17">
        <v>5080.0</v>
      </c>
      <c r="M603" s="18">
        <v>-9437.67</v>
      </c>
      <c r="N603" s="18">
        <v>85.781</v>
      </c>
      <c r="O603" s="18">
        <v>3600.0</v>
      </c>
      <c r="P603" s="4"/>
    </row>
    <row r="604">
      <c r="A604" s="8" t="s">
        <v>611</v>
      </c>
      <c r="B604" s="9">
        <v>40.0</v>
      </c>
      <c r="C604" s="9" t="s">
        <v>460</v>
      </c>
      <c r="D604" s="9">
        <v>50.0</v>
      </c>
      <c r="E604" s="10">
        <v>0.6</v>
      </c>
      <c r="F604" s="9">
        <v>2.0</v>
      </c>
      <c r="G604" s="9">
        <v>0.0</v>
      </c>
      <c r="H604" s="9">
        <v>1.0</v>
      </c>
      <c r="I604" s="9">
        <v>0.0</v>
      </c>
      <c r="J604" s="17">
        <v>5080.0</v>
      </c>
      <c r="K604" s="18">
        <v>-9664.5</v>
      </c>
      <c r="L604" s="17">
        <v>-9414.0</v>
      </c>
      <c r="M604" s="18">
        <v>-9636.25</v>
      </c>
      <c r="N604" s="18">
        <v>2.36082</v>
      </c>
      <c r="O604" s="18">
        <v>3600.0</v>
      </c>
      <c r="P604" s="4"/>
    </row>
    <row r="605">
      <c r="A605" s="8" t="s">
        <v>612</v>
      </c>
      <c r="B605" s="9">
        <v>40.0</v>
      </c>
      <c r="C605" s="9" t="s">
        <v>460</v>
      </c>
      <c r="D605" s="9">
        <v>50.0</v>
      </c>
      <c r="E605" s="10">
        <v>0.6</v>
      </c>
      <c r="F605" s="9">
        <v>3.0</v>
      </c>
      <c r="G605" s="9">
        <v>0.0</v>
      </c>
      <c r="H605" s="9">
        <v>1.0</v>
      </c>
      <c r="I605" s="9">
        <v>0.0</v>
      </c>
      <c r="J605" s="17">
        <v>4600.0</v>
      </c>
      <c r="K605" s="18">
        <v>-8831.25</v>
      </c>
      <c r="L605" s="17">
        <v>-8651.0</v>
      </c>
      <c r="M605" s="18">
        <v>-8806.21</v>
      </c>
      <c r="N605" s="18">
        <v>1.79407</v>
      </c>
      <c r="O605" s="18">
        <v>3600.0</v>
      </c>
      <c r="P605" s="4"/>
    </row>
    <row r="606">
      <c r="A606" s="8" t="s">
        <v>613</v>
      </c>
      <c r="B606" s="9">
        <v>40.0</v>
      </c>
      <c r="C606" s="9" t="s">
        <v>460</v>
      </c>
      <c r="D606" s="9">
        <v>50.0</v>
      </c>
      <c r="E606" s="10">
        <v>0.6</v>
      </c>
      <c r="F606" s="9">
        <v>4.0</v>
      </c>
      <c r="G606" s="9">
        <v>0.0</v>
      </c>
      <c r="H606" s="9">
        <v>1.0</v>
      </c>
      <c r="I606" s="9">
        <v>0.0</v>
      </c>
      <c r="J606" s="17">
        <v>5200.0</v>
      </c>
      <c r="K606" s="18">
        <v>-9328.46</v>
      </c>
      <c r="L606" s="17">
        <v>5200.0</v>
      </c>
      <c r="M606" s="18">
        <v>-9301.91</v>
      </c>
      <c r="N606" s="18">
        <v>78.883</v>
      </c>
      <c r="O606" s="18">
        <v>3600.0</v>
      </c>
      <c r="P606" s="4"/>
    </row>
    <row r="607">
      <c r="A607" s="8" t="s">
        <v>614</v>
      </c>
      <c r="B607" s="9">
        <v>40.0</v>
      </c>
      <c r="C607" s="9" t="s">
        <v>460</v>
      </c>
      <c r="D607" s="9">
        <v>50.0</v>
      </c>
      <c r="E607" s="10">
        <v>0.6</v>
      </c>
      <c r="F607" s="9">
        <v>5.0</v>
      </c>
      <c r="G607" s="9">
        <v>0.0</v>
      </c>
      <c r="H607" s="9">
        <v>1.0</v>
      </c>
      <c r="I607" s="9">
        <v>0.0</v>
      </c>
      <c r="J607" s="17">
        <v>5040.0</v>
      </c>
      <c r="K607" s="18">
        <v>-9258.06</v>
      </c>
      <c r="L607" s="17">
        <v>-9220.0</v>
      </c>
      <c r="M607" s="18">
        <v>-9232.98</v>
      </c>
      <c r="N607" s="18">
        <v>0.140817</v>
      </c>
      <c r="O607" s="18">
        <v>3600.0</v>
      </c>
      <c r="P607" s="4"/>
    </row>
    <row r="608">
      <c r="A608" s="8" t="s">
        <v>615</v>
      </c>
      <c r="B608" s="9">
        <v>40.0</v>
      </c>
      <c r="C608" s="9" t="s">
        <v>460</v>
      </c>
      <c r="D608" s="9">
        <v>50.0</v>
      </c>
      <c r="E608" s="10">
        <v>1.0</v>
      </c>
      <c r="F608" s="9">
        <v>1.0</v>
      </c>
      <c r="G608" s="9">
        <v>0.0</v>
      </c>
      <c r="H608" s="9">
        <v>1.0</v>
      </c>
      <c r="I608" s="9">
        <v>0.0</v>
      </c>
      <c r="J608" s="17">
        <v>22440.0</v>
      </c>
      <c r="K608" s="18">
        <v>-4318.04</v>
      </c>
      <c r="L608" s="17">
        <v>-4065.0</v>
      </c>
      <c r="M608" s="18">
        <v>-4219.19</v>
      </c>
      <c r="N608" s="18">
        <v>3.793</v>
      </c>
      <c r="O608" s="18">
        <v>3600.0</v>
      </c>
      <c r="P608" s="4"/>
    </row>
    <row r="609">
      <c r="A609" s="8" t="s">
        <v>616</v>
      </c>
      <c r="B609" s="9">
        <v>40.0</v>
      </c>
      <c r="C609" s="9" t="s">
        <v>460</v>
      </c>
      <c r="D609" s="9">
        <v>50.0</v>
      </c>
      <c r="E609" s="10">
        <v>1.0</v>
      </c>
      <c r="F609" s="9">
        <v>2.0</v>
      </c>
      <c r="G609" s="9">
        <v>0.0</v>
      </c>
      <c r="H609" s="9">
        <v>1.0</v>
      </c>
      <c r="I609" s="9">
        <v>0.0</v>
      </c>
      <c r="J609" s="17">
        <v>22360.0</v>
      </c>
      <c r="K609" s="18">
        <v>-4602.82</v>
      </c>
      <c r="L609" s="17">
        <v>-4287.0</v>
      </c>
      <c r="M609" s="18">
        <v>-4480.5</v>
      </c>
      <c r="N609" s="18">
        <v>4.51365</v>
      </c>
      <c r="O609" s="18">
        <v>3600.0</v>
      </c>
      <c r="P609" s="4"/>
    </row>
    <row r="610">
      <c r="A610" s="8" t="s">
        <v>617</v>
      </c>
      <c r="B610" s="9">
        <v>40.0</v>
      </c>
      <c r="C610" s="9" t="s">
        <v>460</v>
      </c>
      <c r="D610" s="9">
        <v>50.0</v>
      </c>
      <c r="E610" s="10">
        <v>1.0</v>
      </c>
      <c r="F610" s="9">
        <v>3.0</v>
      </c>
      <c r="G610" s="9">
        <v>1.0</v>
      </c>
      <c r="H610" s="9">
        <v>0.0</v>
      </c>
      <c r="I610" s="9">
        <v>0.0</v>
      </c>
      <c r="J610" s="17">
        <v>20280.0</v>
      </c>
      <c r="K610" s="18">
        <v>-4255.55</v>
      </c>
      <c r="L610" s="17">
        <v>-4142.0</v>
      </c>
      <c r="M610" s="18">
        <v>-4142.0</v>
      </c>
      <c r="N610" s="18">
        <v>0.0</v>
      </c>
      <c r="O610" s="18">
        <v>2416.2</v>
      </c>
      <c r="P610" s="4"/>
    </row>
    <row r="611">
      <c r="A611" s="8" t="s">
        <v>618</v>
      </c>
      <c r="B611" s="9">
        <v>40.0</v>
      </c>
      <c r="C611" s="9" t="s">
        <v>460</v>
      </c>
      <c r="D611" s="9">
        <v>50.0</v>
      </c>
      <c r="E611" s="10">
        <v>1.0</v>
      </c>
      <c r="F611" s="9">
        <v>4.0</v>
      </c>
      <c r="G611" s="9">
        <v>0.0</v>
      </c>
      <c r="H611" s="9">
        <v>1.0</v>
      </c>
      <c r="I611" s="9">
        <v>0.0</v>
      </c>
      <c r="J611" s="17">
        <v>22880.0</v>
      </c>
      <c r="K611" s="18">
        <v>-4046.15</v>
      </c>
      <c r="L611" s="17">
        <v>-3781.0</v>
      </c>
      <c r="M611" s="18">
        <v>-3953.91</v>
      </c>
      <c r="N611" s="18">
        <v>4.57313</v>
      </c>
      <c r="O611" s="18">
        <v>3600.0</v>
      </c>
      <c r="P611" s="4"/>
    </row>
    <row r="612">
      <c r="A612" s="8" t="s">
        <v>619</v>
      </c>
      <c r="B612" s="9">
        <v>40.0</v>
      </c>
      <c r="C612" s="9" t="s">
        <v>460</v>
      </c>
      <c r="D612" s="9">
        <v>50.0</v>
      </c>
      <c r="E612" s="10">
        <v>1.0</v>
      </c>
      <c r="F612" s="9">
        <v>5.0</v>
      </c>
      <c r="G612" s="9">
        <v>0.0</v>
      </c>
      <c r="H612" s="9">
        <v>1.0</v>
      </c>
      <c r="I612" s="9">
        <v>0.0</v>
      </c>
      <c r="J612" s="17">
        <v>22160.0</v>
      </c>
      <c r="K612" s="18">
        <v>-4154.65</v>
      </c>
      <c r="L612" s="17">
        <v>-4013.0</v>
      </c>
      <c r="M612" s="18">
        <v>-4026.95</v>
      </c>
      <c r="N612" s="18">
        <v>0.34771</v>
      </c>
      <c r="O612" s="18">
        <v>3600.0</v>
      </c>
      <c r="P612" s="4"/>
    </row>
    <row r="613">
      <c r="A613" s="8" t="s">
        <v>620</v>
      </c>
      <c r="B613" s="9">
        <v>40.0</v>
      </c>
      <c r="C613" s="9" t="s">
        <v>460</v>
      </c>
      <c r="D613" s="9">
        <v>50.0</v>
      </c>
      <c r="E613" s="10">
        <v>2.0</v>
      </c>
      <c r="F613" s="9">
        <v>1.0</v>
      </c>
      <c r="G613" s="9">
        <v>1.0</v>
      </c>
      <c r="H613" s="9">
        <v>0.0</v>
      </c>
      <c r="I613" s="9">
        <v>0.0</v>
      </c>
      <c r="J613" s="17">
        <v>161320.0</v>
      </c>
      <c r="K613" s="18">
        <v>36469.6</v>
      </c>
      <c r="L613" s="17">
        <v>36635.0</v>
      </c>
      <c r="M613" s="18">
        <v>36635.0</v>
      </c>
      <c r="N613" s="18">
        <v>0.0</v>
      </c>
      <c r="O613" s="18">
        <v>343.144</v>
      </c>
      <c r="P613" s="4"/>
    </row>
    <row r="614">
      <c r="A614" s="8" t="s">
        <v>621</v>
      </c>
      <c r="B614" s="9">
        <v>40.0</v>
      </c>
      <c r="C614" s="9" t="s">
        <v>460</v>
      </c>
      <c r="D614" s="9">
        <v>50.0</v>
      </c>
      <c r="E614" s="10">
        <v>2.0</v>
      </c>
      <c r="F614" s="9">
        <v>2.0</v>
      </c>
      <c r="G614" s="9">
        <v>1.0</v>
      </c>
      <c r="H614" s="9">
        <v>0.0</v>
      </c>
      <c r="I614" s="9">
        <v>0.0</v>
      </c>
      <c r="J614" s="17">
        <v>160960.0</v>
      </c>
      <c r="K614" s="18">
        <v>36093.1</v>
      </c>
      <c r="L614" s="17">
        <v>36165.0</v>
      </c>
      <c r="M614" s="18">
        <v>36165.0</v>
      </c>
      <c r="N614" s="18">
        <v>0.0</v>
      </c>
      <c r="O614" s="18">
        <v>51.364</v>
      </c>
      <c r="P614" s="4"/>
    </row>
    <row r="615">
      <c r="A615" s="8" t="s">
        <v>622</v>
      </c>
      <c r="B615" s="9">
        <v>40.0</v>
      </c>
      <c r="C615" s="9" t="s">
        <v>460</v>
      </c>
      <c r="D615" s="9">
        <v>50.0</v>
      </c>
      <c r="E615" s="10">
        <v>2.0</v>
      </c>
      <c r="F615" s="9">
        <v>3.0</v>
      </c>
      <c r="G615" s="9">
        <v>1.0</v>
      </c>
      <c r="H615" s="9">
        <v>0.0</v>
      </c>
      <c r="I615" s="9">
        <v>0.0</v>
      </c>
      <c r="J615" s="17">
        <v>145840.0</v>
      </c>
      <c r="K615" s="18">
        <v>32676.5</v>
      </c>
      <c r="L615" s="17">
        <v>32691.0</v>
      </c>
      <c r="M615" s="18">
        <v>32691.0</v>
      </c>
      <c r="N615" s="18">
        <v>0.0</v>
      </c>
      <c r="O615" s="18">
        <v>16.42</v>
      </c>
      <c r="P615" s="4"/>
    </row>
    <row r="616">
      <c r="A616" s="8" t="s">
        <v>623</v>
      </c>
      <c r="B616" s="9">
        <v>40.0</v>
      </c>
      <c r="C616" s="9" t="s">
        <v>460</v>
      </c>
      <c r="D616" s="9">
        <v>50.0</v>
      </c>
      <c r="E616" s="10">
        <v>2.0</v>
      </c>
      <c r="F616" s="9">
        <v>4.0</v>
      </c>
      <c r="G616" s="9">
        <v>1.0</v>
      </c>
      <c r="H616" s="9">
        <v>0.0</v>
      </c>
      <c r="I616" s="9">
        <v>0.0</v>
      </c>
      <c r="J616" s="17">
        <v>164560.0</v>
      </c>
      <c r="K616" s="18">
        <v>37406.6</v>
      </c>
      <c r="L616" s="17">
        <v>37460.0</v>
      </c>
      <c r="M616" s="18">
        <v>37460.0</v>
      </c>
      <c r="N616" s="18">
        <v>0.0</v>
      </c>
      <c r="O616" s="18">
        <v>43.33</v>
      </c>
      <c r="P616" s="4"/>
    </row>
    <row r="617">
      <c r="A617" s="8" t="s">
        <v>624</v>
      </c>
      <c r="B617" s="9">
        <v>40.0</v>
      </c>
      <c r="C617" s="9" t="s">
        <v>460</v>
      </c>
      <c r="D617" s="9">
        <v>50.0</v>
      </c>
      <c r="E617" s="10">
        <v>2.0</v>
      </c>
      <c r="F617" s="9">
        <v>5.0</v>
      </c>
      <c r="G617" s="9">
        <v>1.0</v>
      </c>
      <c r="H617" s="9">
        <v>0.0</v>
      </c>
      <c r="I617" s="9">
        <v>0.0</v>
      </c>
      <c r="J617" s="17">
        <v>159320.0</v>
      </c>
      <c r="K617" s="18">
        <v>36007.0</v>
      </c>
      <c r="L617" s="17">
        <v>36041.0</v>
      </c>
      <c r="M617" s="18">
        <v>36041.0</v>
      </c>
      <c r="N617" s="18">
        <v>0.0</v>
      </c>
      <c r="O617" s="18">
        <v>22.223</v>
      </c>
      <c r="P617" s="4"/>
    </row>
    <row r="618">
      <c r="A618" s="8" t="s">
        <v>625</v>
      </c>
      <c r="B618" s="9">
        <v>40.0</v>
      </c>
      <c r="C618" s="9" t="s">
        <v>460</v>
      </c>
      <c r="D618" s="9">
        <v>75.0</v>
      </c>
      <c r="E618" s="10">
        <v>0.6</v>
      </c>
      <c r="F618" s="9">
        <v>1.0</v>
      </c>
      <c r="G618" s="9">
        <v>0.0</v>
      </c>
      <c r="H618" s="9">
        <v>1.0</v>
      </c>
      <c r="I618" s="9">
        <v>0.0</v>
      </c>
      <c r="J618" s="17">
        <v>7320.0</v>
      </c>
      <c r="K618" s="18">
        <v>-28537.0</v>
      </c>
      <c r="L618" s="17">
        <v>7320.0</v>
      </c>
      <c r="M618" s="18">
        <v>-28537.0</v>
      </c>
      <c r="N618" s="18">
        <v>489.85</v>
      </c>
      <c r="O618" s="18">
        <v>3600.0</v>
      </c>
      <c r="P618" s="4"/>
    </row>
    <row r="619">
      <c r="A619" s="8" t="s">
        <v>626</v>
      </c>
      <c r="B619" s="9">
        <v>40.0</v>
      </c>
      <c r="C619" s="9" t="s">
        <v>460</v>
      </c>
      <c r="D619" s="9">
        <v>75.0</v>
      </c>
      <c r="E619" s="10">
        <v>0.6</v>
      </c>
      <c r="F619" s="9">
        <v>2.0</v>
      </c>
      <c r="G619" s="9">
        <v>0.0</v>
      </c>
      <c r="H619" s="9">
        <v>1.0</v>
      </c>
      <c r="I619" s="9">
        <v>0.0</v>
      </c>
      <c r="J619" s="17">
        <v>-12642.0</v>
      </c>
      <c r="K619" s="18">
        <v>-12791.5</v>
      </c>
      <c r="L619" s="17">
        <v>-12642.0</v>
      </c>
      <c r="M619" s="18">
        <v>-12791.5</v>
      </c>
      <c r="N619" s="18">
        <v>1.18267</v>
      </c>
      <c r="O619" s="18">
        <v>3600.0</v>
      </c>
      <c r="P619" s="4"/>
    </row>
    <row r="620">
      <c r="A620" s="8" t="s">
        <v>627</v>
      </c>
      <c r="B620" s="9">
        <v>40.0</v>
      </c>
      <c r="C620" s="9" t="s">
        <v>460</v>
      </c>
      <c r="D620" s="9">
        <v>75.0</v>
      </c>
      <c r="E620" s="10">
        <v>0.6</v>
      </c>
      <c r="F620" s="9">
        <v>3.0</v>
      </c>
      <c r="G620" s="9">
        <v>0.0</v>
      </c>
      <c r="H620" s="9">
        <v>1.0</v>
      </c>
      <c r="I620" s="9">
        <v>0.0</v>
      </c>
      <c r="J620" s="17">
        <v>7920.0</v>
      </c>
      <c r="K620" s="18">
        <v>-30810.0</v>
      </c>
      <c r="L620" s="17">
        <v>7920.0</v>
      </c>
      <c r="M620" s="18">
        <v>-30810.0</v>
      </c>
      <c r="N620" s="18">
        <v>489.015</v>
      </c>
      <c r="O620" s="18">
        <v>3600.0</v>
      </c>
      <c r="P620" s="4"/>
    </row>
    <row r="621">
      <c r="A621" s="8" t="s">
        <v>628</v>
      </c>
      <c r="B621" s="9">
        <v>40.0</v>
      </c>
      <c r="C621" s="9" t="s">
        <v>460</v>
      </c>
      <c r="D621" s="9">
        <v>75.0</v>
      </c>
      <c r="E621" s="10">
        <v>0.6</v>
      </c>
      <c r="F621" s="9">
        <v>4.0</v>
      </c>
      <c r="G621" s="9">
        <v>0.0</v>
      </c>
      <c r="H621" s="9">
        <v>1.0</v>
      </c>
      <c r="I621" s="9">
        <v>0.0</v>
      </c>
      <c r="J621" s="17">
        <v>7120.0</v>
      </c>
      <c r="K621" s="18">
        <v>-27797.0</v>
      </c>
      <c r="L621" s="17">
        <v>7120.0</v>
      </c>
      <c r="M621" s="18">
        <v>-27797.0</v>
      </c>
      <c r="N621" s="18">
        <v>490.407</v>
      </c>
      <c r="O621" s="18">
        <v>3600.0</v>
      </c>
      <c r="P621" s="4"/>
    </row>
    <row r="622">
      <c r="A622" s="8" t="s">
        <v>629</v>
      </c>
      <c r="B622" s="9">
        <v>40.0</v>
      </c>
      <c r="C622" s="9" t="s">
        <v>460</v>
      </c>
      <c r="D622" s="9">
        <v>75.0</v>
      </c>
      <c r="E622" s="10">
        <v>0.6</v>
      </c>
      <c r="F622" s="9">
        <v>5.0</v>
      </c>
      <c r="G622" s="9">
        <v>0.0</v>
      </c>
      <c r="H622" s="9">
        <v>1.0</v>
      </c>
      <c r="I622" s="9">
        <v>0.0</v>
      </c>
      <c r="J622" s="17">
        <v>-12662.0</v>
      </c>
      <c r="K622" s="18">
        <v>-13062.3</v>
      </c>
      <c r="L622" s="17">
        <v>-12662.0</v>
      </c>
      <c r="M622" s="18">
        <v>-13062.3</v>
      </c>
      <c r="N622" s="18">
        <v>3.16132</v>
      </c>
      <c r="O622" s="18">
        <v>3600.0</v>
      </c>
      <c r="P622" s="4"/>
    </row>
    <row r="623">
      <c r="A623" s="8" t="s">
        <v>630</v>
      </c>
      <c r="B623" s="9">
        <v>40.0</v>
      </c>
      <c r="C623" s="9" t="s">
        <v>460</v>
      </c>
      <c r="D623" s="9">
        <v>75.0</v>
      </c>
      <c r="E623" s="10">
        <v>1.0</v>
      </c>
      <c r="F623" s="9">
        <v>1.0</v>
      </c>
      <c r="G623" s="9">
        <v>0.0</v>
      </c>
      <c r="H623" s="9">
        <v>1.0</v>
      </c>
      <c r="I623" s="9">
        <v>0.0</v>
      </c>
      <c r="J623" s="17">
        <v>32320.0</v>
      </c>
      <c r="K623" s="18">
        <v>-4757.03</v>
      </c>
      <c r="L623" s="17">
        <v>-4605.0</v>
      </c>
      <c r="M623" s="18">
        <v>-4664.22</v>
      </c>
      <c r="N623" s="18">
        <v>1.28598</v>
      </c>
      <c r="O623" s="18">
        <v>3600.0</v>
      </c>
      <c r="P623" s="4"/>
    </row>
    <row r="624">
      <c r="A624" s="8" t="s">
        <v>631</v>
      </c>
      <c r="B624" s="9">
        <v>40.0</v>
      </c>
      <c r="C624" s="9" t="s">
        <v>460</v>
      </c>
      <c r="D624" s="9">
        <v>75.0</v>
      </c>
      <c r="E624" s="10">
        <v>1.0</v>
      </c>
      <c r="F624" s="9">
        <v>2.0</v>
      </c>
      <c r="G624" s="9">
        <v>1.0</v>
      </c>
      <c r="H624" s="9">
        <v>0.0</v>
      </c>
      <c r="I624" s="9">
        <v>0.0</v>
      </c>
      <c r="J624" s="17">
        <v>33280.0</v>
      </c>
      <c r="K624" s="18">
        <v>-5108.0</v>
      </c>
      <c r="L624" s="17">
        <v>-5089.0</v>
      </c>
      <c r="M624" s="18">
        <v>-5089.0</v>
      </c>
      <c r="N624" s="18">
        <v>0.0</v>
      </c>
      <c r="O624" s="18">
        <v>356.523</v>
      </c>
      <c r="P624" s="4"/>
    </row>
    <row r="625">
      <c r="A625" s="8" t="s">
        <v>632</v>
      </c>
      <c r="B625" s="9">
        <v>40.0</v>
      </c>
      <c r="C625" s="9" t="s">
        <v>460</v>
      </c>
      <c r="D625" s="9">
        <v>75.0</v>
      </c>
      <c r="E625" s="10">
        <v>1.0</v>
      </c>
      <c r="F625" s="9">
        <v>3.0</v>
      </c>
      <c r="G625" s="9">
        <v>0.0</v>
      </c>
      <c r="H625" s="9">
        <v>1.0</v>
      </c>
      <c r="I625" s="9">
        <v>0.0</v>
      </c>
      <c r="J625" s="17">
        <v>34920.0</v>
      </c>
      <c r="K625" s="18">
        <v>-5390.77</v>
      </c>
      <c r="L625" s="17">
        <v>-5194.0</v>
      </c>
      <c r="M625" s="18">
        <v>-5319.4</v>
      </c>
      <c r="N625" s="18">
        <v>2.41432</v>
      </c>
      <c r="O625" s="18">
        <v>3600.0</v>
      </c>
      <c r="P625" s="4"/>
    </row>
    <row r="626">
      <c r="A626" s="8" t="s">
        <v>633</v>
      </c>
      <c r="B626" s="9">
        <v>40.0</v>
      </c>
      <c r="C626" s="9" t="s">
        <v>460</v>
      </c>
      <c r="D626" s="9">
        <v>75.0</v>
      </c>
      <c r="E626" s="10">
        <v>1.0</v>
      </c>
      <c r="F626" s="9">
        <v>4.0</v>
      </c>
      <c r="G626" s="9">
        <v>0.0</v>
      </c>
      <c r="H626" s="9">
        <v>1.0</v>
      </c>
      <c r="I626" s="9">
        <v>0.0</v>
      </c>
      <c r="J626" s="17">
        <v>31480.0</v>
      </c>
      <c r="K626" s="18">
        <v>-4729.65</v>
      </c>
      <c r="L626" s="17">
        <v>-4608.0</v>
      </c>
      <c r="M626" s="18">
        <v>-4631.37</v>
      </c>
      <c r="N626" s="18">
        <v>0.507127</v>
      </c>
      <c r="O626" s="18">
        <v>3600.0</v>
      </c>
      <c r="P626" s="4"/>
    </row>
    <row r="627">
      <c r="A627" s="8" t="s">
        <v>634</v>
      </c>
      <c r="B627" s="9">
        <v>40.0</v>
      </c>
      <c r="C627" s="9" t="s">
        <v>460</v>
      </c>
      <c r="D627" s="9">
        <v>75.0</v>
      </c>
      <c r="E627" s="10">
        <v>1.0</v>
      </c>
      <c r="F627" s="9">
        <v>5.0</v>
      </c>
      <c r="G627" s="9">
        <v>0.0</v>
      </c>
      <c r="H627" s="9">
        <v>1.0</v>
      </c>
      <c r="I627" s="9">
        <v>0.0</v>
      </c>
      <c r="J627" s="17">
        <v>33200.0</v>
      </c>
      <c r="K627" s="18">
        <v>-5212.65</v>
      </c>
      <c r="L627" s="17">
        <v>-5028.0</v>
      </c>
      <c r="M627" s="18">
        <v>-5110.14</v>
      </c>
      <c r="N627" s="18">
        <v>1.63355</v>
      </c>
      <c r="O627" s="18">
        <v>3600.0</v>
      </c>
      <c r="P627" s="4"/>
    </row>
    <row r="628">
      <c r="A628" s="8" t="s">
        <v>635</v>
      </c>
      <c r="B628" s="9">
        <v>40.0</v>
      </c>
      <c r="C628" s="9" t="s">
        <v>460</v>
      </c>
      <c r="D628" s="9">
        <v>75.0</v>
      </c>
      <c r="E628" s="10">
        <v>2.0</v>
      </c>
      <c r="F628" s="9">
        <v>1.0</v>
      </c>
      <c r="G628" s="9">
        <v>1.0</v>
      </c>
      <c r="H628" s="9">
        <v>0.0</v>
      </c>
      <c r="I628" s="9">
        <v>0.0</v>
      </c>
      <c r="J628" s="17">
        <v>232720.0</v>
      </c>
      <c r="K628" s="18">
        <v>53568.5</v>
      </c>
      <c r="L628" s="17">
        <v>53592.0</v>
      </c>
      <c r="M628" s="18">
        <v>53592.0</v>
      </c>
      <c r="N628" s="18">
        <v>0.0</v>
      </c>
      <c r="O628" s="18">
        <v>22.265</v>
      </c>
      <c r="P628" s="4"/>
    </row>
    <row r="629">
      <c r="A629" s="8" t="s">
        <v>636</v>
      </c>
      <c r="B629" s="9">
        <v>40.0</v>
      </c>
      <c r="C629" s="9" t="s">
        <v>460</v>
      </c>
      <c r="D629" s="9">
        <v>75.0</v>
      </c>
      <c r="E629" s="10">
        <v>2.0</v>
      </c>
      <c r="F629" s="9">
        <v>2.0</v>
      </c>
      <c r="G629" s="9">
        <v>1.0</v>
      </c>
      <c r="H629" s="9">
        <v>0.0</v>
      </c>
      <c r="I629" s="9">
        <v>0.0</v>
      </c>
      <c r="J629" s="17">
        <v>239640.0</v>
      </c>
      <c r="K629" s="18">
        <v>54555.1</v>
      </c>
      <c r="L629" s="17">
        <v>54881.0</v>
      </c>
      <c r="M629" s="18">
        <v>54881.0</v>
      </c>
      <c r="N629" s="18">
        <v>0.0</v>
      </c>
      <c r="O629" s="18">
        <v>3291.41</v>
      </c>
      <c r="P629" s="4"/>
    </row>
    <row r="630">
      <c r="A630" s="8" t="s">
        <v>637</v>
      </c>
      <c r="B630" s="9">
        <v>40.0</v>
      </c>
      <c r="C630" s="9" t="s">
        <v>460</v>
      </c>
      <c r="D630" s="9">
        <v>75.0</v>
      </c>
      <c r="E630" s="10">
        <v>2.0</v>
      </c>
      <c r="F630" s="9">
        <v>3.0</v>
      </c>
      <c r="G630" s="9">
        <v>1.0</v>
      </c>
      <c r="H630" s="9">
        <v>0.0</v>
      </c>
      <c r="I630" s="9">
        <v>0.0</v>
      </c>
      <c r="J630" s="17">
        <v>251240.0</v>
      </c>
      <c r="K630" s="18">
        <v>57358.3</v>
      </c>
      <c r="L630" s="17">
        <v>57536.0</v>
      </c>
      <c r="M630" s="18">
        <v>57536.0</v>
      </c>
      <c r="N630" s="18">
        <v>0.0</v>
      </c>
      <c r="O630" s="18">
        <v>654.327</v>
      </c>
      <c r="P630" s="4"/>
    </row>
    <row r="631">
      <c r="A631" s="8" t="s">
        <v>638</v>
      </c>
      <c r="B631" s="9">
        <v>40.0</v>
      </c>
      <c r="C631" s="9" t="s">
        <v>460</v>
      </c>
      <c r="D631" s="9">
        <v>75.0</v>
      </c>
      <c r="E631" s="10">
        <v>2.0</v>
      </c>
      <c r="F631" s="9">
        <v>4.0</v>
      </c>
      <c r="G631" s="9">
        <v>1.0</v>
      </c>
      <c r="H631" s="9">
        <v>0.0</v>
      </c>
      <c r="I631" s="9">
        <v>0.0</v>
      </c>
      <c r="J631" s="17">
        <v>226680.0</v>
      </c>
      <c r="K631" s="18">
        <v>51865.4</v>
      </c>
      <c r="L631" s="17">
        <v>51943.0</v>
      </c>
      <c r="M631" s="18">
        <v>51943.0</v>
      </c>
      <c r="N631" s="18">
        <v>0.0</v>
      </c>
      <c r="O631" s="18">
        <v>64.302</v>
      </c>
      <c r="P631" s="4"/>
    </row>
    <row r="632">
      <c r="A632" s="8" t="s">
        <v>639</v>
      </c>
      <c r="B632" s="9">
        <v>40.0</v>
      </c>
      <c r="C632" s="9" t="s">
        <v>460</v>
      </c>
      <c r="D632" s="9">
        <v>75.0</v>
      </c>
      <c r="E632" s="10">
        <v>2.0</v>
      </c>
      <c r="F632" s="9">
        <v>5.0</v>
      </c>
      <c r="G632" s="9">
        <v>1.0</v>
      </c>
      <c r="H632" s="9">
        <v>0.0</v>
      </c>
      <c r="I632" s="9">
        <v>0.0</v>
      </c>
      <c r="J632" s="17">
        <v>238760.0</v>
      </c>
      <c r="K632" s="18">
        <v>54621.4</v>
      </c>
      <c r="L632" s="17">
        <v>54700.0</v>
      </c>
      <c r="M632" s="18">
        <v>54700.0</v>
      </c>
      <c r="N632" s="18">
        <v>0.0</v>
      </c>
      <c r="O632" s="18">
        <v>58.903</v>
      </c>
      <c r="P632" s="4"/>
    </row>
    <row r="633">
      <c r="A633" s="8" t="s">
        <v>640</v>
      </c>
      <c r="B633" s="9">
        <v>45.0</v>
      </c>
      <c r="C633" s="9" t="s">
        <v>460</v>
      </c>
      <c r="D633" s="9">
        <v>25.0</v>
      </c>
      <c r="E633" s="10">
        <v>0.6</v>
      </c>
      <c r="F633" s="9">
        <v>1.0</v>
      </c>
      <c r="G633" s="9">
        <v>1.0</v>
      </c>
      <c r="H633" s="9">
        <v>0.0</v>
      </c>
      <c r="I633" s="9">
        <v>0.0</v>
      </c>
      <c r="J633" s="17">
        <v>2835.0</v>
      </c>
      <c r="K633" s="18">
        <v>-7176.0</v>
      </c>
      <c r="L633" s="17">
        <v>-7155.0</v>
      </c>
      <c r="M633" s="18">
        <v>-7155.0</v>
      </c>
      <c r="N633" s="18">
        <v>0.0</v>
      </c>
      <c r="O633" s="18">
        <v>3559.33</v>
      </c>
      <c r="P633" s="4"/>
    </row>
    <row r="634">
      <c r="A634" s="8" t="s">
        <v>641</v>
      </c>
      <c r="B634" s="9">
        <v>45.0</v>
      </c>
      <c r="C634" s="9" t="s">
        <v>460</v>
      </c>
      <c r="D634" s="9">
        <v>25.0</v>
      </c>
      <c r="E634" s="10">
        <v>0.6</v>
      </c>
      <c r="F634" s="9">
        <v>2.0</v>
      </c>
      <c r="G634" s="9">
        <v>0.0</v>
      </c>
      <c r="H634" s="9">
        <v>1.0</v>
      </c>
      <c r="I634" s="9">
        <v>0.0</v>
      </c>
      <c r="J634" s="17">
        <v>2835.0</v>
      </c>
      <c r="K634" s="18">
        <v>-7212.07</v>
      </c>
      <c r="L634" s="17">
        <v>-7081.0</v>
      </c>
      <c r="M634" s="18">
        <v>-7175.43</v>
      </c>
      <c r="N634" s="18">
        <v>1.33357</v>
      </c>
      <c r="O634" s="18">
        <v>3600.0</v>
      </c>
      <c r="P634" s="4"/>
    </row>
    <row r="635">
      <c r="A635" s="8" t="s">
        <v>642</v>
      </c>
      <c r="B635" s="9">
        <v>45.0</v>
      </c>
      <c r="C635" s="9" t="s">
        <v>460</v>
      </c>
      <c r="D635" s="9">
        <v>25.0</v>
      </c>
      <c r="E635" s="10">
        <v>0.6</v>
      </c>
      <c r="F635" s="9">
        <v>3.0</v>
      </c>
      <c r="G635" s="9">
        <v>0.0</v>
      </c>
      <c r="H635" s="9">
        <v>1.0</v>
      </c>
      <c r="I635" s="9">
        <v>0.0</v>
      </c>
      <c r="J635" s="17">
        <v>2880.0</v>
      </c>
      <c r="K635" s="18">
        <v>-7128.55</v>
      </c>
      <c r="L635" s="17">
        <v>-7036.0</v>
      </c>
      <c r="M635" s="18">
        <v>-7113.0</v>
      </c>
      <c r="N635" s="18">
        <v>1.09437</v>
      </c>
      <c r="O635" s="18">
        <v>3600.0</v>
      </c>
      <c r="P635" s="4"/>
    </row>
    <row r="636">
      <c r="A636" s="8" t="s">
        <v>643</v>
      </c>
      <c r="B636" s="9">
        <v>45.0</v>
      </c>
      <c r="C636" s="9" t="s">
        <v>460</v>
      </c>
      <c r="D636" s="9">
        <v>25.0</v>
      </c>
      <c r="E636" s="10">
        <v>0.6</v>
      </c>
      <c r="F636" s="9">
        <v>4.0</v>
      </c>
      <c r="G636" s="9">
        <v>0.0</v>
      </c>
      <c r="H636" s="9">
        <v>1.0</v>
      </c>
      <c r="I636" s="9">
        <v>0.0</v>
      </c>
      <c r="J636" s="17">
        <v>2925.0</v>
      </c>
      <c r="K636" s="18">
        <v>-7308.18</v>
      </c>
      <c r="L636" s="17">
        <v>-7228.0</v>
      </c>
      <c r="M636" s="18">
        <v>-7260.92</v>
      </c>
      <c r="N636" s="18">
        <v>0.455411</v>
      </c>
      <c r="O636" s="18">
        <v>3600.0</v>
      </c>
      <c r="P636" s="4"/>
    </row>
    <row r="637">
      <c r="A637" s="8" t="s">
        <v>644</v>
      </c>
      <c r="B637" s="9">
        <v>45.0</v>
      </c>
      <c r="C637" s="9" t="s">
        <v>460</v>
      </c>
      <c r="D637" s="9">
        <v>25.0</v>
      </c>
      <c r="E637" s="10">
        <v>0.6</v>
      </c>
      <c r="F637" s="9">
        <v>5.0</v>
      </c>
      <c r="G637" s="9">
        <v>1.0</v>
      </c>
      <c r="H637" s="9">
        <v>0.0</v>
      </c>
      <c r="I637" s="9">
        <v>0.0</v>
      </c>
      <c r="J637" s="17">
        <v>3195.0</v>
      </c>
      <c r="K637" s="18">
        <v>-7661.43</v>
      </c>
      <c r="L637" s="17">
        <v>-7647.0</v>
      </c>
      <c r="M637" s="18">
        <v>-7647.0</v>
      </c>
      <c r="N637" s="18">
        <v>0.0</v>
      </c>
      <c r="O637" s="18">
        <v>2755.32</v>
      </c>
      <c r="P637" s="4"/>
    </row>
    <row r="638">
      <c r="A638" s="8" t="s">
        <v>645</v>
      </c>
      <c r="B638" s="9">
        <v>45.0</v>
      </c>
      <c r="C638" s="9" t="s">
        <v>460</v>
      </c>
      <c r="D638" s="9">
        <v>25.0</v>
      </c>
      <c r="E638" s="10">
        <v>1.0</v>
      </c>
      <c r="F638" s="9">
        <v>1.0</v>
      </c>
      <c r="G638" s="9">
        <v>0.0</v>
      </c>
      <c r="H638" s="9">
        <v>1.0</v>
      </c>
      <c r="I638" s="9">
        <v>0.0</v>
      </c>
      <c r="J638" s="17">
        <v>12555.0</v>
      </c>
      <c r="K638" s="18">
        <v>-4231.6</v>
      </c>
      <c r="L638" s="17">
        <v>-3885.0</v>
      </c>
      <c r="M638" s="18">
        <v>-4174.7</v>
      </c>
      <c r="N638" s="18">
        <v>7.45694</v>
      </c>
      <c r="O638" s="18">
        <v>3600.0</v>
      </c>
      <c r="P638" s="4"/>
    </row>
    <row r="639">
      <c r="A639" s="8" t="s">
        <v>646</v>
      </c>
      <c r="B639" s="9">
        <v>45.0</v>
      </c>
      <c r="C639" s="9" t="s">
        <v>460</v>
      </c>
      <c r="D639" s="9">
        <v>25.0</v>
      </c>
      <c r="E639" s="10">
        <v>1.0</v>
      </c>
      <c r="F639" s="9">
        <v>2.0</v>
      </c>
      <c r="G639" s="9">
        <v>0.0</v>
      </c>
      <c r="H639" s="9">
        <v>1.0</v>
      </c>
      <c r="I639" s="9">
        <v>0.0</v>
      </c>
      <c r="J639" s="17">
        <v>12510.0</v>
      </c>
      <c r="K639" s="18">
        <v>-4442.17</v>
      </c>
      <c r="L639" s="17">
        <v>-4258.0</v>
      </c>
      <c r="M639" s="18">
        <v>-4369.44</v>
      </c>
      <c r="N639" s="18">
        <v>2.61724</v>
      </c>
      <c r="O639" s="18">
        <v>3600.0</v>
      </c>
      <c r="P639" s="4"/>
    </row>
    <row r="640">
      <c r="A640" s="8" t="s">
        <v>647</v>
      </c>
      <c r="B640" s="9">
        <v>45.0</v>
      </c>
      <c r="C640" s="9" t="s">
        <v>460</v>
      </c>
      <c r="D640" s="9">
        <v>25.0</v>
      </c>
      <c r="E640" s="10">
        <v>1.0</v>
      </c>
      <c r="F640" s="9">
        <v>3.0</v>
      </c>
      <c r="G640" s="9">
        <v>0.0</v>
      </c>
      <c r="H640" s="9">
        <v>1.0</v>
      </c>
      <c r="I640" s="9">
        <v>0.0</v>
      </c>
      <c r="J640" s="17">
        <v>12690.0</v>
      </c>
      <c r="K640" s="18">
        <v>-4378.88</v>
      </c>
      <c r="L640" s="17">
        <v>-4204.0</v>
      </c>
      <c r="M640" s="18">
        <v>-4316.27</v>
      </c>
      <c r="N640" s="18">
        <v>2.67053</v>
      </c>
      <c r="O640" s="18">
        <v>3600.0</v>
      </c>
      <c r="P640" s="4"/>
    </row>
    <row r="641">
      <c r="A641" s="8" t="s">
        <v>648</v>
      </c>
      <c r="B641" s="9">
        <v>45.0</v>
      </c>
      <c r="C641" s="9" t="s">
        <v>460</v>
      </c>
      <c r="D641" s="9">
        <v>25.0</v>
      </c>
      <c r="E641" s="10">
        <v>1.0</v>
      </c>
      <c r="F641" s="9">
        <v>4.0</v>
      </c>
      <c r="G641" s="9">
        <v>0.0</v>
      </c>
      <c r="H641" s="9">
        <v>1.0</v>
      </c>
      <c r="I641" s="9">
        <v>0.0</v>
      </c>
      <c r="J641" s="17">
        <v>12960.0</v>
      </c>
      <c r="K641" s="18">
        <v>-4463.3</v>
      </c>
      <c r="L641" s="17">
        <v>-4131.0</v>
      </c>
      <c r="M641" s="18">
        <v>-4368.85</v>
      </c>
      <c r="N641" s="18">
        <v>5.75758</v>
      </c>
      <c r="O641" s="18">
        <v>3600.0</v>
      </c>
      <c r="P641" s="4"/>
    </row>
    <row r="642">
      <c r="A642" s="8" t="s">
        <v>649</v>
      </c>
      <c r="B642" s="9">
        <v>45.0</v>
      </c>
      <c r="C642" s="9" t="s">
        <v>460</v>
      </c>
      <c r="D642" s="9">
        <v>25.0</v>
      </c>
      <c r="E642" s="10">
        <v>1.0</v>
      </c>
      <c r="F642" s="9">
        <v>5.0</v>
      </c>
      <c r="G642" s="9">
        <v>1.0</v>
      </c>
      <c r="H642" s="9">
        <v>0.0</v>
      </c>
      <c r="I642" s="9">
        <v>0.0</v>
      </c>
      <c r="J642" s="17">
        <v>14085.0</v>
      </c>
      <c r="K642" s="18">
        <v>-4600.31</v>
      </c>
      <c r="L642" s="17">
        <v>-4565.0</v>
      </c>
      <c r="M642" s="18">
        <v>-4565.0</v>
      </c>
      <c r="N642" s="18">
        <v>0.0</v>
      </c>
      <c r="O642" s="18">
        <v>535.37</v>
      </c>
      <c r="P642" s="4"/>
    </row>
    <row r="643">
      <c r="A643" s="8" t="s">
        <v>650</v>
      </c>
      <c r="B643" s="9">
        <v>45.0</v>
      </c>
      <c r="C643" s="9" t="s">
        <v>460</v>
      </c>
      <c r="D643" s="9">
        <v>25.0</v>
      </c>
      <c r="E643" s="10">
        <v>2.0</v>
      </c>
      <c r="F643" s="9">
        <v>1.0</v>
      </c>
      <c r="G643" s="9">
        <v>1.0</v>
      </c>
      <c r="H643" s="9">
        <v>0.0</v>
      </c>
      <c r="I643" s="9">
        <v>0.0</v>
      </c>
      <c r="J643" s="17">
        <v>91125.0</v>
      </c>
      <c r="K643" s="18">
        <v>16685.8</v>
      </c>
      <c r="L643" s="17">
        <v>16724.0</v>
      </c>
      <c r="M643" s="18">
        <v>16724.0</v>
      </c>
      <c r="N643" s="18">
        <v>0.0</v>
      </c>
      <c r="O643" s="18">
        <v>79.004</v>
      </c>
      <c r="P643" s="4"/>
    </row>
    <row r="644">
      <c r="A644" s="8" t="s">
        <v>651</v>
      </c>
      <c r="B644" s="9">
        <v>45.0</v>
      </c>
      <c r="C644" s="9" t="s">
        <v>460</v>
      </c>
      <c r="D644" s="9">
        <v>25.0</v>
      </c>
      <c r="E644" s="10">
        <v>2.0</v>
      </c>
      <c r="F644" s="9">
        <v>2.0</v>
      </c>
      <c r="G644" s="9">
        <v>1.0</v>
      </c>
      <c r="H644" s="9">
        <v>0.0</v>
      </c>
      <c r="I644" s="9">
        <v>0.0</v>
      </c>
      <c r="J644" s="17">
        <v>90765.0</v>
      </c>
      <c r="K644" s="18">
        <v>16269.4</v>
      </c>
      <c r="L644" s="17">
        <v>16307.0</v>
      </c>
      <c r="M644" s="18">
        <v>16307.0</v>
      </c>
      <c r="N644" s="18">
        <v>0.0</v>
      </c>
      <c r="O644" s="18">
        <v>115.648</v>
      </c>
      <c r="P644" s="4"/>
    </row>
    <row r="645">
      <c r="A645" s="8" t="s">
        <v>652</v>
      </c>
      <c r="B645" s="9">
        <v>45.0</v>
      </c>
      <c r="C645" s="9" t="s">
        <v>460</v>
      </c>
      <c r="D645" s="9">
        <v>25.0</v>
      </c>
      <c r="E645" s="10">
        <v>2.0</v>
      </c>
      <c r="F645" s="9">
        <v>3.0</v>
      </c>
      <c r="G645" s="9">
        <v>1.0</v>
      </c>
      <c r="H645" s="9">
        <v>0.0</v>
      </c>
      <c r="I645" s="9">
        <v>0.0</v>
      </c>
      <c r="J645" s="17">
        <v>92160.0</v>
      </c>
      <c r="K645" s="18">
        <v>16600.7</v>
      </c>
      <c r="L645" s="17">
        <v>16685.0</v>
      </c>
      <c r="M645" s="18">
        <v>16685.0</v>
      </c>
      <c r="N645" s="18">
        <v>0.0</v>
      </c>
      <c r="O645" s="18">
        <v>147.268</v>
      </c>
      <c r="P645" s="4"/>
    </row>
    <row r="646">
      <c r="A646" s="8" t="s">
        <v>653</v>
      </c>
      <c r="B646" s="9">
        <v>45.0</v>
      </c>
      <c r="C646" s="9" t="s">
        <v>460</v>
      </c>
      <c r="D646" s="9">
        <v>25.0</v>
      </c>
      <c r="E646" s="10">
        <v>2.0</v>
      </c>
      <c r="F646" s="9">
        <v>4.0</v>
      </c>
      <c r="G646" s="9">
        <v>1.0</v>
      </c>
      <c r="H646" s="9">
        <v>0.0</v>
      </c>
      <c r="I646" s="9">
        <v>0.0</v>
      </c>
      <c r="J646" s="17">
        <v>94140.0</v>
      </c>
      <c r="K646" s="18">
        <v>17155.2</v>
      </c>
      <c r="L646" s="17">
        <v>17340.0</v>
      </c>
      <c r="M646" s="18">
        <v>17340.0</v>
      </c>
      <c r="N646" s="18">
        <v>0.0</v>
      </c>
      <c r="O646" s="18">
        <v>1660.6</v>
      </c>
      <c r="P646" s="4"/>
    </row>
    <row r="647">
      <c r="A647" s="8" t="s">
        <v>654</v>
      </c>
      <c r="B647" s="9">
        <v>45.0</v>
      </c>
      <c r="C647" s="9" t="s">
        <v>460</v>
      </c>
      <c r="D647" s="9">
        <v>25.0</v>
      </c>
      <c r="E647" s="10">
        <v>2.0</v>
      </c>
      <c r="F647" s="9">
        <v>5.0</v>
      </c>
      <c r="G647" s="9">
        <v>1.0</v>
      </c>
      <c r="H647" s="9">
        <v>0.0</v>
      </c>
      <c r="I647" s="9">
        <v>0.0</v>
      </c>
      <c r="J647" s="17">
        <v>18835.0</v>
      </c>
      <c r="K647" s="18">
        <v>18835.0</v>
      </c>
      <c r="L647" s="17">
        <v>18835.0</v>
      </c>
      <c r="M647" s="18">
        <v>18835.0</v>
      </c>
      <c r="N647" s="18">
        <v>0.0</v>
      </c>
      <c r="O647" s="18">
        <v>6.628</v>
      </c>
      <c r="P647" s="4"/>
    </row>
    <row r="648">
      <c r="A648" s="8" t="s">
        <v>655</v>
      </c>
      <c r="B648" s="9">
        <v>45.0</v>
      </c>
      <c r="C648" s="9" t="s">
        <v>460</v>
      </c>
      <c r="D648" s="9">
        <v>50.0</v>
      </c>
      <c r="E648" s="10">
        <v>0.6</v>
      </c>
      <c r="F648" s="9">
        <v>1.0</v>
      </c>
      <c r="G648" s="9">
        <v>0.0</v>
      </c>
      <c r="H648" s="9">
        <v>1.0</v>
      </c>
      <c r="I648" s="9">
        <v>0.0</v>
      </c>
      <c r="J648" s="17">
        <v>5805.0</v>
      </c>
      <c r="K648" s="18">
        <v>-25389.0</v>
      </c>
      <c r="L648" s="17">
        <v>5805.0</v>
      </c>
      <c r="M648" s="18">
        <v>-25389.0</v>
      </c>
      <c r="N648" s="18">
        <v>537.364</v>
      </c>
      <c r="O648" s="18">
        <v>3600.0</v>
      </c>
      <c r="P648" s="4"/>
    </row>
    <row r="649">
      <c r="A649" s="8" t="s">
        <v>656</v>
      </c>
      <c r="B649" s="9">
        <v>45.0</v>
      </c>
      <c r="C649" s="9" t="s">
        <v>460</v>
      </c>
      <c r="D649" s="9">
        <v>50.0</v>
      </c>
      <c r="E649" s="10">
        <v>0.6</v>
      </c>
      <c r="F649" s="9">
        <v>2.0</v>
      </c>
      <c r="G649" s="9">
        <v>0.0</v>
      </c>
      <c r="H649" s="9">
        <v>1.0</v>
      </c>
      <c r="I649" s="9">
        <v>0.0</v>
      </c>
      <c r="J649" s="17">
        <v>5895.0</v>
      </c>
      <c r="K649" s="18">
        <v>-25636.0</v>
      </c>
      <c r="L649" s="17">
        <v>5895.0</v>
      </c>
      <c r="M649" s="18">
        <v>-25636.0</v>
      </c>
      <c r="N649" s="18">
        <v>534.877</v>
      </c>
      <c r="O649" s="18">
        <v>3600.0</v>
      </c>
      <c r="P649" s="4"/>
    </row>
    <row r="650">
      <c r="A650" s="8" t="s">
        <v>657</v>
      </c>
      <c r="B650" s="9">
        <v>45.0</v>
      </c>
      <c r="C650" s="9" t="s">
        <v>460</v>
      </c>
      <c r="D650" s="9">
        <v>50.0</v>
      </c>
      <c r="E650" s="10">
        <v>0.6</v>
      </c>
      <c r="F650" s="9">
        <v>3.0</v>
      </c>
      <c r="G650" s="9">
        <v>0.0</v>
      </c>
      <c r="H650" s="9">
        <v>1.0</v>
      </c>
      <c r="I650" s="9">
        <v>0.0</v>
      </c>
      <c r="J650" s="17">
        <v>5400.0</v>
      </c>
      <c r="K650" s="18">
        <v>-23456.0</v>
      </c>
      <c r="L650" s="17">
        <v>5400.0</v>
      </c>
      <c r="M650" s="18">
        <v>-23456.0</v>
      </c>
      <c r="N650" s="18">
        <v>534.37</v>
      </c>
      <c r="O650" s="18">
        <v>3600.0</v>
      </c>
      <c r="P650" s="4"/>
    </row>
    <row r="651">
      <c r="A651" s="8" t="s">
        <v>658</v>
      </c>
      <c r="B651" s="9">
        <v>45.0</v>
      </c>
      <c r="C651" s="9" t="s">
        <v>460</v>
      </c>
      <c r="D651" s="9">
        <v>50.0</v>
      </c>
      <c r="E651" s="10">
        <v>0.6</v>
      </c>
      <c r="F651" s="9">
        <v>4.0</v>
      </c>
      <c r="G651" s="9">
        <v>0.0</v>
      </c>
      <c r="H651" s="9">
        <v>1.0</v>
      </c>
      <c r="I651" s="9">
        <v>0.0</v>
      </c>
      <c r="J651" s="17">
        <v>5895.0</v>
      </c>
      <c r="K651" s="18">
        <v>-25704.0</v>
      </c>
      <c r="L651" s="17">
        <v>5895.0</v>
      </c>
      <c r="M651" s="18">
        <v>-25704.0</v>
      </c>
      <c r="N651" s="18">
        <v>536.031</v>
      </c>
      <c r="O651" s="18">
        <v>3600.0</v>
      </c>
      <c r="P651" s="4"/>
    </row>
    <row r="652">
      <c r="A652" s="8" t="s">
        <v>659</v>
      </c>
      <c r="B652" s="9">
        <v>45.0</v>
      </c>
      <c r="C652" s="9" t="s">
        <v>460</v>
      </c>
      <c r="D652" s="9">
        <v>50.0</v>
      </c>
      <c r="E652" s="10">
        <v>0.6</v>
      </c>
      <c r="F652" s="9">
        <v>5.0</v>
      </c>
      <c r="G652" s="9">
        <v>0.0</v>
      </c>
      <c r="H652" s="9">
        <v>1.0</v>
      </c>
      <c r="I652" s="9">
        <v>0.0</v>
      </c>
      <c r="J652" s="17">
        <v>5355.0</v>
      </c>
      <c r="K652" s="18">
        <v>-23279.0</v>
      </c>
      <c r="L652" s="17">
        <v>5355.0</v>
      </c>
      <c r="M652" s="18">
        <v>-23279.0</v>
      </c>
      <c r="N652" s="18">
        <v>534.715</v>
      </c>
      <c r="O652" s="18">
        <v>3600.0</v>
      </c>
      <c r="P652" s="4"/>
    </row>
    <row r="653">
      <c r="A653" s="8" t="s">
        <v>660</v>
      </c>
      <c r="B653" s="9">
        <v>45.0</v>
      </c>
      <c r="C653" s="9" t="s">
        <v>460</v>
      </c>
      <c r="D653" s="9">
        <v>50.0</v>
      </c>
      <c r="E653" s="10">
        <v>1.0</v>
      </c>
      <c r="F653" s="9">
        <v>1.0</v>
      </c>
      <c r="G653" s="9">
        <v>0.0</v>
      </c>
      <c r="H653" s="9">
        <v>1.0</v>
      </c>
      <c r="I653" s="9">
        <v>0.0</v>
      </c>
      <c r="J653" s="17">
        <v>25785.0</v>
      </c>
      <c r="K653" s="18">
        <v>-6012.46</v>
      </c>
      <c r="L653" s="17">
        <v>-5207.0</v>
      </c>
      <c r="M653" s="18">
        <v>-5994.95</v>
      </c>
      <c r="N653" s="18">
        <v>15.1326</v>
      </c>
      <c r="O653" s="18">
        <v>3600.0</v>
      </c>
      <c r="P653" s="4"/>
    </row>
    <row r="654">
      <c r="A654" s="8" t="s">
        <v>661</v>
      </c>
      <c r="B654" s="9">
        <v>45.0</v>
      </c>
      <c r="C654" s="9" t="s">
        <v>460</v>
      </c>
      <c r="D654" s="9">
        <v>50.0</v>
      </c>
      <c r="E654" s="10">
        <v>1.0</v>
      </c>
      <c r="F654" s="9">
        <v>2.0</v>
      </c>
      <c r="G654" s="9">
        <v>0.0</v>
      </c>
      <c r="H654" s="9">
        <v>1.0</v>
      </c>
      <c r="I654" s="9">
        <v>0.0</v>
      </c>
      <c r="J654" s="17">
        <v>26055.0</v>
      </c>
      <c r="K654" s="18">
        <v>-6183.39</v>
      </c>
      <c r="L654" s="17">
        <v>-5467.0</v>
      </c>
      <c r="M654" s="18">
        <v>-6134.5</v>
      </c>
      <c r="N654" s="18">
        <v>12.2096</v>
      </c>
      <c r="O654" s="18">
        <v>3600.0</v>
      </c>
      <c r="P654" s="4"/>
    </row>
    <row r="655">
      <c r="A655" s="8" t="s">
        <v>662</v>
      </c>
      <c r="B655" s="9">
        <v>45.0</v>
      </c>
      <c r="C655" s="9" t="s">
        <v>460</v>
      </c>
      <c r="D655" s="9">
        <v>50.0</v>
      </c>
      <c r="E655" s="10">
        <v>1.0</v>
      </c>
      <c r="F655" s="9">
        <v>3.0</v>
      </c>
      <c r="G655" s="9">
        <v>0.0</v>
      </c>
      <c r="H655" s="9">
        <v>1.0</v>
      </c>
      <c r="I655" s="9">
        <v>0.0</v>
      </c>
      <c r="J655" s="17">
        <v>23850.0</v>
      </c>
      <c r="K655" s="18">
        <v>-6052.49</v>
      </c>
      <c r="L655" s="17">
        <v>-5293.0</v>
      </c>
      <c r="M655" s="18">
        <v>-6006.57</v>
      </c>
      <c r="N655" s="18">
        <v>13.4815</v>
      </c>
      <c r="O655" s="18">
        <v>3600.0</v>
      </c>
      <c r="P655" s="4"/>
    </row>
    <row r="656">
      <c r="A656" s="8" t="s">
        <v>663</v>
      </c>
      <c r="B656" s="9">
        <v>45.0</v>
      </c>
      <c r="C656" s="9" t="s">
        <v>460</v>
      </c>
      <c r="D656" s="9">
        <v>50.0</v>
      </c>
      <c r="E656" s="10">
        <v>1.0</v>
      </c>
      <c r="F656" s="9">
        <v>4.0</v>
      </c>
      <c r="G656" s="9">
        <v>0.0</v>
      </c>
      <c r="H656" s="9">
        <v>1.0</v>
      </c>
      <c r="I656" s="9">
        <v>0.0</v>
      </c>
      <c r="J656" s="17">
        <v>26100.0</v>
      </c>
      <c r="K656" s="18">
        <v>-6149.67</v>
      </c>
      <c r="L656" s="17">
        <v>-5968.0</v>
      </c>
      <c r="M656" s="18">
        <v>-6109.42</v>
      </c>
      <c r="N656" s="18">
        <v>2.36969</v>
      </c>
      <c r="O656" s="18">
        <v>3600.0</v>
      </c>
      <c r="P656" s="4"/>
    </row>
    <row r="657">
      <c r="A657" s="8" t="s">
        <v>664</v>
      </c>
      <c r="B657" s="9">
        <v>45.0</v>
      </c>
      <c r="C657" s="9" t="s">
        <v>460</v>
      </c>
      <c r="D657" s="9">
        <v>50.0</v>
      </c>
      <c r="E657" s="10">
        <v>1.0</v>
      </c>
      <c r="F657" s="9">
        <v>5.0</v>
      </c>
      <c r="G657" s="9">
        <v>0.0</v>
      </c>
      <c r="H657" s="9">
        <v>1.0</v>
      </c>
      <c r="I657" s="9">
        <v>0.0</v>
      </c>
      <c r="J657" s="17">
        <v>23670.0</v>
      </c>
      <c r="K657" s="18">
        <v>-6008.56</v>
      </c>
      <c r="L657" s="17">
        <v>-5402.0</v>
      </c>
      <c r="M657" s="18">
        <v>-5962.35</v>
      </c>
      <c r="N657" s="18">
        <v>10.373</v>
      </c>
      <c r="O657" s="18">
        <v>3600.0</v>
      </c>
      <c r="P657" s="4"/>
    </row>
    <row r="658">
      <c r="A658" s="8" t="s">
        <v>665</v>
      </c>
      <c r="B658" s="9">
        <v>45.0</v>
      </c>
      <c r="C658" s="9" t="s">
        <v>460</v>
      </c>
      <c r="D658" s="9">
        <v>50.0</v>
      </c>
      <c r="E658" s="10">
        <v>2.0</v>
      </c>
      <c r="F658" s="9">
        <v>1.0</v>
      </c>
      <c r="G658" s="9">
        <v>1.0</v>
      </c>
      <c r="H658" s="9">
        <v>0.0</v>
      </c>
      <c r="I658" s="9">
        <v>0.0</v>
      </c>
      <c r="J658" s="17">
        <v>187470.0</v>
      </c>
      <c r="K658" s="18">
        <v>36452.7</v>
      </c>
      <c r="L658" s="17">
        <v>36597.0</v>
      </c>
      <c r="M658" s="18">
        <v>36597.0</v>
      </c>
      <c r="N658" s="18">
        <v>0.0</v>
      </c>
      <c r="O658" s="18">
        <v>925.527</v>
      </c>
      <c r="P658" s="4"/>
    </row>
    <row r="659">
      <c r="A659" s="8" t="s">
        <v>666</v>
      </c>
      <c r="B659" s="9">
        <v>45.0</v>
      </c>
      <c r="C659" s="9" t="s">
        <v>460</v>
      </c>
      <c r="D659" s="9">
        <v>50.0</v>
      </c>
      <c r="E659" s="10">
        <v>2.0</v>
      </c>
      <c r="F659" s="9">
        <v>2.0</v>
      </c>
      <c r="G659" s="9">
        <v>1.0</v>
      </c>
      <c r="H659" s="9">
        <v>0.0</v>
      </c>
      <c r="I659" s="9">
        <v>0.0</v>
      </c>
      <c r="J659" s="17">
        <v>189315.0</v>
      </c>
      <c r="K659" s="18">
        <v>36757.8</v>
      </c>
      <c r="L659" s="17">
        <v>36831.0</v>
      </c>
      <c r="M659" s="18">
        <v>36831.0</v>
      </c>
      <c r="N659" s="18">
        <v>0.0</v>
      </c>
      <c r="O659" s="18">
        <v>136.162</v>
      </c>
      <c r="P659" s="4"/>
    </row>
    <row r="660">
      <c r="A660" s="8" t="s">
        <v>667</v>
      </c>
      <c r="B660" s="9">
        <v>45.0</v>
      </c>
      <c r="C660" s="9" t="s">
        <v>460</v>
      </c>
      <c r="D660" s="9">
        <v>50.0</v>
      </c>
      <c r="E660" s="10">
        <v>2.0</v>
      </c>
      <c r="F660" s="9">
        <v>3.0</v>
      </c>
      <c r="G660" s="9">
        <v>1.0</v>
      </c>
      <c r="H660" s="9">
        <v>0.0</v>
      </c>
      <c r="I660" s="9">
        <v>0.0</v>
      </c>
      <c r="J660" s="17">
        <v>173250.0</v>
      </c>
      <c r="K660" s="18">
        <v>33262.5</v>
      </c>
      <c r="L660" s="17">
        <v>33349.0</v>
      </c>
      <c r="M660" s="18">
        <v>33349.0</v>
      </c>
      <c r="N660" s="18">
        <v>0.0</v>
      </c>
      <c r="O660" s="18">
        <v>280.275</v>
      </c>
      <c r="P660" s="4"/>
    </row>
    <row r="661">
      <c r="A661" s="8" t="s">
        <v>668</v>
      </c>
      <c r="B661" s="9">
        <v>45.0</v>
      </c>
      <c r="C661" s="9" t="s">
        <v>460</v>
      </c>
      <c r="D661" s="9">
        <v>50.0</v>
      </c>
      <c r="E661" s="10">
        <v>2.0</v>
      </c>
      <c r="F661" s="9">
        <v>4.0</v>
      </c>
      <c r="G661" s="9">
        <v>1.0</v>
      </c>
      <c r="H661" s="9">
        <v>0.0</v>
      </c>
      <c r="I661" s="9">
        <v>0.0</v>
      </c>
      <c r="J661" s="17">
        <v>189810.0</v>
      </c>
      <c r="K661" s="18">
        <v>36834.6</v>
      </c>
      <c r="L661" s="17">
        <v>36919.0</v>
      </c>
      <c r="M661" s="18">
        <v>36919.0</v>
      </c>
      <c r="N661" s="18">
        <v>0.0</v>
      </c>
      <c r="O661" s="18">
        <v>406.048</v>
      </c>
      <c r="P661" s="4"/>
    </row>
    <row r="662">
      <c r="A662" s="8" t="s">
        <v>669</v>
      </c>
      <c r="B662" s="9">
        <v>45.0</v>
      </c>
      <c r="C662" s="9" t="s">
        <v>460</v>
      </c>
      <c r="D662" s="9">
        <v>50.0</v>
      </c>
      <c r="E662" s="10">
        <v>2.0</v>
      </c>
      <c r="F662" s="9">
        <v>5.0</v>
      </c>
      <c r="G662" s="9">
        <v>1.0</v>
      </c>
      <c r="H662" s="9">
        <v>0.0</v>
      </c>
      <c r="I662" s="9">
        <v>0.0</v>
      </c>
      <c r="J662" s="17">
        <v>171900.0</v>
      </c>
      <c r="K662" s="18">
        <v>33141.7</v>
      </c>
      <c r="L662" s="17">
        <v>33238.0</v>
      </c>
      <c r="M662" s="18">
        <v>33238.0</v>
      </c>
      <c r="N662" s="18">
        <v>0.0</v>
      </c>
      <c r="O662" s="18">
        <v>385.226</v>
      </c>
      <c r="P662" s="4"/>
    </row>
    <row r="663">
      <c r="A663" s="8" t="s">
        <v>670</v>
      </c>
      <c r="B663" s="9">
        <v>45.0</v>
      </c>
      <c r="C663" s="9" t="s">
        <v>460</v>
      </c>
      <c r="D663" s="9">
        <v>75.0</v>
      </c>
      <c r="E663" s="10">
        <v>0.6</v>
      </c>
      <c r="F663" s="9">
        <v>1.0</v>
      </c>
      <c r="G663" s="9">
        <v>0.0</v>
      </c>
      <c r="H663" s="9">
        <v>1.0</v>
      </c>
      <c r="I663" s="9">
        <v>0.0</v>
      </c>
      <c r="J663" s="17">
        <v>8730.0</v>
      </c>
      <c r="K663" s="18">
        <v>-38136.0</v>
      </c>
      <c r="L663" s="17">
        <v>8730.0</v>
      </c>
      <c r="M663" s="18">
        <v>-38136.0</v>
      </c>
      <c r="N663" s="18">
        <v>536.838</v>
      </c>
      <c r="O663" s="18">
        <v>3600.0</v>
      </c>
      <c r="P663" s="4"/>
    </row>
    <row r="664">
      <c r="A664" s="8" t="s">
        <v>671</v>
      </c>
      <c r="B664" s="9">
        <v>45.0</v>
      </c>
      <c r="C664" s="9" t="s">
        <v>460</v>
      </c>
      <c r="D664" s="9">
        <v>75.0</v>
      </c>
      <c r="E664" s="10">
        <v>0.6</v>
      </c>
      <c r="F664" s="9">
        <v>2.0</v>
      </c>
      <c r="G664" s="9">
        <v>0.0</v>
      </c>
      <c r="H664" s="9">
        <v>1.0</v>
      </c>
      <c r="I664" s="9">
        <v>0.0</v>
      </c>
      <c r="J664" s="17">
        <v>9045.0</v>
      </c>
      <c r="K664" s="18">
        <v>-39464.0</v>
      </c>
      <c r="L664" s="17">
        <v>9045.0</v>
      </c>
      <c r="M664" s="18">
        <v>-39464.0</v>
      </c>
      <c r="N664" s="18">
        <v>536.307</v>
      </c>
      <c r="O664" s="18">
        <v>3600.0</v>
      </c>
      <c r="P664" s="4"/>
    </row>
    <row r="665">
      <c r="A665" s="8" t="s">
        <v>672</v>
      </c>
      <c r="B665" s="9">
        <v>45.0</v>
      </c>
      <c r="C665" s="9" t="s">
        <v>460</v>
      </c>
      <c r="D665" s="9">
        <v>75.0</v>
      </c>
      <c r="E665" s="10">
        <v>0.6</v>
      </c>
      <c r="F665" s="9">
        <v>3.0</v>
      </c>
      <c r="G665" s="9">
        <v>0.0</v>
      </c>
      <c r="H665" s="9">
        <v>1.0</v>
      </c>
      <c r="I665" s="9">
        <v>0.0</v>
      </c>
      <c r="J665" s="17">
        <v>8730.0</v>
      </c>
      <c r="K665" s="18">
        <v>-38041.0</v>
      </c>
      <c r="L665" s="17">
        <v>8730.0</v>
      </c>
      <c r="M665" s="18">
        <v>-38041.0</v>
      </c>
      <c r="N665" s="18">
        <v>535.75</v>
      </c>
      <c r="O665" s="18">
        <v>3600.0</v>
      </c>
      <c r="P665" s="4"/>
    </row>
    <row r="666">
      <c r="A666" s="8" t="s">
        <v>673</v>
      </c>
      <c r="B666" s="9">
        <v>45.0</v>
      </c>
      <c r="C666" s="9" t="s">
        <v>460</v>
      </c>
      <c r="D666" s="9">
        <v>75.0</v>
      </c>
      <c r="E666" s="10">
        <v>0.6</v>
      </c>
      <c r="F666" s="9">
        <v>4.0</v>
      </c>
      <c r="G666" s="9">
        <v>0.0</v>
      </c>
      <c r="H666" s="9">
        <v>1.0</v>
      </c>
      <c r="I666" s="9">
        <v>0.0</v>
      </c>
      <c r="J666" s="17">
        <v>8415.0</v>
      </c>
      <c r="K666" s="18">
        <v>-36789.0</v>
      </c>
      <c r="L666" s="17">
        <v>8415.0</v>
      </c>
      <c r="M666" s="18">
        <v>-36789.0</v>
      </c>
      <c r="N666" s="18">
        <v>537.184</v>
      </c>
      <c r="O666" s="18">
        <v>3600.0</v>
      </c>
      <c r="P666" s="4"/>
    </row>
    <row r="667">
      <c r="A667" s="8" t="s">
        <v>674</v>
      </c>
      <c r="B667" s="9">
        <v>45.0</v>
      </c>
      <c r="C667" s="9" t="s">
        <v>460</v>
      </c>
      <c r="D667" s="9">
        <v>75.0</v>
      </c>
      <c r="E667" s="10">
        <v>0.6</v>
      </c>
      <c r="F667" s="9">
        <v>5.0</v>
      </c>
      <c r="G667" s="9">
        <v>0.0</v>
      </c>
      <c r="H667" s="9">
        <v>1.0</v>
      </c>
      <c r="I667" s="9">
        <v>0.0</v>
      </c>
      <c r="J667" s="17">
        <v>8100.0</v>
      </c>
      <c r="K667" s="18">
        <v>-35440.0</v>
      </c>
      <c r="L667" s="17">
        <v>8100.0</v>
      </c>
      <c r="M667" s="18">
        <v>-35440.0</v>
      </c>
      <c r="N667" s="18">
        <v>537.531</v>
      </c>
      <c r="O667" s="18">
        <v>3600.0</v>
      </c>
      <c r="P667" s="4"/>
    </row>
    <row r="668">
      <c r="A668" s="8" t="s">
        <v>675</v>
      </c>
      <c r="B668" s="9">
        <v>45.0</v>
      </c>
      <c r="C668" s="9" t="s">
        <v>460</v>
      </c>
      <c r="D668" s="9">
        <v>75.0</v>
      </c>
      <c r="E668" s="10">
        <v>1.0</v>
      </c>
      <c r="F668" s="9">
        <v>1.0</v>
      </c>
      <c r="G668" s="9">
        <v>0.0</v>
      </c>
      <c r="H668" s="9">
        <v>1.0</v>
      </c>
      <c r="I668" s="9">
        <v>0.0</v>
      </c>
      <c r="J668" s="17">
        <v>38745.0</v>
      </c>
      <c r="K668" s="18">
        <v>-6916.7</v>
      </c>
      <c r="L668" s="17">
        <v>-6425.0</v>
      </c>
      <c r="M668" s="18">
        <v>-6872.16</v>
      </c>
      <c r="N668" s="18">
        <v>6.95965</v>
      </c>
      <c r="O668" s="18">
        <v>3600.0</v>
      </c>
      <c r="P668" s="4"/>
    </row>
    <row r="669">
      <c r="A669" s="8" t="s">
        <v>676</v>
      </c>
      <c r="B669" s="9">
        <v>45.0</v>
      </c>
      <c r="C669" s="9" t="s">
        <v>460</v>
      </c>
      <c r="D669" s="9">
        <v>75.0</v>
      </c>
      <c r="E669" s="10">
        <v>1.0</v>
      </c>
      <c r="F669" s="9">
        <v>2.0</v>
      </c>
      <c r="G669" s="9">
        <v>0.0</v>
      </c>
      <c r="H669" s="9">
        <v>1.0</v>
      </c>
      <c r="I669" s="9">
        <v>0.0</v>
      </c>
      <c r="J669" s="17">
        <v>40095.0</v>
      </c>
      <c r="K669" s="18">
        <v>-8750.63</v>
      </c>
      <c r="L669" s="17">
        <v>-7663.0</v>
      </c>
      <c r="M669" s="18">
        <v>-8730.98</v>
      </c>
      <c r="N669" s="18">
        <v>13.9369</v>
      </c>
      <c r="O669" s="18">
        <v>3600.0</v>
      </c>
      <c r="P669" s="4"/>
    </row>
    <row r="670">
      <c r="A670" s="8" t="s">
        <v>677</v>
      </c>
      <c r="B670" s="9">
        <v>45.0</v>
      </c>
      <c r="C670" s="9" t="s">
        <v>460</v>
      </c>
      <c r="D670" s="9">
        <v>75.0</v>
      </c>
      <c r="E670" s="10">
        <v>1.0</v>
      </c>
      <c r="F670" s="9">
        <v>3.0</v>
      </c>
      <c r="G670" s="9">
        <v>0.0</v>
      </c>
      <c r="H670" s="9">
        <v>1.0</v>
      </c>
      <c r="I670" s="9">
        <v>0.0</v>
      </c>
      <c r="J670" s="17">
        <v>38655.0</v>
      </c>
      <c r="K670" s="18">
        <v>-7288.29</v>
      </c>
      <c r="L670" s="17">
        <v>-5669.0</v>
      </c>
      <c r="M670" s="18">
        <v>-7252.98</v>
      </c>
      <c r="N670" s="18">
        <v>27.941</v>
      </c>
      <c r="O670" s="18">
        <v>3600.0</v>
      </c>
      <c r="P670" s="4"/>
    </row>
    <row r="671">
      <c r="A671" s="8" t="s">
        <v>678</v>
      </c>
      <c r="B671" s="9">
        <v>45.0</v>
      </c>
      <c r="C671" s="9" t="s">
        <v>460</v>
      </c>
      <c r="D671" s="9">
        <v>75.0</v>
      </c>
      <c r="E671" s="10">
        <v>1.0</v>
      </c>
      <c r="F671" s="9">
        <v>4.0</v>
      </c>
      <c r="G671" s="9">
        <v>0.0</v>
      </c>
      <c r="H671" s="9">
        <v>1.0</v>
      </c>
      <c r="I671" s="9">
        <v>0.0</v>
      </c>
      <c r="J671" s="17">
        <v>37350.0</v>
      </c>
      <c r="K671" s="18">
        <v>-7178.91</v>
      </c>
      <c r="L671" s="17">
        <v>-5917.0</v>
      </c>
      <c r="M671" s="18">
        <v>-7124.67</v>
      </c>
      <c r="N671" s="18">
        <v>20.4102</v>
      </c>
      <c r="O671" s="18">
        <v>3600.0</v>
      </c>
      <c r="P671" s="4"/>
    </row>
    <row r="672">
      <c r="A672" s="8" t="s">
        <v>679</v>
      </c>
      <c r="B672" s="9">
        <v>45.0</v>
      </c>
      <c r="C672" s="9" t="s">
        <v>460</v>
      </c>
      <c r="D672" s="9">
        <v>75.0</v>
      </c>
      <c r="E672" s="10">
        <v>1.0</v>
      </c>
      <c r="F672" s="9">
        <v>5.0</v>
      </c>
      <c r="G672" s="9">
        <v>0.0</v>
      </c>
      <c r="H672" s="9">
        <v>1.0</v>
      </c>
      <c r="I672" s="9">
        <v>0.0</v>
      </c>
      <c r="J672" s="17">
        <v>36000.0</v>
      </c>
      <c r="K672" s="18">
        <v>-7452.48</v>
      </c>
      <c r="L672" s="17">
        <v>-7239.0</v>
      </c>
      <c r="M672" s="18">
        <v>-7404.44</v>
      </c>
      <c r="N672" s="18">
        <v>2.28546</v>
      </c>
      <c r="O672" s="18">
        <v>3600.0</v>
      </c>
      <c r="P672" s="4"/>
    </row>
    <row r="673">
      <c r="A673" s="8" t="s">
        <v>680</v>
      </c>
      <c r="B673" s="9">
        <v>45.0</v>
      </c>
      <c r="C673" s="9" t="s">
        <v>460</v>
      </c>
      <c r="D673" s="9">
        <v>75.0</v>
      </c>
      <c r="E673" s="10">
        <v>2.0</v>
      </c>
      <c r="F673" s="9">
        <v>1.0</v>
      </c>
      <c r="G673" s="9">
        <v>0.0</v>
      </c>
      <c r="H673" s="9">
        <v>1.0</v>
      </c>
      <c r="I673" s="9">
        <v>0.0</v>
      </c>
      <c r="J673" s="17">
        <v>281610.0</v>
      </c>
      <c r="K673" s="18">
        <v>56312.8</v>
      </c>
      <c r="L673" s="17">
        <v>56627.0</v>
      </c>
      <c r="M673" s="18">
        <v>56506.4</v>
      </c>
      <c r="N673" s="18">
        <v>0.212964</v>
      </c>
      <c r="O673" s="18">
        <v>3600.0</v>
      </c>
      <c r="P673" s="4"/>
    </row>
    <row r="674">
      <c r="A674" s="8" t="s">
        <v>681</v>
      </c>
      <c r="B674" s="9">
        <v>45.0</v>
      </c>
      <c r="C674" s="9" t="s">
        <v>460</v>
      </c>
      <c r="D674" s="9">
        <v>75.0</v>
      </c>
      <c r="E674" s="10">
        <v>2.0</v>
      </c>
      <c r="F674" s="9">
        <v>2.0</v>
      </c>
      <c r="G674" s="9">
        <v>0.0</v>
      </c>
      <c r="H674" s="9">
        <v>1.0</v>
      </c>
      <c r="I674" s="9">
        <v>0.0</v>
      </c>
      <c r="J674" s="17">
        <v>291420.0</v>
      </c>
      <c r="K674" s="18">
        <v>56971.0</v>
      </c>
      <c r="L674" s="17">
        <v>57194.0</v>
      </c>
      <c r="M674" s="18">
        <v>57127.4</v>
      </c>
      <c r="N674" s="18">
        <v>0.116377</v>
      </c>
      <c r="O674" s="18">
        <v>3600.0</v>
      </c>
      <c r="P674" s="4"/>
    </row>
    <row r="675">
      <c r="A675" s="8" t="s">
        <v>682</v>
      </c>
      <c r="B675" s="9">
        <v>45.0</v>
      </c>
      <c r="C675" s="9" t="s">
        <v>460</v>
      </c>
      <c r="D675" s="9">
        <v>75.0</v>
      </c>
      <c r="E675" s="10">
        <v>2.0</v>
      </c>
      <c r="F675" s="9">
        <v>3.0</v>
      </c>
      <c r="G675" s="9">
        <v>1.0</v>
      </c>
      <c r="H675" s="9">
        <v>0.0</v>
      </c>
      <c r="I675" s="9">
        <v>0.0</v>
      </c>
      <c r="J675" s="17">
        <v>280935.0</v>
      </c>
      <c r="K675" s="18">
        <v>55995.4</v>
      </c>
      <c r="L675" s="17">
        <v>56159.0</v>
      </c>
      <c r="M675" s="18">
        <v>56159.0</v>
      </c>
      <c r="N675" s="18">
        <v>0.0</v>
      </c>
      <c r="O675" s="18">
        <v>947.733</v>
      </c>
      <c r="P675" s="4"/>
    </row>
    <row r="676">
      <c r="A676" s="8" t="s">
        <v>683</v>
      </c>
      <c r="B676" s="9">
        <v>45.0</v>
      </c>
      <c r="C676" s="9" t="s">
        <v>460</v>
      </c>
      <c r="D676" s="9">
        <v>75.0</v>
      </c>
      <c r="E676" s="10">
        <v>2.0</v>
      </c>
      <c r="F676" s="9">
        <v>4.0</v>
      </c>
      <c r="G676" s="9">
        <v>1.0</v>
      </c>
      <c r="H676" s="9">
        <v>0.0</v>
      </c>
      <c r="I676" s="9">
        <v>0.0</v>
      </c>
      <c r="J676" s="17">
        <v>271665.0</v>
      </c>
      <c r="K676" s="18">
        <v>53971.9</v>
      </c>
      <c r="L676" s="17">
        <v>54156.0</v>
      </c>
      <c r="M676" s="18">
        <v>54156.0</v>
      </c>
      <c r="N676" s="18">
        <v>0.0</v>
      </c>
      <c r="O676" s="18">
        <v>1635.7</v>
      </c>
      <c r="P676" s="4"/>
    </row>
    <row r="677">
      <c r="A677" s="8" t="s">
        <v>684</v>
      </c>
      <c r="B677" s="9">
        <v>45.0</v>
      </c>
      <c r="C677" s="9" t="s">
        <v>460</v>
      </c>
      <c r="D677" s="9">
        <v>75.0</v>
      </c>
      <c r="E677" s="10">
        <v>2.0</v>
      </c>
      <c r="F677" s="9">
        <v>5.0</v>
      </c>
      <c r="G677" s="9">
        <v>1.0</v>
      </c>
      <c r="H677" s="9">
        <v>0.0</v>
      </c>
      <c r="I677" s="9">
        <v>0.0</v>
      </c>
      <c r="J677" s="17">
        <v>261675.0</v>
      </c>
      <c r="K677" s="18">
        <v>51710.3</v>
      </c>
      <c r="L677" s="17">
        <v>51734.0</v>
      </c>
      <c r="M677" s="18">
        <v>51734.0</v>
      </c>
      <c r="N677" s="18">
        <v>0.0</v>
      </c>
      <c r="O677" s="18">
        <v>80.205</v>
      </c>
      <c r="P677" s="4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0.63"/>
    <col customWidth="1" min="2" max="9" width="6.13"/>
  </cols>
  <sheetData>
    <row r="1">
      <c r="A1" s="1" t="s">
        <v>0</v>
      </c>
      <c r="B1" s="2"/>
      <c r="C1" s="2"/>
      <c r="D1" s="2"/>
      <c r="E1" s="2"/>
      <c r="F1" s="3"/>
      <c r="G1" s="1" t="s">
        <v>703</v>
      </c>
      <c r="H1" s="2"/>
      <c r="I1" s="2"/>
      <c r="J1" s="2"/>
      <c r="K1" s="2"/>
      <c r="L1" s="2"/>
      <c r="M1" s="2"/>
      <c r="N1" s="2"/>
      <c r="O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686</v>
      </c>
      <c r="H2" s="5" t="s">
        <v>687</v>
      </c>
      <c r="I2" s="5" t="s">
        <v>688</v>
      </c>
      <c r="J2" s="5" t="s">
        <v>689</v>
      </c>
      <c r="K2" s="16" t="s">
        <v>690</v>
      </c>
      <c r="L2" s="5" t="s">
        <v>691</v>
      </c>
      <c r="M2" s="16" t="s">
        <v>692</v>
      </c>
      <c r="N2" s="16" t="s">
        <v>693</v>
      </c>
      <c r="O2" s="16" t="s">
        <v>694</v>
      </c>
    </row>
    <row r="3">
      <c r="A3" s="8" t="s">
        <v>7</v>
      </c>
      <c r="B3" s="9">
        <v>25.0</v>
      </c>
      <c r="C3" s="9" t="s">
        <v>8</v>
      </c>
      <c r="D3" s="9">
        <v>25.0</v>
      </c>
      <c r="E3" s="10">
        <v>0.6</v>
      </c>
      <c r="F3" s="9">
        <v>1.0</v>
      </c>
      <c r="G3" s="9">
        <v>1.0</v>
      </c>
      <c r="H3" s="9">
        <v>0.0</v>
      </c>
      <c r="I3" s="9">
        <v>0.0</v>
      </c>
      <c r="J3" s="17">
        <v>-604.0</v>
      </c>
      <c r="K3" s="18">
        <v>-605.5</v>
      </c>
      <c r="L3" s="17">
        <v>-604.0</v>
      </c>
      <c r="M3" s="18">
        <v>-604.0</v>
      </c>
      <c r="N3" s="18">
        <v>0.0</v>
      </c>
      <c r="O3" s="18">
        <v>0.505</v>
      </c>
      <c r="P3" s="4"/>
    </row>
    <row r="4">
      <c r="A4" s="8" t="s">
        <v>9</v>
      </c>
      <c r="B4" s="9">
        <v>25.0</v>
      </c>
      <c r="C4" s="9" t="s">
        <v>8</v>
      </c>
      <c r="D4" s="9">
        <v>25.0</v>
      </c>
      <c r="E4" s="10">
        <v>0.6</v>
      </c>
      <c r="F4" s="9">
        <v>2.0</v>
      </c>
      <c r="G4" s="9">
        <v>1.0</v>
      </c>
      <c r="H4" s="9">
        <v>0.0</v>
      </c>
      <c r="I4" s="9">
        <v>0.0</v>
      </c>
      <c r="J4" s="17">
        <v>-665.0</v>
      </c>
      <c r="K4" s="18">
        <v>-665.0</v>
      </c>
      <c r="L4" s="17">
        <v>-665.0</v>
      </c>
      <c r="M4" s="18">
        <v>-665.0</v>
      </c>
      <c r="N4" s="18">
        <v>0.0</v>
      </c>
      <c r="O4" s="18">
        <v>0.326</v>
      </c>
      <c r="P4" s="4"/>
    </row>
    <row r="5">
      <c r="A5" s="8" t="s">
        <v>10</v>
      </c>
      <c r="B5" s="9">
        <v>25.0</v>
      </c>
      <c r="C5" s="9" t="s">
        <v>8</v>
      </c>
      <c r="D5" s="9">
        <v>25.0</v>
      </c>
      <c r="E5" s="10">
        <v>0.6</v>
      </c>
      <c r="F5" s="9">
        <v>3.0</v>
      </c>
      <c r="G5" s="9">
        <v>1.0</v>
      </c>
      <c r="H5" s="9">
        <v>0.0</v>
      </c>
      <c r="I5" s="9">
        <v>0.0</v>
      </c>
      <c r="J5" s="17">
        <v>-730.0</v>
      </c>
      <c r="K5" s="18">
        <v>-730.0</v>
      </c>
      <c r="L5" s="17">
        <v>-730.0</v>
      </c>
      <c r="M5" s="18">
        <v>-730.0</v>
      </c>
      <c r="N5" s="18">
        <v>0.0</v>
      </c>
      <c r="O5" s="18">
        <v>0.437</v>
      </c>
      <c r="P5" s="4"/>
    </row>
    <row r="6">
      <c r="A6" s="8" t="s">
        <v>11</v>
      </c>
      <c r="B6" s="9">
        <v>25.0</v>
      </c>
      <c r="C6" s="9" t="s">
        <v>8</v>
      </c>
      <c r="D6" s="9">
        <v>25.0</v>
      </c>
      <c r="E6" s="10">
        <v>0.6</v>
      </c>
      <c r="F6" s="9">
        <v>4.0</v>
      </c>
      <c r="G6" s="9">
        <v>1.0</v>
      </c>
      <c r="H6" s="9">
        <v>0.0</v>
      </c>
      <c r="I6" s="9">
        <v>0.0</v>
      </c>
      <c r="J6" s="17">
        <v>-634.0</v>
      </c>
      <c r="K6" s="18">
        <v>-634.0</v>
      </c>
      <c r="L6" s="17">
        <v>-634.0</v>
      </c>
      <c r="M6" s="18">
        <v>-634.0</v>
      </c>
      <c r="N6" s="18">
        <v>0.0</v>
      </c>
      <c r="O6" s="18">
        <v>0.23</v>
      </c>
      <c r="P6" s="4"/>
    </row>
    <row r="7">
      <c r="A7" s="8" t="s">
        <v>12</v>
      </c>
      <c r="B7" s="9">
        <v>25.0</v>
      </c>
      <c r="C7" s="9" t="s">
        <v>8</v>
      </c>
      <c r="D7" s="9">
        <v>25.0</v>
      </c>
      <c r="E7" s="10">
        <v>0.6</v>
      </c>
      <c r="F7" s="9">
        <v>5.0</v>
      </c>
      <c r="G7" s="9">
        <v>1.0</v>
      </c>
      <c r="H7" s="9">
        <v>0.0</v>
      </c>
      <c r="I7" s="9">
        <v>0.0</v>
      </c>
      <c r="J7" s="17">
        <v>-651.0</v>
      </c>
      <c r="K7" s="18">
        <v>-653.0</v>
      </c>
      <c r="L7" s="17">
        <v>-653.0</v>
      </c>
      <c r="M7" s="18">
        <v>-653.0</v>
      </c>
      <c r="N7" s="18">
        <v>0.0</v>
      </c>
      <c r="O7" s="18">
        <v>0.612</v>
      </c>
      <c r="P7" s="4"/>
    </row>
    <row r="8">
      <c r="A8" s="8" t="s">
        <v>13</v>
      </c>
      <c r="B8" s="9">
        <v>25.0</v>
      </c>
      <c r="C8" s="9" t="s">
        <v>8</v>
      </c>
      <c r="D8" s="9">
        <v>25.0</v>
      </c>
      <c r="E8" s="10">
        <v>1.0</v>
      </c>
      <c r="F8" s="9">
        <v>1.0</v>
      </c>
      <c r="G8" s="9">
        <v>1.0</v>
      </c>
      <c r="H8" s="9">
        <v>0.0</v>
      </c>
      <c r="I8" s="9">
        <v>0.0</v>
      </c>
      <c r="J8" s="17">
        <v>-431.0</v>
      </c>
      <c r="K8" s="18">
        <v>-447.0</v>
      </c>
      <c r="L8" s="17">
        <v>-442.0</v>
      </c>
      <c r="M8" s="18">
        <v>-442.0</v>
      </c>
      <c r="N8" s="18">
        <v>0.0</v>
      </c>
      <c r="O8" s="18">
        <v>0.442</v>
      </c>
      <c r="P8" s="4"/>
    </row>
    <row r="9">
      <c r="A9" s="8" t="s">
        <v>14</v>
      </c>
      <c r="B9" s="9">
        <v>25.0</v>
      </c>
      <c r="C9" s="9" t="s">
        <v>8</v>
      </c>
      <c r="D9" s="9">
        <v>25.0</v>
      </c>
      <c r="E9" s="10">
        <v>1.0</v>
      </c>
      <c r="F9" s="9">
        <v>2.0</v>
      </c>
      <c r="G9" s="9">
        <v>1.0</v>
      </c>
      <c r="H9" s="9">
        <v>0.0</v>
      </c>
      <c r="I9" s="9">
        <v>0.0</v>
      </c>
      <c r="J9" s="17">
        <v>-574.0</v>
      </c>
      <c r="K9" s="18">
        <v>-577.5</v>
      </c>
      <c r="L9" s="17">
        <v>-574.0</v>
      </c>
      <c r="M9" s="18">
        <v>-574.0</v>
      </c>
      <c r="N9" s="18">
        <v>0.0</v>
      </c>
      <c r="O9" s="18">
        <v>0.272</v>
      </c>
      <c r="P9" s="4"/>
    </row>
    <row r="10">
      <c r="A10" s="8" t="s">
        <v>15</v>
      </c>
      <c r="B10" s="9">
        <v>25.0</v>
      </c>
      <c r="C10" s="9" t="s">
        <v>8</v>
      </c>
      <c r="D10" s="9">
        <v>25.0</v>
      </c>
      <c r="E10" s="10">
        <v>1.0</v>
      </c>
      <c r="F10" s="9">
        <v>3.0</v>
      </c>
      <c r="G10" s="9">
        <v>1.0</v>
      </c>
      <c r="H10" s="9">
        <v>0.0</v>
      </c>
      <c r="I10" s="9">
        <v>0.0</v>
      </c>
      <c r="J10" s="17">
        <v>-487.0</v>
      </c>
      <c r="K10" s="18">
        <v>-514.333</v>
      </c>
      <c r="L10" s="17">
        <v>-500.0</v>
      </c>
      <c r="M10" s="18">
        <v>-500.0</v>
      </c>
      <c r="N10" s="18">
        <v>0.0</v>
      </c>
      <c r="O10" s="18">
        <v>0.684</v>
      </c>
      <c r="P10" s="4"/>
    </row>
    <row r="11">
      <c r="A11" s="8" t="s">
        <v>16</v>
      </c>
      <c r="B11" s="9">
        <v>25.0</v>
      </c>
      <c r="C11" s="9" t="s">
        <v>8</v>
      </c>
      <c r="D11" s="9">
        <v>25.0</v>
      </c>
      <c r="E11" s="10">
        <v>1.0</v>
      </c>
      <c r="F11" s="9">
        <v>4.0</v>
      </c>
      <c r="G11" s="9">
        <v>1.0</v>
      </c>
      <c r="H11" s="9">
        <v>0.0</v>
      </c>
      <c r="I11" s="9">
        <v>0.0</v>
      </c>
      <c r="J11" s="17">
        <v>-390.0</v>
      </c>
      <c r="K11" s="18">
        <v>-406.167</v>
      </c>
      <c r="L11" s="17">
        <v>-402.0</v>
      </c>
      <c r="M11" s="18">
        <v>-402.0</v>
      </c>
      <c r="N11" s="18">
        <v>0.0</v>
      </c>
      <c r="O11" s="18">
        <v>0.288</v>
      </c>
      <c r="P11" s="4"/>
    </row>
    <row r="12">
      <c r="A12" s="8" t="s">
        <v>17</v>
      </c>
      <c r="B12" s="9">
        <v>25.0</v>
      </c>
      <c r="C12" s="9" t="s">
        <v>8</v>
      </c>
      <c r="D12" s="9">
        <v>25.0</v>
      </c>
      <c r="E12" s="10">
        <v>1.0</v>
      </c>
      <c r="F12" s="9">
        <v>5.0</v>
      </c>
      <c r="G12" s="9">
        <v>1.0</v>
      </c>
      <c r="H12" s="9">
        <v>0.0</v>
      </c>
      <c r="I12" s="9">
        <v>0.0</v>
      </c>
      <c r="J12" s="17">
        <v>-474.0</v>
      </c>
      <c r="K12" s="18">
        <v>-481.0</v>
      </c>
      <c r="L12" s="17">
        <v>-481.0</v>
      </c>
      <c r="M12" s="18">
        <v>-481.0</v>
      </c>
      <c r="N12" s="18">
        <v>0.0</v>
      </c>
      <c r="O12" s="18">
        <v>0.202</v>
      </c>
      <c r="P12" s="4"/>
    </row>
    <row r="13">
      <c r="A13" s="8" t="s">
        <v>18</v>
      </c>
      <c r="B13" s="9">
        <v>25.0</v>
      </c>
      <c r="C13" s="9" t="s">
        <v>8</v>
      </c>
      <c r="D13" s="9">
        <v>25.0</v>
      </c>
      <c r="E13" s="10">
        <v>2.0</v>
      </c>
      <c r="F13" s="9">
        <v>1.0</v>
      </c>
      <c r="G13" s="9">
        <v>1.0</v>
      </c>
      <c r="H13" s="9">
        <v>0.0</v>
      </c>
      <c r="I13" s="9">
        <v>0.0</v>
      </c>
      <c r="J13" s="17">
        <v>1433.0</v>
      </c>
      <c r="K13" s="18">
        <v>1366.0</v>
      </c>
      <c r="L13" s="17">
        <v>1422.0</v>
      </c>
      <c r="M13" s="18">
        <v>1422.0</v>
      </c>
      <c r="N13" s="18">
        <v>0.0</v>
      </c>
      <c r="O13" s="18">
        <v>1.401</v>
      </c>
      <c r="P13" s="4"/>
    </row>
    <row r="14">
      <c r="A14" s="8" t="s">
        <v>19</v>
      </c>
      <c r="B14" s="9">
        <v>25.0</v>
      </c>
      <c r="C14" s="9" t="s">
        <v>8</v>
      </c>
      <c r="D14" s="9">
        <v>25.0</v>
      </c>
      <c r="E14" s="10">
        <v>2.0</v>
      </c>
      <c r="F14" s="9">
        <v>2.0</v>
      </c>
      <c r="G14" s="9">
        <v>1.0</v>
      </c>
      <c r="H14" s="9">
        <v>0.0</v>
      </c>
      <c r="I14" s="9">
        <v>0.0</v>
      </c>
      <c r="J14" s="17">
        <v>233.0</v>
      </c>
      <c r="K14" s="18">
        <v>233.0</v>
      </c>
      <c r="L14" s="17">
        <v>233.0</v>
      </c>
      <c r="M14" s="18">
        <v>233.0</v>
      </c>
      <c r="N14" s="18">
        <v>0.0</v>
      </c>
      <c r="O14" s="18">
        <v>0.016</v>
      </c>
      <c r="P14" s="4"/>
    </row>
    <row r="15">
      <c r="A15" s="8" t="s">
        <v>20</v>
      </c>
      <c r="B15" s="9">
        <v>25.0</v>
      </c>
      <c r="C15" s="9" t="s">
        <v>8</v>
      </c>
      <c r="D15" s="9">
        <v>25.0</v>
      </c>
      <c r="E15" s="10">
        <v>2.0</v>
      </c>
      <c r="F15" s="9">
        <v>3.0</v>
      </c>
      <c r="G15" s="9">
        <v>1.0</v>
      </c>
      <c r="H15" s="9">
        <v>0.0</v>
      </c>
      <c r="I15" s="9">
        <v>0.0</v>
      </c>
      <c r="J15" s="17">
        <v>1652.0</v>
      </c>
      <c r="K15" s="18">
        <v>1545.8</v>
      </c>
      <c r="L15" s="17">
        <v>1634.0</v>
      </c>
      <c r="M15" s="18">
        <v>1634.0</v>
      </c>
      <c r="N15" s="18">
        <v>0.0</v>
      </c>
      <c r="O15" s="18">
        <v>28.3</v>
      </c>
      <c r="P15" s="4"/>
    </row>
    <row r="16">
      <c r="A16" s="8" t="s">
        <v>21</v>
      </c>
      <c r="B16" s="9">
        <v>25.0</v>
      </c>
      <c r="C16" s="9" t="s">
        <v>8</v>
      </c>
      <c r="D16" s="9">
        <v>25.0</v>
      </c>
      <c r="E16" s="10">
        <v>2.0</v>
      </c>
      <c r="F16" s="9">
        <v>4.0</v>
      </c>
      <c r="G16" s="9">
        <v>1.0</v>
      </c>
      <c r="H16" s="9">
        <v>0.0</v>
      </c>
      <c r="I16" s="9">
        <v>0.0</v>
      </c>
      <c r="J16" s="17">
        <v>1860.0</v>
      </c>
      <c r="K16" s="18">
        <v>1828.0</v>
      </c>
      <c r="L16" s="17">
        <v>1860.0</v>
      </c>
      <c r="M16" s="18">
        <v>1860.0</v>
      </c>
      <c r="N16" s="18">
        <v>0.0</v>
      </c>
      <c r="O16" s="18">
        <v>0.048</v>
      </c>
      <c r="P16" s="4"/>
    </row>
    <row r="17">
      <c r="A17" s="8" t="s">
        <v>22</v>
      </c>
      <c r="B17" s="9">
        <v>25.0</v>
      </c>
      <c r="C17" s="9" t="s">
        <v>8</v>
      </c>
      <c r="D17" s="9">
        <v>25.0</v>
      </c>
      <c r="E17" s="10">
        <v>2.0</v>
      </c>
      <c r="F17" s="9">
        <v>5.0</v>
      </c>
      <c r="G17" s="9">
        <v>1.0</v>
      </c>
      <c r="H17" s="9">
        <v>0.0</v>
      </c>
      <c r="I17" s="9">
        <v>0.0</v>
      </c>
      <c r="J17" s="17">
        <v>1361.0</v>
      </c>
      <c r="K17" s="18">
        <v>1361.0</v>
      </c>
      <c r="L17" s="17">
        <v>1361.0</v>
      </c>
      <c r="M17" s="18">
        <v>1361.0</v>
      </c>
      <c r="N17" s="18">
        <v>0.0</v>
      </c>
      <c r="O17" s="18">
        <v>0.024</v>
      </c>
      <c r="P17" s="4"/>
    </row>
    <row r="18">
      <c r="A18" s="8" t="s">
        <v>23</v>
      </c>
      <c r="B18" s="9">
        <v>25.0</v>
      </c>
      <c r="C18" s="9" t="s">
        <v>8</v>
      </c>
      <c r="D18" s="9">
        <v>50.0</v>
      </c>
      <c r="E18" s="10">
        <v>0.6</v>
      </c>
      <c r="F18" s="9">
        <v>1.0</v>
      </c>
      <c r="G18" s="9">
        <v>1.0</v>
      </c>
      <c r="H18" s="9">
        <v>0.0</v>
      </c>
      <c r="I18" s="9">
        <v>0.0</v>
      </c>
      <c r="J18" s="17">
        <v>-1091.0</v>
      </c>
      <c r="K18" s="18">
        <v>-1091.0</v>
      </c>
      <c r="L18" s="17">
        <v>-1091.0</v>
      </c>
      <c r="M18" s="18">
        <v>-1091.0</v>
      </c>
      <c r="N18" s="18">
        <v>0.0</v>
      </c>
      <c r="O18" s="18">
        <v>0.525</v>
      </c>
      <c r="P18" s="4"/>
    </row>
    <row r="19">
      <c r="A19" s="8" t="s">
        <v>24</v>
      </c>
      <c r="B19" s="9">
        <v>25.0</v>
      </c>
      <c r="C19" s="9" t="s">
        <v>8</v>
      </c>
      <c r="D19" s="9">
        <v>50.0</v>
      </c>
      <c r="E19" s="10">
        <v>0.6</v>
      </c>
      <c r="F19" s="9">
        <v>2.0</v>
      </c>
      <c r="G19" s="9">
        <v>1.0</v>
      </c>
      <c r="H19" s="9">
        <v>0.0</v>
      </c>
      <c r="I19" s="9">
        <v>0.0</v>
      </c>
      <c r="J19" s="17">
        <v>-1074.0</v>
      </c>
      <c r="K19" s="18">
        <v>-1079.0</v>
      </c>
      <c r="L19" s="17">
        <v>-1074.0</v>
      </c>
      <c r="M19" s="18">
        <v>-1074.0</v>
      </c>
      <c r="N19" s="18">
        <v>0.0</v>
      </c>
      <c r="O19" s="18">
        <v>0.683</v>
      </c>
      <c r="P19" s="4"/>
    </row>
    <row r="20">
      <c r="A20" s="8" t="s">
        <v>25</v>
      </c>
      <c r="B20" s="9">
        <v>25.0</v>
      </c>
      <c r="C20" s="9" t="s">
        <v>8</v>
      </c>
      <c r="D20" s="9">
        <v>50.0</v>
      </c>
      <c r="E20" s="10">
        <v>0.6</v>
      </c>
      <c r="F20" s="9">
        <v>3.0</v>
      </c>
      <c r="G20" s="9">
        <v>1.0</v>
      </c>
      <c r="H20" s="9">
        <v>0.0</v>
      </c>
      <c r="I20" s="9">
        <v>0.0</v>
      </c>
      <c r="J20" s="17">
        <v>-997.0</v>
      </c>
      <c r="K20" s="18">
        <v>-1004.0</v>
      </c>
      <c r="L20" s="17">
        <v>-1002.0</v>
      </c>
      <c r="M20" s="18">
        <v>-1002.0</v>
      </c>
      <c r="N20" s="18">
        <v>0.0</v>
      </c>
      <c r="O20" s="18">
        <v>0.758</v>
      </c>
      <c r="P20" s="4"/>
    </row>
    <row r="21">
      <c r="A21" s="8" t="s">
        <v>26</v>
      </c>
      <c r="B21" s="9">
        <v>25.0</v>
      </c>
      <c r="C21" s="9" t="s">
        <v>8</v>
      </c>
      <c r="D21" s="9">
        <v>50.0</v>
      </c>
      <c r="E21" s="10">
        <v>0.6</v>
      </c>
      <c r="F21" s="9">
        <v>4.0</v>
      </c>
      <c r="G21" s="9">
        <v>1.0</v>
      </c>
      <c r="H21" s="9">
        <v>0.0</v>
      </c>
      <c r="I21" s="9">
        <v>0.0</v>
      </c>
      <c r="J21" s="17">
        <v>-990.0</v>
      </c>
      <c r="K21" s="18">
        <v>-991.333</v>
      </c>
      <c r="L21" s="17">
        <v>-990.0</v>
      </c>
      <c r="M21" s="18">
        <v>-990.0</v>
      </c>
      <c r="N21" s="18">
        <v>0.0</v>
      </c>
      <c r="O21" s="18">
        <v>0.885</v>
      </c>
      <c r="P21" s="4"/>
    </row>
    <row r="22">
      <c r="A22" s="8" t="s">
        <v>27</v>
      </c>
      <c r="B22" s="9">
        <v>25.0</v>
      </c>
      <c r="C22" s="9" t="s">
        <v>8</v>
      </c>
      <c r="D22" s="9">
        <v>50.0</v>
      </c>
      <c r="E22" s="10">
        <v>0.6</v>
      </c>
      <c r="F22" s="9">
        <v>5.0</v>
      </c>
      <c r="G22" s="9">
        <v>1.0</v>
      </c>
      <c r="H22" s="9">
        <v>0.0</v>
      </c>
      <c r="I22" s="9">
        <v>0.0</v>
      </c>
      <c r="J22" s="17">
        <v>-1131.0</v>
      </c>
      <c r="K22" s="18">
        <v>-1156.64</v>
      </c>
      <c r="L22" s="17">
        <v>-1146.0</v>
      </c>
      <c r="M22" s="18">
        <v>-1146.0</v>
      </c>
      <c r="N22" s="18">
        <v>0.0</v>
      </c>
      <c r="O22" s="18">
        <v>2.984</v>
      </c>
      <c r="P22" s="4"/>
    </row>
    <row r="23">
      <c r="A23" s="8" t="s">
        <v>28</v>
      </c>
      <c r="B23" s="9">
        <v>25.0</v>
      </c>
      <c r="C23" s="9" t="s">
        <v>8</v>
      </c>
      <c r="D23" s="9">
        <v>50.0</v>
      </c>
      <c r="E23" s="10">
        <v>1.0</v>
      </c>
      <c r="F23" s="9">
        <v>1.0</v>
      </c>
      <c r="G23" s="9">
        <v>1.0</v>
      </c>
      <c r="H23" s="9">
        <v>0.0</v>
      </c>
      <c r="I23" s="9">
        <v>0.0</v>
      </c>
      <c r="J23" s="17">
        <v>-709.0</v>
      </c>
      <c r="K23" s="18">
        <v>-747.6</v>
      </c>
      <c r="L23" s="17">
        <v>-719.0</v>
      </c>
      <c r="M23" s="18">
        <v>-719.0</v>
      </c>
      <c r="N23" s="18">
        <v>0.0</v>
      </c>
      <c r="O23" s="18">
        <v>1.232</v>
      </c>
      <c r="P23" s="4"/>
    </row>
    <row r="24">
      <c r="A24" s="8" t="s">
        <v>29</v>
      </c>
      <c r="B24" s="9">
        <v>25.0</v>
      </c>
      <c r="C24" s="9" t="s">
        <v>8</v>
      </c>
      <c r="D24" s="9">
        <v>50.0</v>
      </c>
      <c r="E24" s="10">
        <v>1.0</v>
      </c>
      <c r="F24" s="9">
        <v>2.0</v>
      </c>
      <c r="G24" s="9">
        <v>1.0</v>
      </c>
      <c r="H24" s="9">
        <v>0.0</v>
      </c>
      <c r="I24" s="9">
        <v>0.0</v>
      </c>
      <c r="J24" s="17">
        <v>-822.0</v>
      </c>
      <c r="K24" s="18">
        <v>-855.2</v>
      </c>
      <c r="L24" s="17">
        <v>-847.0</v>
      </c>
      <c r="M24" s="18">
        <v>-847.0</v>
      </c>
      <c r="N24" s="18">
        <v>0.0</v>
      </c>
      <c r="O24" s="18">
        <v>0.257</v>
      </c>
      <c r="P24" s="4"/>
    </row>
    <row r="25">
      <c r="A25" s="8" t="s">
        <v>30</v>
      </c>
      <c r="B25" s="9">
        <v>25.0</v>
      </c>
      <c r="C25" s="9" t="s">
        <v>8</v>
      </c>
      <c r="D25" s="9">
        <v>50.0</v>
      </c>
      <c r="E25" s="10">
        <v>1.0</v>
      </c>
      <c r="F25" s="9">
        <v>3.0</v>
      </c>
      <c r="G25" s="9">
        <v>1.0</v>
      </c>
      <c r="H25" s="9">
        <v>0.0</v>
      </c>
      <c r="I25" s="9">
        <v>0.0</v>
      </c>
      <c r="J25" s="17">
        <v>-871.0</v>
      </c>
      <c r="K25" s="18">
        <v>-871.0</v>
      </c>
      <c r="L25" s="17">
        <v>-871.0</v>
      </c>
      <c r="M25" s="18">
        <v>-871.0</v>
      </c>
      <c r="N25" s="18">
        <v>0.0</v>
      </c>
      <c r="O25" s="18">
        <v>0.093</v>
      </c>
      <c r="P25" s="4"/>
    </row>
    <row r="26">
      <c r="A26" s="8" t="s">
        <v>31</v>
      </c>
      <c r="B26" s="9">
        <v>25.0</v>
      </c>
      <c r="C26" s="9" t="s">
        <v>8</v>
      </c>
      <c r="D26" s="9">
        <v>50.0</v>
      </c>
      <c r="E26" s="10">
        <v>1.0</v>
      </c>
      <c r="F26" s="9">
        <v>4.0</v>
      </c>
      <c r="G26" s="9">
        <v>1.0</v>
      </c>
      <c r="H26" s="9">
        <v>0.0</v>
      </c>
      <c r="I26" s="9">
        <v>0.0</v>
      </c>
      <c r="J26" s="17">
        <v>-799.0</v>
      </c>
      <c r="K26" s="18">
        <v>-813.5</v>
      </c>
      <c r="L26" s="17">
        <v>-810.0</v>
      </c>
      <c r="M26" s="18">
        <v>-810.0</v>
      </c>
      <c r="N26" s="18">
        <v>0.0</v>
      </c>
      <c r="O26" s="18">
        <v>0.367</v>
      </c>
      <c r="P26" s="4"/>
    </row>
    <row r="27">
      <c r="A27" s="8" t="s">
        <v>32</v>
      </c>
      <c r="B27" s="9">
        <v>25.0</v>
      </c>
      <c r="C27" s="9" t="s">
        <v>8</v>
      </c>
      <c r="D27" s="9">
        <v>50.0</v>
      </c>
      <c r="E27" s="10">
        <v>1.0</v>
      </c>
      <c r="F27" s="9">
        <v>5.0</v>
      </c>
      <c r="G27" s="9">
        <v>1.0</v>
      </c>
      <c r="H27" s="9">
        <v>0.0</v>
      </c>
      <c r="I27" s="9">
        <v>0.0</v>
      </c>
      <c r="J27" s="17">
        <v>-687.0</v>
      </c>
      <c r="K27" s="18">
        <v>-719.5</v>
      </c>
      <c r="L27" s="17">
        <v>-689.0</v>
      </c>
      <c r="M27" s="18">
        <v>-689.0</v>
      </c>
      <c r="N27" s="18">
        <v>0.0</v>
      </c>
      <c r="O27" s="18">
        <v>1.942</v>
      </c>
      <c r="P27" s="4"/>
    </row>
    <row r="28">
      <c r="A28" s="8" t="s">
        <v>33</v>
      </c>
      <c r="B28" s="9">
        <v>25.0</v>
      </c>
      <c r="C28" s="9" t="s">
        <v>8</v>
      </c>
      <c r="D28" s="9">
        <v>50.0</v>
      </c>
      <c r="E28" s="10">
        <v>2.0</v>
      </c>
      <c r="F28" s="9">
        <v>1.0</v>
      </c>
      <c r="G28" s="9">
        <v>1.0</v>
      </c>
      <c r="H28" s="9">
        <v>0.0</v>
      </c>
      <c r="I28" s="9">
        <v>0.0</v>
      </c>
      <c r="J28" s="17">
        <v>1520.0</v>
      </c>
      <c r="K28" s="18">
        <v>1483.0</v>
      </c>
      <c r="L28" s="17">
        <v>1520.0</v>
      </c>
      <c r="M28" s="18">
        <v>1520.0</v>
      </c>
      <c r="N28" s="18">
        <v>0.0</v>
      </c>
      <c r="O28" s="18">
        <v>0.508</v>
      </c>
      <c r="P28" s="4"/>
    </row>
    <row r="29">
      <c r="A29" s="8" t="s">
        <v>34</v>
      </c>
      <c r="B29" s="9">
        <v>25.0</v>
      </c>
      <c r="C29" s="9" t="s">
        <v>8</v>
      </c>
      <c r="D29" s="9">
        <v>50.0</v>
      </c>
      <c r="E29" s="10">
        <v>2.0</v>
      </c>
      <c r="F29" s="9">
        <v>2.0</v>
      </c>
      <c r="G29" s="9">
        <v>1.0</v>
      </c>
      <c r="H29" s="9">
        <v>0.0</v>
      </c>
      <c r="I29" s="9">
        <v>0.0</v>
      </c>
      <c r="J29" s="17">
        <v>368.0</v>
      </c>
      <c r="K29" s="18">
        <v>368.0</v>
      </c>
      <c r="L29" s="17">
        <v>368.0</v>
      </c>
      <c r="M29" s="18">
        <v>368.0</v>
      </c>
      <c r="N29" s="18">
        <v>0.0</v>
      </c>
      <c r="O29" s="18">
        <v>0.023</v>
      </c>
      <c r="P29" s="4"/>
    </row>
    <row r="30">
      <c r="A30" s="8" t="s">
        <v>35</v>
      </c>
      <c r="B30" s="9">
        <v>25.0</v>
      </c>
      <c r="C30" s="9" t="s">
        <v>8</v>
      </c>
      <c r="D30" s="9">
        <v>50.0</v>
      </c>
      <c r="E30" s="10">
        <v>2.0</v>
      </c>
      <c r="F30" s="9">
        <v>3.0</v>
      </c>
      <c r="G30" s="9">
        <v>1.0</v>
      </c>
      <c r="H30" s="9">
        <v>0.0</v>
      </c>
      <c r="I30" s="9">
        <v>0.0</v>
      </c>
      <c r="J30" s="17">
        <v>-497.0</v>
      </c>
      <c r="K30" s="18">
        <v>-504.5</v>
      </c>
      <c r="L30" s="17">
        <v>-499.0</v>
      </c>
      <c r="M30" s="18">
        <v>-499.0</v>
      </c>
      <c r="N30" s="18">
        <v>0.0</v>
      </c>
      <c r="O30" s="18">
        <v>0.042</v>
      </c>
      <c r="P30" s="4"/>
    </row>
    <row r="31">
      <c r="A31" s="8" t="s">
        <v>36</v>
      </c>
      <c r="B31" s="9">
        <v>25.0</v>
      </c>
      <c r="C31" s="9" t="s">
        <v>8</v>
      </c>
      <c r="D31" s="9">
        <v>50.0</v>
      </c>
      <c r="E31" s="10">
        <v>2.0</v>
      </c>
      <c r="F31" s="9">
        <v>4.0</v>
      </c>
      <c r="G31" s="9">
        <v>1.0</v>
      </c>
      <c r="H31" s="9">
        <v>0.0</v>
      </c>
      <c r="I31" s="9">
        <v>0.0</v>
      </c>
      <c r="J31" s="17">
        <v>-371.0</v>
      </c>
      <c r="K31" s="18">
        <v>-379.5</v>
      </c>
      <c r="L31" s="17">
        <v>-374.0</v>
      </c>
      <c r="M31" s="18">
        <v>-374.0</v>
      </c>
      <c r="N31" s="18">
        <v>0.0</v>
      </c>
      <c r="O31" s="18">
        <v>0.045</v>
      </c>
      <c r="P31" s="4"/>
    </row>
    <row r="32">
      <c r="A32" s="8" t="s">
        <v>37</v>
      </c>
      <c r="B32" s="9">
        <v>25.0</v>
      </c>
      <c r="C32" s="9" t="s">
        <v>8</v>
      </c>
      <c r="D32" s="9">
        <v>50.0</v>
      </c>
      <c r="E32" s="10">
        <v>2.0</v>
      </c>
      <c r="F32" s="9">
        <v>5.0</v>
      </c>
      <c r="G32" s="9">
        <v>1.0</v>
      </c>
      <c r="H32" s="9">
        <v>0.0</v>
      </c>
      <c r="I32" s="9">
        <v>0.0</v>
      </c>
      <c r="J32" s="17">
        <v>3809.0</v>
      </c>
      <c r="K32" s="18">
        <v>3744.33</v>
      </c>
      <c r="L32" s="17">
        <v>3782.0</v>
      </c>
      <c r="M32" s="18">
        <v>3782.0</v>
      </c>
      <c r="N32" s="18">
        <v>0.0</v>
      </c>
      <c r="O32" s="18">
        <v>0.308</v>
      </c>
      <c r="P32" s="4"/>
    </row>
    <row r="33">
      <c r="A33" s="8" t="s">
        <v>38</v>
      </c>
      <c r="B33" s="9">
        <v>25.0</v>
      </c>
      <c r="C33" s="9" t="s">
        <v>8</v>
      </c>
      <c r="D33" s="9">
        <v>75.0</v>
      </c>
      <c r="E33" s="10">
        <v>0.6</v>
      </c>
      <c r="F33" s="9">
        <v>1.0</v>
      </c>
      <c r="G33" s="9">
        <v>1.0</v>
      </c>
      <c r="H33" s="9">
        <v>0.0</v>
      </c>
      <c r="I33" s="9">
        <v>0.0</v>
      </c>
      <c r="J33" s="17">
        <v>-1179.0</v>
      </c>
      <c r="K33" s="18">
        <v>-1193.75</v>
      </c>
      <c r="L33" s="17">
        <v>-1186.0</v>
      </c>
      <c r="M33" s="18">
        <v>-1186.0</v>
      </c>
      <c r="N33" s="18">
        <v>0.0</v>
      </c>
      <c r="O33" s="18">
        <v>2.822</v>
      </c>
      <c r="P33" s="4"/>
    </row>
    <row r="34">
      <c r="A34" s="8" t="s">
        <v>39</v>
      </c>
      <c r="B34" s="9">
        <v>25.0</v>
      </c>
      <c r="C34" s="9" t="s">
        <v>8</v>
      </c>
      <c r="D34" s="9">
        <v>75.0</v>
      </c>
      <c r="E34" s="10">
        <v>0.6</v>
      </c>
      <c r="F34" s="9">
        <v>2.0</v>
      </c>
      <c r="G34" s="9">
        <v>1.0</v>
      </c>
      <c r="H34" s="9">
        <v>0.0</v>
      </c>
      <c r="I34" s="9">
        <v>0.0</v>
      </c>
      <c r="J34" s="17">
        <v>-1122.0</v>
      </c>
      <c r="K34" s="18">
        <v>-1122.0</v>
      </c>
      <c r="L34" s="17">
        <v>-1122.0</v>
      </c>
      <c r="M34" s="18">
        <v>-1122.0</v>
      </c>
      <c r="N34" s="18">
        <v>0.0</v>
      </c>
      <c r="O34" s="18">
        <v>0.461</v>
      </c>
      <c r="P34" s="4"/>
    </row>
    <row r="35">
      <c r="A35" s="8" t="s">
        <v>40</v>
      </c>
      <c r="B35" s="9">
        <v>25.0</v>
      </c>
      <c r="C35" s="9" t="s">
        <v>8</v>
      </c>
      <c r="D35" s="9">
        <v>75.0</v>
      </c>
      <c r="E35" s="10">
        <v>0.6</v>
      </c>
      <c r="F35" s="9">
        <v>3.0</v>
      </c>
      <c r="G35" s="9">
        <v>1.0</v>
      </c>
      <c r="H35" s="9">
        <v>0.0</v>
      </c>
      <c r="I35" s="9">
        <v>0.0</v>
      </c>
      <c r="J35" s="17">
        <v>-1137.0</v>
      </c>
      <c r="K35" s="18">
        <v>-1137.0</v>
      </c>
      <c r="L35" s="17">
        <v>-1137.0</v>
      </c>
      <c r="M35" s="18">
        <v>-1137.0</v>
      </c>
      <c r="N35" s="18">
        <v>0.0</v>
      </c>
      <c r="O35" s="18">
        <v>0.329</v>
      </c>
      <c r="P35" s="4"/>
    </row>
    <row r="36">
      <c r="A36" s="8" t="s">
        <v>41</v>
      </c>
      <c r="B36" s="9">
        <v>25.0</v>
      </c>
      <c r="C36" s="9" t="s">
        <v>8</v>
      </c>
      <c r="D36" s="9">
        <v>75.0</v>
      </c>
      <c r="E36" s="10">
        <v>0.6</v>
      </c>
      <c r="F36" s="9">
        <v>4.0</v>
      </c>
      <c r="G36" s="9">
        <v>1.0</v>
      </c>
      <c r="H36" s="9">
        <v>0.0</v>
      </c>
      <c r="I36" s="9">
        <v>0.0</v>
      </c>
      <c r="J36" s="17">
        <v>-1101.0</v>
      </c>
      <c r="K36" s="18">
        <v>-1107.0</v>
      </c>
      <c r="L36" s="17">
        <v>-1101.0</v>
      </c>
      <c r="M36" s="18">
        <v>-1101.0</v>
      </c>
      <c r="N36" s="18">
        <v>0.0</v>
      </c>
      <c r="O36" s="18">
        <v>0.787</v>
      </c>
      <c r="P36" s="4"/>
    </row>
    <row r="37">
      <c r="A37" s="8" t="s">
        <v>42</v>
      </c>
      <c r="B37" s="9">
        <v>25.0</v>
      </c>
      <c r="C37" s="9" t="s">
        <v>8</v>
      </c>
      <c r="D37" s="9">
        <v>75.0</v>
      </c>
      <c r="E37" s="10">
        <v>0.6</v>
      </c>
      <c r="F37" s="9">
        <v>5.0</v>
      </c>
      <c r="G37" s="9">
        <v>1.0</v>
      </c>
      <c r="H37" s="9">
        <v>0.0</v>
      </c>
      <c r="I37" s="9">
        <v>0.0</v>
      </c>
      <c r="J37" s="17">
        <v>-1083.0</v>
      </c>
      <c r="K37" s="18">
        <v>-1083.0</v>
      </c>
      <c r="L37" s="17">
        <v>-1083.0</v>
      </c>
      <c r="M37" s="18">
        <v>-1083.0</v>
      </c>
      <c r="N37" s="18">
        <v>0.0</v>
      </c>
      <c r="O37" s="18">
        <v>0.306</v>
      </c>
      <c r="P37" s="4"/>
    </row>
    <row r="38">
      <c r="A38" s="8" t="s">
        <v>43</v>
      </c>
      <c r="B38" s="9">
        <v>25.0</v>
      </c>
      <c r="C38" s="9" t="s">
        <v>8</v>
      </c>
      <c r="D38" s="9">
        <v>75.0</v>
      </c>
      <c r="E38" s="10">
        <v>1.0</v>
      </c>
      <c r="F38" s="9">
        <v>1.0</v>
      </c>
      <c r="G38" s="9">
        <v>1.0</v>
      </c>
      <c r="H38" s="9">
        <v>0.0</v>
      </c>
      <c r="I38" s="9">
        <v>0.0</v>
      </c>
      <c r="J38" s="17">
        <v>-942.0</v>
      </c>
      <c r="K38" s="18">
        <v>-958.667</v>
      </c>
      <c r="L38" s="17">
        <v>-952.0</v>
      </c>
      <c r="M38" s="18">
        <v>-952.0</v>
      </c>
      <c r="N38" s="18">
        <v>0.0</v>
      </c>
      <c r="O38" s="18">
        <v>0.726</v>
      </c>
      <c r="P38" s="4"/>
    </row>
    <row r="39">
      <c r="A39" s="8" t="s">
        <v>44</v>
      </c>
      <c r="B39" s="9">
        <v>25.0</v>
      </c>
      <c r="C39" s="9" t="s">
        <v>8</v>
      </c>
      <c r="D39" s="9">
        <v>75.0</v>
      </c>
      <c r="E39" s="10">
        <v>1.0</v>
      </c>
      <c r="F39" s="9">
        <v>2.0</v>
      </c>
      <c r="G39" s="9">
        <v>1.0</v>
      </c>
      <c r="H39" s="9">
        <v>0.0</v>
      </c>
      <c r="I39" s="9">
        <v>0.0</v>
      </c>
      <c r="J39" s="17">
        <v>-976.0</v>
      </c>
      <c r="K39" s="18">
        <v>-977.333</v>
      </c>
      <c r="L39" s="17">
        <v>-976.0</v>
      </c>
      <c r="M39" s="18">
        <v>-976.0</v>
      </c>
      <c r="N39" s="18">
        <v>0.0</v>
      </c>
      <c r="O39" s="18">
        <v>0.231</v>
      </c>
      <c r="P39" s="4"/>
    </row>
    <row r="40">
      <c r="A40" s="8" t="s">
        <v>45</v>
      </c>
      <c r="B40" s="9">
        <v>25.0</v>
      </c>
      <c r="C40" s="9" t="s">
        <v>8</v>
      </c>
      <c r="D40" s="9">
        <v>75.0</v>
      </c>
      <c r="E40" s="10">
        <v>1.0</v>
      </c>
      <c r="F40" s="9">
        <v>3.0</v>
      </c>
      <c r="G40" s="9">
        <v>1.0</v>
      </c>
      <c r="H40" s="9">
        <v>0.0</v>
      </c>
      <c r="I40" s="9">
        <v>0.0</v>
      </c>
      <c r="J40" s="17">
        <v>-798.0</v>
      </c>
      <c r="K40" s="18">
        <v>-829.8</v>
      </c>
      <c r="L40" s="17">
        <v>-811.0</v>
      </c>
      <c r="M40" s="18">
        <v>-811.0</v>
      </c>
      <c r="N40" s="18">
        <v>0.0</v>
      </c>
      <c r="O40" s="18">
        <v>0.293</v>
      </c>
      <c r="P40" s="4"/>
    </row>
    <row r="41">
      <c r="A41" s="8" t="s">
        <v>46</v>
      </c>
      <c r="B41" s="9">
        <v>25.0</v>
      </c>
      <c r="C41" s="9" t="s">
        <v>8</v>
      </c>
      <c r="D41" s="9">
        <v>75.0</v>
      </c>
      <c r="E41" s="10">
        <v>1.0</v>
      </c>
      <c r="F41" s="9">
        <v>4.0</v>
      </c>
      <c r="G41" s="9">
        <v>1.0</v>
      </c>
      <c r="H41" s="9">
        <v>0.0</v>
      </c>
      <c r="I41" s="9">
        <v>0.0</v>
      </c>
      <c r="J41" s="17">
        <v>-793.0</v>
      </c>
      <c r="K41" s="18">
        <v>-837.0</v>
      </c>
      <c r="L41" s="17">
        <v>-822.0</v>
      </c>
      <c r="M41" s="18">
        <v>-822.0</v>
      </c>
      <c r="N41" s="18">
        <v>0.0</v>
      </c>
      <c r="O41" s="18">
        <v>0.476</v>
      </c>
      <c r="P41" s="4"/>
    </row>
    <row r="42">
      <c r="A42" s="8" t="s">
        <v>47</v>
      </c>
      <c r="B42" s="9">
        <v>25.0</v>
      </c>
      <c r="C42" s="9" t="s">
        <v>8</v>
      </c>
      <c r="D42" s="9">
        <v>75.0</v>
      </c>
      <c r="E42" s="10">
        <v>1.0</v>
      </c>
      <c r="F42" s="9">
        <v>5.0</v>
      </c>
      <c r="G42" s="9">
        <v>1.0</v>
      </c>
      <c r="H42" s="9">
        <v>0.0</v>
      </c>
      <c r="I42" s="9">
        <v>0.0</v>
      </c>
      <c r="J42" s="17">
        <v>-634.0</v>
      </c>
      <c r="K42" s="18">
        <v>-642.0</v>
      </c>
      <c r="L42" s="17">
        <v>-634.0</v>
      </c>
      <c r="M42" s="18">
        <v>-634.0</v>
      </c>
      <c r="N42" s="18">
        <v>0.0</v>
      </c>
      <c r="O42" s="18">
        <v>0.48</v>
      </c>
      <c r="P42" s="4"/>
    </row>
    <row r="43">
      <c r="A43" s="8" t="s">
        <v>48</v>
      </c>
      <c r="B43" s="9">
        <v>25.0</v>
      </c>
      <c r="C43" s="9" t="s">
        <v>8</v>
      </c>
      <c r="D43" s="9">
        <v>75.0</v>
      </c>
      <c r="E43" s="10">
        <v>2.0</v>
      </c>
      <c r="F43" s="9">
        <v>1.0</v>
      </c>
      <c r="G43" s="9">
        <v>1.0</v>
      </c>
      <c r="H43" s="9">
        <v>0.0</v>
      </c>
      <c r="I43" s="9">
        <v>0.0</v>
      </c>
      <c r="J43" s="17">
        <v>485.0</v>
      </c>
      <c r="K43" s="18">
        <v>485.0</v>
      </c>
      <c r="L43" s="17">
        <v>485.0</v>
      </c>
      <c r="M43" s="18">
        <v>485.0</v>
      </c>
      <c r="N43" s="18">
        <v>0.0</v>
      </c>
      <c r="O43" s="18">
        <v>0.029</v>
      </c>
      <c r="P43" s="4"/>
    </row>
    <row r="44">
      <c r="A44" s="8" t="s">
        <v>49</v>
      </c>
      <c r="B44" s="9">
        <v>25.0</v>
      </c>
      <c r="C44" s="9" t="s">
        <v>8</v>
      </c>
      <c r="D44" s="9">
        <v>75.0</v>
      </c>
      <c r="E44" s="10">
        <v>2.0</v>
      </c>
      <c r="F44" s="9">
        <v>2.0</v>
      </c>
      <c r="G44" s="9">
        <v>1.0</v>
      </c>
      <c r="H44" s="9">
        <v>0.0</v>
      </c>
      <c r="I44" s="9">
        <v>0.0</v>
      </c>
      <c r="J44" s="17">
        <v>-234.0</v>
      </c>
      <c r="K44" s="18">
        <v>-234.0</v>
      </c>
      <c r="L44" s="17">
        <v>-234.0</v>
      </c>
      <c r="M44" s="18">
        <v>-234.0</v>
      </c>
      <c r="N44" s="18">
        <v>0.0</v>
      </c>
      <c r="O44" s="18">
        <v>0.042</v>
      </c>
      <c r="P44" s="4"/>
    </row>
    <row r="45">
      <c r="A45" s="8" t="s">
        <v>50</v>
      </c>
      <c r="B45" s="9">
        <v>25.0</v>
      </c>
      <c r="C45" s="9" t="s">
        <v>8</v>
      </c>
      <c r="D45" s="9">
        <v>75.0</v>
      </c>
      <c r="E45" s="10">
        <v>2.0</v>
      </c>
      <c r="F45" s="9">
        <v>3.0</v>
      </c>
      <c r="G45" s="9">
        <v>1.0</v>
      </c>
      <c r="H45" s="9">
        <v>0.0</v>
      </c>
      <c r="I45" s="9">
        <v>0.0</v>
      </c>
      <c r="J45" s="17">
        <v>2166.0</v>
      </c>
      <c r="K45" s="18">
        <v>2055.0</v>
      </c>
      <c r="L45" s="17">
        <v>2130.0</v>
      </c>
      <c r="M45" s="18">
        <v>2130.0</v>
      </c>
      <c r="N45" s="18">
        <v>0.0</v>
      </c>
      <c r="O45" s="18">
        <v>2.143</v>
      </c>
      <c r="P45" s="4"/>
    </row>
    <row r="46">
      <c r="A46" s="8" t="s">
        <v>51</v>
      </c>
      <c r="B46" s="9">
        <v>25.0</v>
      </c>
      <c r="C46" s="9" t="s">
        <v>8</v>
      </c>
      <c r="D46" s="9">
        <v>75.0</v>
      </c>
      <c r="E46" s="10">
        <v>2.0</v>
      </c>
      <c r="F46" s="9">
        <v>4.0</v>
      </c>
      <c r="G46" s="9">
        <v>1.0</v>
      </c>
      <c r="H46" s="9">
        <v>0.0</v>
      </c>
      <c r="I46" s="9">
        <v>0.0</v>
      </c>
      <c r="J46" s="17">
        <v>3663.0</v>
      </c>
      <c r="K46" s="18">
        <v>3663.0</v>
      </c>
      <c r="L46" s="17">
        <v>3663.0</v>
      </c>
      <c r="M46" s="18">
        <v>3663.0</v>
      </c>
      <c r="N46" s="18">
        <v>0.0</v>
      </c>
      <c r="O46" s="18">
        <v>0.027</v>
      </c>
      <c r="P46" s="4"/>
    </row>
    <row r="47">
      <c r="A47" s="8" t="s">
        <v>52</v>
      </c>
      <c r="B47" s="9">
        <v>25.0</v>
      </c>
      <c r="C47" s="9" t="s">
        <v>8</v>
      </c>
      <c r="D47" s="9">
        <v>75.0</v>
      </c>
      <c r="E47" s="10">
        <v>2.0</v>
      </c>
      <c r="F47" s="9">
        <v>5.0</v>
      </c>
      <c r="G47" s="9">
        <v>1.0</v>
      </c>
      <c r="H47" s="9">
        <v>0.0</v>
      </c>
      <c r="I47" s="9">
        <v>0.0</v>
      </c>
      <c r="J47" s="17">
        <v>4325.0</v>
      </c>
      <c r="K47" s="18">
        <v>4325.0</v>
      </c>
      <c r="L47" s="17">
        <v>4325.0</v>
      </c>
      <c r="M47" s="18">
        <v>4325.0</v>
      </c>
      <c r="N47" s="18">
        <v>0.0</v>
      </c>
      <c r="O47" s="18">
        <v>0.03</v>
      </c>
      <c r="P47" s="4"/>
    </row>
    <row r="48">
      <c r="A48" s="8" t="s">
        <v>53</v>
      </c>
      <c r="B48" s="9">
        <v>30.0</v>
      </c>
      <c r="C48" s="9" t="s">
        <v>8</v>
      </c>
      <c r="D48" s="9">
        <v>25.0</v>
      </c>
      <c r="E48" s="10">
        <v>0.6</v>
      </c>
      <c r="F48" s="9">
        <v>1.0</v>
      </c>
      <c r="G48" s="9">
        <v>1.0</v>
      </c>
      <c r="H48" s="9">
        <v>0.0</v>
      </c>
      <c r="I48" s="9">
        <v>0.0</v>
      </c>
      <c r="J48" s="17">
        <v>-943.0</v>
      </c>
      <c r="K48" s="18">
        <v>-968.5</v>
      </c>
      <c r="L48" s="17">
        <v>-968.0</v>
      </c>
      <c r="M48" s="18">
        <v>-968.0</v>
      </c>
      <c r="N48" s="18">
        <v>0.0</v>
      </c>
      <c r="O48" s="18">
        <v>1.744</v>
      </c>
      <c r="P48" s="4"/>
    </row>
    <row r="49">
      <c r="A49" s="8" t="s">
        <v>54</v>
      </c>
      <c r="B49" s="9">
        <v>30.0</v>
      </c>
      <c r="C49" s="9" t="s">
        <v>8</v>
      </c>
      <c r="D49" s="9">
        <v>25.0</v>
      </c>
      <c r="E49" s="10">
        <v>0.6</v>
      </c>
      <c r="F49" s="9">
        <v>2.0</v>
      </c>
      <c r="G49" s="9">
        <v>1.0</v>
      </c>
      <c r="H49" s="9">
        <v>0.0</v>
      </c>
      <c r="I49" s="9">
        <v>0.0</v>
      </c>
      <c r="J49" s="17">
        <v>-749.0</v>
      </c>
      <c r="K49" s="18">
        <v>-749.0</v>
      </c>
      <c r="L49" s="17">
        <v>-749.0</v>
      </c>
      <c r="M49" s="18">
        <v>-749.0</v>
      </c>
      <c r="N49" s="18">
        <v>0.0</v>
      </c>
      <c r="O49" s="18">
        <v>1.531</v>
      </c>
      <c r="P49" s="4"/>
    </row>
    <row r="50">
      <c r="A50" s="8" t="s">
        <v>55</v>
      </c>
      <c r="B50" s="9">
        <v>30.0</v>
      </c>
      <c r="C50" s="9" t="s">
        <v>8</v>
      </c>
      <c r="D50" s="9">
        <v>25.0</v>
      </c>
      <c r="E50" s="10">
        <v>0.6</v>
      </c>
      <c r="F50" s="9">
        <v>3.0</v>
      </c>
      <c r="G50" s="9">
        <v>1.0</v>
      </c>
      <c r="H50" s="9">
        <v>0.0</v>
      </c>
      <c r="I50" s="9">
        <v>0.0</v>
      </c>
      <c r="J50" s="17">
        <v>-935.0</v>
      </c>
      <c r="K50" s="18">
        <v>-935.0</v>
      </c>
      <c r="L50" s="17">
        <v>-935.0</v>
      </c>
      <c r="M50" s="18">
        <v>-935.0</v>
      </c>
      <c r="N50" s="18">
        <v>0.0</v>
      </c>
      <c r="O50" s="18">
        <v>1.242</v>
      </c>
      <c r="P50" s="4"/>
    </row>
    <row r="51">
      <c r="A51" s="8" t="s">
        <v>56</v>
      </c>
      <c r="B51" s="9">
        <v>30.0</v>
      </c>
      <c r="C51" s="9" t="s">
        <v>8</v>
      </c>
      <c r="D51" s="9">
        <v>25.0</v>
      </c>
      <c r="E51" s="10">
        <v>0.6</v>
      </c>
      <c r="F51" s="9">
        <v>4.0</v>
      </c>
      <c r="G51" s="9">
        <v>1.0</v>
      </c>
      <c r="H51" s="9">
        <v>0.0</v>
      </c>
      <c r="I51" s="9">
        <v>0.0</v>
      </c>
      <c r="J51" s="17">
        <v>-1126.0</v>
      </c>
      <c r="K51" s="18">
        <v>-1126.0</v>
      </c>
      <c r="L51" s="17">
        <v>-1126.0</v>
      </c>
      <c r="M51" s="18">
        <v>-1126.0</v>
      </c>
      <c r="N51" s="18">
        <v>0.0</v>
      </c>
      <c r="O51" s="18">
        <v>2.611</v>
      </c>
      <c r="P51" s="4"/>
    </row>
    <row r="52">
      <c r="A52" s="8" t="s">
        <v>57</v>
      </c>
      <c r="B52" s="9">
        <v>30.0</v>
      </c>
      <c r="C52" s="9" t="s">
        <v>8</v>
      </c>
      <c r="D52" s="9">
        <v>25.0</v>
      </c>
      <c r="E52" s="10">
        <v>0.6</v>
      </c>
      <c r="F52" s="9">
        <v>5.0</v>
      </c>
      <c r="G52" s="9">
        <v>1.0</v>
      </c>
      <c r="H52" s="9">
        <v>0.0</v>
      </c>
      <c r="I52" s="9">
        <v>0.0</v>
      </c>
      <c r="J52" s="17">
        <v>-1010.0</v>
      </c>
      <c r="K52" s="18">
        <v>-1010.0</v>
      </c>
      <c r="L52" s="17">
        <v>-1010.0</v>
      </c>
      <c r="M52" s="18">
        <v>-1010.0</v>
      </c>
      <c r="N52" s="18">
        <v>0.0</v>
      </c>
      <c r="O52" s="18">
        <v>1.397</v>
      </c>
      <c r="P52" s="4"/>
    </row>
    <row r="53">
      <c r="A53" s="8" t="s">
        <v>58</v>
      </c>
      <c r="B53" s="9">
        <v>30.0</v>
      </c>
      <c r="C53" s="9" t="s">
        <v>8</v>
      </c>
      <c r="D53" s="9">
        <v>25.0</v>
      </c>
      <c r="E53" s="10">
        <v>1.0</v>
      </c>
      <c r="F53" s="9">
        <v>1.0</v>
      </c>
      <c r="G53" s="9">
        <v>1.0</v>
      </c>
      <c r="H53" s="9">
        <v>0.0</v>
      </c>
      <c r="I53" s="9">
        <v>0.0</v>
      </c>
      <c r="J53" s="17">
        <v>-908.0</v>
      </c>
      <c r="K53" s="18">
        <v>-908.0</v>
      </c>
      <c r="L53" s="17">
        <v>-908.0</v>
      </c>
      <c r="M53" s="18">
        <v>-908.0</v>
      </c>
      <c r="N53" s="18">
        <v>0.0</v>
      </c>
      <c r="O53" s="18">
        <v>0.184</v>
      </c>
      <c r="P53" s="4"/>
    </row>
    <row r="54">
      <c r="A54" s="8" t="s">
        <v>59</v>
      </c>
      <c r="B54" s="9">
        <v>30.0</v>
      </c>
      <c r="C54" s="9" t="s">
        <v>8</v>
      </c>
      <c r="D54" s="9">
        <v>25.0</v>
      </c>
      <c r="E54" s="10">
        <v>1.0</v>
      </c>
      <c r="F54" s="9">
        <v>2.0</v>
      </c>
      <c r="G54" s="9">
        <v>1.0</v>
      </c>
      <c r="H54" s="9">
        <v>0.0</v>
      </c>
      <c r="I54" s="9">
        <v>0.0</v>
      </c>
      <c r="J54" s="17">
        <v>-610.0</v>
      </c>
      <c r="K54" s="18">
        <v>-610.0</v>
      </c>
      <c r="L54" s="17">
        <v>-610.0</v>
      </c>
      <c r="M54" s="18">
        <v>-610.0</v>
      </c>
      <c r="N54" s="18">
        <v>0.0</v>
      </c>
      <c r="O54" s="18">
        <v>0.397</v>
      </c>
      <c r="P54" s="4"/>
    </row>
    <row r="55">
      <c r="A55" s="8" t="s">
        <v>60</v>
      </c>
      <c r="B55" s="9">
        <v>30.0</v>
      </c>
      <c r="C55" s="9" t="s">
        <v>8</v>
      </c>
      <c r="D55" s="9">
        <v>25.0</v>
      </c>
      <c r="E55" s="10">
        <v>1.0</v>
      </c>
      <c r="F55" s="9">
        <v>3.0</v>
      </c>
      <c r="G55" s="9">
        <v>1.0</v>
      </c>
      <c r="H55" s="9">
        <v>0.0</v>
      </c>
      <c r="I55" s="9">
        <v>0.0</v>
      </c>
      <c r="J55" s="17">
        <v>-823.0</v>
      </c>
      <c r="K55" s="18">
        <v>-836.5</v>
      </c>
      <c r="L55" s="17">
        <v>-835.0</v>
      </c>
      <c r="M55" s="18">
        <v>-835.0</v>
      </c>
      <c r="N55" s="18">
        <v>0.0</v>
      </c>
      <c r="O55" s="18">
        <v>0.965</v>
      </c>
      <c r="P55" s="4"/>
    </row>
    <row r="56">
      <c r="A56" s="8" t="s">
        <v>61</v>
      </c>
      <c r="B56" s="9">
        <v>30.0</v>
      </c>
      <c r="C56" s="9" t="s">
        <v>8</v>
      </c>
      <c r="D56" s="9">
        <v>25.0</v>
      </c>
      <c r="E56" s="10">
        <v>1.0</v>
      </c>
      <c r="F56" s="9">
        <v>4.0</v>
      </c>
      <c r="G56" s="9">
        <v>1.0</v>
      </c>
      <c r="H56" s="9">
        <v>0.0</v>
      </c>
      <c r="I56" s="9">
        <v>0.0</v>
      </c>
      <c r="J56" s="17">
        <v>-842.0</v>
      </c>
      <c r="K56" s="18">
        <v>-867.5</v>
      </c>
      <c r="L56" s="17">
        <v>-852.0</v>
      </c>
      <c r="M56" s="18">
        <v>-852.0</v>
      </c>
      <c r="N56" s="18">
        <v>0.0</v>
      </c>
      <c r="O56" s="18">
        <v>1.668</v>
      </c>
      <c r="P56" s="4"/>
    </row>
    <row r="57">
      <c r="A57" s="8" t="s">
        <v>62</v>
      </c>
      <c r="B57" s="9">
        <v>30.0</v>
      </c>
      <c r="C57" s="9" t="s">
        <v>8</v>
      </c>
      <c r="D57" s="9">
        <v>25.0</v>
      </c>
      <c r="E57" s="10">
        <v>1.0</v>
      </c>
      <c r="F57" s="9">
        <v>5.0</v>
      </c>
      <c r="G57" s="9">
        <v>1.0</v>
      </c>
      <c r="H57" s="9">
        <v>0.0</v>
      </c>
      <c r="I57" s="9">
        <v>0.0</v>
      </c>
      <c r="J57" s="17">
        <v>-865.0</v>
      </c>
      <c r="K57" s="18">
        <v>-865.0</v>
      </c>
      <c r="L57" s="17">
        <v>-865.0</v>
      </c>
      <c r="M57" s="18">
        <v>-865.0</v>
      </c>
      <c r="N57" s="18">
        <v>0.0</v>
      </c>
      <c r="O57" s="18">
        <v>0.493</v>
      </c>
      <c r="P57" s="4"/>
    </row>
    <row r="58">
      <c r="A58" s="8" t="s">
        <v>63</v>
      </c>
      <c r="B58" s="9">
        <v>30.0</v>
      </c>
      <c r="C58" s="9" t="s">
        <v>8</v>
      </c>
      <c r="D58" s="9">
        <v>25.0</v>
      </c>
      <c r="E58" s="10">
        <v>2.0</v>
      </c>
      <c r="F58" s="9">
        <v>1.0</v>
      </c>
      <c r="G58" s="9">
        <v>1.0</v>
      </c>
      <c r="H58" s="9">
        <v>0.0</v>
      </c>
      <c r="I58" s="9">
        <v>0.0</v>
      </c>
      <c r="J58" s="17">
        <v>-336.0</v>
      </c>
      <c r="K58" s="18">
        <v>-336.0</v>
      </c>
      <c r="L58" s="17">
        <v>-336.0</v>
      </c>
      <c r="M58" s="18">
        <v>-336.0</v>
      </c>
      <c r="N58" s="18">
        <v>0.0</v>
      </c>
      <c r="O58" s="18">
        <v>0.031</v>
      </c>
      <c r="P58" s="4"/>
    </row>
    <row r="59">
      <c r="A59" s="8" t="s">
        <v>64</v>
      </c>
      <c r="B59" s="9">
        <v>30.0</v>
      </c>
      <c r="C59" s="9" t="s">
        <v>8</v>
      </c>
      <c r="D59" s="9">
        <v>25.0</v>
      </c>
      <c r="E59" s="10">
        <v>2.0</v>
      </c>
      <c r="F59" s="9">
        <v>2.0</v>
      </c>
      <c r="G59" s="9">
        <v>1.0</v>
      </c>
      <c r="H59" s="9">
        <v>0.0</v>
      </c>
      <c r="I59" s="9">
        <v>0.0</v>
      </c>
      <c r="J59" s="17">
        <v>930.0</v>
      </c>
      <c r="K59" s="18">
        <v>861.667</v>
      </c>
      <c r="L59" s="17">
        <v>916.0</v>
      </c>
      <c r="M59" s="18">
        <v>916.0</v>
      </c>
      <c r="N59" s="18">
        <v>0.0</v>
      </c>
      <c r="O59" s="18">
        <v>20.866</v>
      </c>
      <c r="P59" s="4"/>
    </row>
    <row r="60">
      <c r="A60" s="8" t="s">
        <v>65</v>
      </c>
      <c r="B60" s="9">
        <v>30.0</v>
      </c>
      <c r="C60" s="9" t="s">
        <v>8</v>
      </c>
      <c r="D60" s="9">
        <v>25.0</v>
      </c>
      <c r="E60" s="10">
        <v>2.0</v>
      </c>
      <c r="F60" s="9">
        <v>3.0</v>
      </c>
      <c r="G60" s="9">
        <v>1.0</v>
      </c>
      <c r="H60" s="9">
        <v>0.0</v>
      </c>
      <c r="I60" s="9">
        <v>0.0</v>
      </c>
      <c r="J60" s="17">
        <v>-540.0</v>
      </c>
      <c r="K60" s="18">
        <v>-540.0</v>
      </c>
      <c r="L60" s="17">
        <v>-540.0</v>
      </c>
      <c r="M60" s="18">
        <v>-540.0</v>
      </c>
      <c r="N60" s="18">
        <v>0.0</v>
      </c>
      <c r="O60" s="18">
        <v>0.044</v>
      </c>
      <c r="P60" s="4"/>
    </row>
    <row r="61">
      <c r="A61" s="8" t="s">
        <v>66</v>
      </c>
      <c r="B61" s="9">
        <v>30.0</v>
      </c>
      <c r="C61" s="9" t="s">
        <v>8</v>
      </c>
      <c r="D61" s="9">
        <v>25.0</v>
      </c>
      <c r="E61" s="10">
        <v>2.0</v>
      </c>
      <c r="F61" s="9">
        <v>4.0</v>
      </c>
      <c r="G61" s="9">
        <v>1.0</v>
      </c>
      <c r="H61" s="9">
        <v>0.0</v>
      </c>
      <c r="I61" s="9">
        <v>0.0</v>
      </c>
      <c r="J61" s="17">
        <v>1383.0</v>
      </c>
      <c r="K61" s="18">
        <v>1261.43</v>
      </c>
      <c r="L61" s="17">
        <v>1337.0</v>
      </c>
      <c r="M61" s="18">
        <v>1337.0</v>
      </c>
      <c r="N61" s="18">
        <v>0.0</v>
      </c>
      <c r="O61" s="18">
        <v>72.676</v>
      </c>
      <c r="P61" s="4"/>
    </row>
    <row r="62">
      <c r="A62" s="8" t="s">
        <v>67</v>
      </c>
      <c r="B62" s="9">
        <v>30.0</v>
      </c>
      <c r="C62" s="9" t="s">
        <v>8</v>
      </c>
      <c r="D62" s="9">
        <v>25.0</v>
      </c>
      <c r="E62" s="10">
        <v>2.0</v>
      </c>
      <c r="F62" s="9">
        <v>5.0</v>
      </c>
      <c r="G62" s="9">
        <v>1.0</v>
      </c>
      <c r="H62" s="9">
        <v>0.0</v>
      </c>
      <c r="I62" s="9">
        <v>0.0</v>
      </c>
      <c r="J62" s="17">
        <v>141.0</v>
      </c>
      <c r="K62" s="18">
        <v>121.75</v>
      </c>
      <c r="L62" s="17">
        <v>131.0</v>
      </c>
      <c r="M62" s="18">
        <v>131.0</v>
      </c>
      <c r="N62" s="18">
        <v>0.0</v>
      </c>
      <c r="O62" s="18">
        <v>0.125</v>
      </c>
      <c r="P62" s="4"/>
    </row>
    <row r="63">
      <c r="A63" s="8" t="s">
        <v>68</v>
      </c>
      <c r="B63" s="9">
        <v>30.0</v>
      </c>
      <c r="C63" s="9" t="s">
        <v>8</v>
      </c>
      <c r="D63" s="9">
        <v>50.0</v>
      </c>
      <c r="E63" s="10">
        <v>0.6</v>
      </c>
      <c r="F63" s="9">
        <v>1.0</v>
      </c>
      <c r="G63" s="9">
        <v>1.0</v>
      </c>
      <c r="H63" s="9">
        <v>0.0</v>
      </c>
      <c r="I63" s="9">
        <v>0.0</v>
      </c>
      <c r="J63" s="17">
        <v>-1076.0</v>
      </c>
      <c r="K63" s="18">
        <v>-1094.5</v>
      </c>
      <c r="L63" s="17">
        <v>-1084.0</v>
      </c>
      <c r="M63" s="18">
        <v>-1084.0</v>
      </c>
      <c r="N63" s="18">
        <v>0.0</v>
      </c>
      <c r="O63" s="18">
        <v>3.409</v>
      </c>
      <c r="P63" s="4"/>
    </row>
    <row r="64">
      <c r="A64" s="8" t="s">
        <v>69</v>
      </c>
      <c r="B64" s="9">
        <v>30.0</v>
      </c>
      <c r="C64" s="9" t="s">
        <v>8</v>
      </c>
      <c r="D64" s="9">
        <v>50.0</v>
      </c>
      <c r="E64" s="10">
        <v>0.6</v>
      </c>
      <c r="F64" s="9">
        <v>2.0</v>
      </c>
      <c r="G64" s="9">
        <v>1.0</v>
      </c>
      <c r="H64" s="9">
        <v>0.0</v>
      </c>
      <c r="I64" s="9">
        <v>0.0</v>
      </c>
      <c r="J64" s="17">
        <v>-1550.0</v>
      </c>
      <c r="K64" s="18">
        <v>-1550.0</v>
      </c>
      <c r="L64" s="17">
        <v>-1550.0</v>
      </c>
      <c r="M64" s="18">
        <v>-1550.0</v>
      </c>
      <c r="N64" s="18">
        <v>0.0</v>
      </c>
      <c r="O64" s="18">
        <v>1.302</v>
      </c>
      <c r="P64" s="4"/>
    </row>
    <row r="65">
      <c r="A65" s="8" t="s">
        <v>70</v>
      </c>
      <c r="B65" s="9">
        <v>30.0</v>
      </c>
      <c r="C65" s="9" t="s">
        <v>8</v>
      </c>
      <c r="D65" s="9">
        <v>50.0</v>
      </c>
      <c r="E65" s="10">
        <v>0.6</v>
      </c>
      <c r="F65" s="9">
        <v>3.0</v>
      </c>
      <c r="G65" s="9">
        <v>1.0</v>
      </c>
      <c r="H65" s="9">
        <v>0.0</v>
      </c>
      <c r="I65" s="9">
        <v>0.0</v>
      </c>
      <c r="J65" s="17">
        <v>-1138.0</v>
      </c>
      <c r="K65" s="18">
        <v>-1151.5</v>
      </c>
      <c r="L65" s="17">
        <v>-1138.0</v>
      </c>
      <c r="M65" s="18">
        <v>-1138.0</v>
      </c>
      <c r="N65" s="18">
        <v>0.0</v>
      </c>
      <c r="O65" s="18">
        <v>8.926</v>
      </c>
      <c r="P65" s="4"/>
    </row>
    <row r="66">
      <c r="A66" s="8" t="s">
        <v>71</v>
      </c>
      <c r="B66" s="9">
        <v>30.0</v>
      </c>
      <c r="C66" s="9" t="s">
        <v>8</v>
      </c>
      <c r="D66" s="9">
        <v>50.0</v>
      </c>
      <c r="E66" s="10">
        <v>0.6</v>
      </c>
      <c r="F66" s="9">
        <v>4.0</v>
      </c>
      <c r="G66" s="9">
        <v>1.0</v>
      </c>
      <c r="H66" s="9">
        <v>0.0</v>
      </c>
      <c r="I66" s="9">
        <v>0.0</v>
      </c>
      <c r="J66" s="17">
        <v>-1334.0</v>
      </c>
      <c r="K66" s="18">
        <v>-1336.5</v>
      </c>
      <c r="L66" s="17">
        <v>-1336.0</v>
      </c>
      <c r="M66" s="18">
        <v>-1336.0</v>
      </c>
      <c r="N66" s="18">
        <v>0.0</v>
      </c>
      <c r="O66" s="18">
        <v>4.44</v>
      </c>
      <c r="P66" s="4"/>
    </row>
    <row r="67">
      <c r="A67" s="8" t="s">
        <v>72</v>
      </c>
      <c r="B67" s="9">
        <v>30.0</v>
      </c>
      <c r="C67" s="9" t="s">
        <v>8</v>
      </c>
      <c r="D67" s="9">
        <v>50.0</v>
      </c>
      <c r="E67" s="10">
        <v>0.6</v>
      </c>
      <c r="F67" s="9">
        <v>5.0</v>
      </c>
      <c r="G67" s="9">
        <v>1.0</v>
      </c>
      <c r="H67" s="9">
        <v>0.0</v>
      </c>
      <c r="I67" s="9">
        <v>0.0</v>
      </c>
      <c r="J67" s="17">
        <v>-1459.0</v>
      </c>
      <c r="K67" s="18">
        <v>-1459.0</v>
      </c>
      <c r="L67" s="17">
        <v>-1459.0</v>
      </c>
      <c r="M67" s="18">
        <v>-1459.0</v>
      </c>
      <c r="N67" s="18">
        <v>0.0</v>
      </c>
      <c r="O67" s="18">
        <v>2.369</v>
      </c>
      <c r="P67" s="4"/>
    </row>
    <row r="68">
      <c r="A68" s="8" t="s">
        <v>73</v>
      </c>
      <c r="B68" s="9">
        <v>30.0</v>
      </c>
      <c r="C68" s="9" t="s">
        <v>8</v>
      </c>
      <c r="D68" s="9">
        <v>50.0</v>
      </c>
      <c r="E68" s="10">
        <v>1.0</v>
      </c>
      <c r="F68" s="9">
        <v>1.0</v>
      </c>
      <c r="G68" s="9">
        <v>1.0</v>
      </c>
      <c r="H68" s="9">
        <v>0.0</v>
      </c>
      <c r="I68" s="9">
        <v>0.0</v>
      </c>
      <c r="J68" s="17">
        <v>-838.0</v>
      </c>
      <c r="K68" s="18">
        <v>-849.333</v>
      </c>
      <c r="L68" s="17">
        <v>-848.0</v>
      </c>
      <c r="M68" s="18">
        <v>-848.0</v>
      </c>
      <c r="N68" s="18">
        <v>0.0</v>
      </c>
      <c r="O68" s="18">
        <v>1.297</v>
      </c>
      <c r="P68" s="4"/>
    </row>
    <row r="69">
      <c r="A69" s="8" t="s">
        <v>74</v>
      </c>
      <c r="B69" s="9">
        <v>30.0</v>
      </c>
      <c r="C69" s="9" t="s">
        <v>8</v>
      </c>
      <c r="D69" s="9">
        <v>50.0</v>
      </c>
      <c r="E69" s="10">
        <v>1.0</v>
      </c>
      <c r="F69" s="9">
        <v>2.0</v>
      </c>
      <c r="G69" s="9">
        <v>1.0</v>
      </c>
      <c r="H69" s="9">
        <v>0.0</v>
      </c>
      <c r="I69" s="9">
        <v>0.0</v>
      </c>
      <c r="J69" s="17">
        <v>-1288.0</v>
      </c>
      <c r="K69" s="18">
        <v>-1321.5</v>
      </c>
      <c r="L69" s="17">
        <v>-1303.0</v>
      </c>
      <c r="M69" s="18">
        <v>-1303.0</v>
      </c>
      <c r="N69" s="18">
        <v>0.0</v>
      </c>
      <c r="O69" s="18">
        <v>1.24</v>
      </c>
      <c r="P69" s="4"/>
    </row>
    <row r="70">
      <c r="A70" s="8" t="s">
        <v>75</v>
      </c>
      <c r="B70" s="9">
        <v>30.0</v>
      </c>
      <c r="C70" s="9" t="s">
        <v>8</v>
      </c>
      <c r="D70" s="9">
        <v>50.0</v>
      </c>
      <c r="E70" s="10">
        <v>1.0</v>
      </c>
      <c r="F70" s="9">
        <v>3.0</v>
      </c>
      <c r="G70" s="9">
        <v>1.0</v>
      </c>
      <c r="H70" s="9">
        <v>0.0</v>
      </c>
      <c r="I70" s="9">
        <v>0.0</v>
      </c>
      <c r="J70" s="17">
        <v>-908.0</v>
      </c>
      <c r="K70" s="18">
        <v>-923.0</v>
      </c>
      <c r="L70" s="17">
        <v>-910.0</v>
      </c>
      <c r="M70" s="18">
        <v>-910.0</v>
      </c>
      <c r="N70" s="18">
        <v>0.0</v>
      </c>
      <c r="O70" s="18">
        <v>3.577</v>
      </c>
      <c r="P70" s="4"/>
    </row>
    <row r="71">
      <c r="A71" s="8" t="s">
        <v>76</v>
      </c>
      <c r="B71" s="9">
        <v>30.0</v>
      </c>
      <c r="C71" s="9" t="s">
        <v>8</v>
      </c>
      <c r="D71" s="9">
        <v>50.0</v>
      </c>
      <c r="E71" s="10">
        <v>1.0</v>
      </c>
      <c r="F71" s="9">
        <v>4.0</v>
      </c>
      <c r="G71" s="9">
        <v>1.0</v>
      </c>
      <c r="H71" s="9">
        <v>0.0</v>
      </c>
      <c r="I71" s="9">
        <v>0.0</v>
      </c>
      <c r="J71" s="17">
        <v>-1126.0</v>
      </c>
      <c r="K71" s="18">
        <v>-1126.0</v>
      </c>
      <c r="L71" s="17">
        <v>-1126.0</v>
      </c>
      <c r="M71" s="18">
        <v>-1126.0</v>
      </c>
      <c r="N71" s="18">
        <v>0.0</v>
      </c>
      <c r="O71" s="18">
        <v>0.522</v>
      </c>
      <c r="P71" s="4"/>
    </row>
    <row r="72">
      <c r="A72" s="8" t="s">
        <v>77</v>
      </c>
      <c r="B72" s="9">
        <v>30.0</v>
      </c>
      <c r="C72" s="9" t="s">
        <v>8</v>
      </c>
      <c r="D72" s="9">
        <v>50.0</v>
      </c>
      <c r="E72" s="10">
        <v>1.0</v>
      </c>
      <c r="F72" s="9">
        <v>5.0</v>
      </c>
      <c r="G72" s="9">
        <v>1.0</v>
      </c>
      <c r="H72" s="9">
        <v>0.0</v>
      </c>
      <c r="I72" s="9">
        <v>0.0</v>
      </c>
      <c r="J72" s="17">
        <v>-1106.0</v>
      </c>
      <c r="K72" s="18">
        <v>-1171.0</v>
      </c>
      <c r="L72" s="17">
        <v>-1163.0</v>
      </c>
      <c r="M72" s="18">
        <v>-1163.0</v>
      </c>
      <c r="N72" s="18">
        <v>0.0</v>
      </c>
      <c r="O72" s="18">
        <v>1.318</v>
      </c>
      <c r="P72" s="4"/>
    </row>
    <row r="73">
      <c r="A73" s="8" t="s">
        <v>78</v>
      </c>
      <c r="B73" s="9">
        <v>30.0</v>
      </c>
      <c r="C73" s="9" t="s">
        <v>8</v>
      </c>
      <c r="D73" s="9">
        <v>50.0</v>
      </c>
      <c r="E73" s="10">
        <v>2.0</v>
      </c>
      <c r="F73" s="9">
        <v>1.0</v>
      </c>
      <c r="G73" s="9">
        <v>1.0</v>
      </c>
      <c r="H73" s="9">
        <v>0.0</v>
      </c>
      <c r="I73" s="9">
        <v>0.0</v>
      </c>
      <c r="J73" s="17">
        <v>1774.0</v>
      </c>
      <c r="K73" s="18">
        <v>1628.5</v>
      </c>
      <c r="L73" s="17">
        <v>1739.0</v>
      </c>
      <c r="M73" s="18">
        <v>1739.0</v>
      </c>
      <c r="N73" s="18">
        <v>0.0</v>
      </c>
      <c r="O73" s="18">
        <v>282.523</v>
      </c>
      <c r="P73" s="4"/>
    </row>
    <row r="74">
      <c r="A74" s="8" t="s">
        <v>79</v>
      </c>
      <c r="B74" s="9">
        <v>30.0</v>
      </c>
      <c r="C74" s="9" t="s">
        <v>8</v>
      </c>
      <c r="D74" s="9">
        <v>50.0</v>
      </c>
      <c r="E74" s="10">
        <v>2.0</v>
      </c>
      <c r="F74" s="9">
        <v>2.0</v>
      </c>
      <c r="G74" s="9">
        <v>1.0</v>
      </c>
      <c r="H74" s="9">
        <v>0.0</v>
      </c>
      <c r="I74" s="9">
        <v>0.0</v>
      </c>
      <c r="J74" s="17">
        <v>-5.0</v>
      </c>
      <c r="K74" s="18">
        <v>-17.0</v>
      </c>
      <c r="L74" s="17">
        <v>-13.0</v>
      </c>
      <c r="M74" s="18">
        <v>-13.0</v>
      </c>
      <c r="N74" s="18">
        <v>0.0</v>
      </c>
      <c r="O74" s="18">
        <v>0.167</v>
      </c>
      <c r="P74" s="4"/>
    </row>
    <row r="75">
      <c r="A75" s="8" t="s">
        <v>80</v>
      </c>
      <c r="B75" s="9">
        <v>30.0</v>
      </c>
      <c r="C75" s="9" t="s">
        <v>8</v>
      </c>
      <c r="D75" s="9">
        <v>50.0</v>
      </c>
      <c r="E75" s="10">
        <v>2.0</v>
      </c>
      <c r="F75" s="9">
        <v>3.0</v>
      </c>
      <c r="G75" s="9">
        <v>1.0</v>
      </c>
      <c r="H75" s="9">
        <v>0.0</v>
      </c>
      <c r="I75" s="9">
        <v>0.0</v>
      </c>
      <c r="J75" s="17">
        <v>1917.0</v>
      </c>
      <c r="K75" s="18">
        <v>1802.67</v>
      </c>
      <c r="L75" s="17">
        <v>1881.0</v>
      </c>
      <c r="M75" s="18">
        <v>1881.0</v>
      </c>
      <c r="N75" s="18">
        <v>0.0</v>
      </c>
      <c r="O75" s="18">
        <v>15.703</v>
      </c>
      <c r="P75" s="4"/>
    </row>
    <row r="76">
      <c r="A76" s="8" t="s">
        <v>81</v>
      </c>
      <c r="B76" s="9">
        <v>30.0</v>
      </c>
      <c r="C76" s="9" t="s">
        <v>8</v>
      </c>
      <c r="D76" s="9">
        <v>50.0</v>
      </c>
      <c r="E76" s="10">
        <v>2.0</v>
      </c>
      <c r="F76" s="9">
        <v>4.0</v>
      </c>
      <c r="G76" s="9">
        <v>1.0</v>
      </c>
      <c r="H76" s="9">
        <v>0.0</v>
      </c>
      <c r="I76" s="9">
        <v>0.0</v>
      </c>
      <c r="J76" s="17">
        <v>371.0</v>
      </c>
      <c r="K76" s="18">
        <v>347.833</v>
      </c>
      <c r="L76" s="17">
        <v>365.0</v>
      </c>
      <c r="M76" s="18">
        <v>365.0</v>
      </c>
      <c r="N76" s="18">
        <v>0.0</v>
      </c>
      <c r="O76" s="18">
        <v>0.593</v>
      </c>
      <c r="P76" s="4"/>
    </row>
    <row r="77">
      <c r="A77" s="8" t="s">
        <v>82</v>
      </c>
      <c r="B77" s="9">
        <v>30.0</v>
      </c>
      <c r="C77" s="9" t="s">
        <v>8</v>
      </c>
      <c r="D77" s="9">
        <v>50.0</v>
      </c>
      <c r="E77" s="10">
        <v>2.0</v>
      </c>
      <c r="F77" s="9">
        <v>5.0</v>
      </c>
      <c r="G77" s="9">
        <v>1.0</v>
      </c>
      <c r="H77" s="9">
        <v>0.0</v>
      </c>
      <c r="I77" s="9">
        <v>0.0</v>
      </c>
      <c r="J77" s="17">
        <v>914.0</v>
      </c>
      <c r="K77" s="18">
        <v>828.2</v>
      </c>
      <c r="L77" s="17">
        <v>885.0</v>
      </c>
      <c r="M77" s="18">
        <v>885.0</v>
      </c>
      <c r="N77" s="18">
        <v>0.0</v>
      </c>
      <c r="O77" s="18">
        <v>8.223</v>
      </c>
      <c r="P77" s="4"/>
    </row>
    <row r="78">
      <c r="A78" s="8" t="s">
        <v>83</v>
      </c>
      <c r="B78" s="9">
        <v>30.0</v>
      </c>
      <c r="C78" s="9" t="s">
        <v>8</v>
      </c>
      <c r="D78" s="9">
        <v>75.0</v>
      </c>
      <c r="E78" s="10">
        <v>0.6</v>
      </c>
      <c r="F78" s="9">
        <v>1.0</v>
      </c>
      <c r="G78" s="9">
        <v>1.0</v>
      </c>
      <c r="H78" s="9">
        <v>0.0</v>
      </c>
      <c r="I78" s="9">
        <v>0.0</v>
      </c>
      <c r="J78" s="17">
        <v>-1754.0</v>
      </c>
      <c r="K78" s="18">
        <v>-1755.0</v>
      </c>
      <c r="L78" s="17">
        <v>-1754.0</v>
      </c>
      <c r="M78" s="18">
        <v>-1754.0</v>
      </c>
      <c r="N78" s="18">
        <v>0.0</v>
      </c>
      <c r="O78" s="18">
        <v>10.894</v>
      </c>
      <c r="P78" s="4"/>
    </row>
    <row r="79">
      <c r="A79" s="8" t="s">
        <v>84</v>
      </c>
      <c r="B79" s="9">
        <v>30.0</v>
      </c>
      <c r="C79" s="9" t="s">
        <v>8</v>
      </c>
      <c r="D79" s="9">
        <v>75.0</v>
      </c>
      <c r="E79" s="10">
        <v>0.6</v>
      </c>
      <c r="F79" s="9">
        <v>2.0</v>
      </c>
      <c r="G79" s="9">
        <v>1.0</v>
      </c>
      <c r="H79" s="9">
        <v>0.0</v>
      </c>
      <c r="I79" s="9">
        <v>0.0</v>
      </c>
      <c r="J79" s="17">
        <v>-1720.0</v>
      </c>
      <c r="K79" s="18">
        <v>-1721.5</v>
      </c>
      <c r="L79" s="17">
        <v>-1720.0</v>
      </c>
      <c r="M79" s="18">
        <v>-1720.0</v>
      </c>
      <c r="N79" s="18">
        <v>0.0</v>
      </c>
      <c r="O79" s="18">
        <v>7.38</v>
      </c>
      <c r="P79" s="4"/>
    </row>
    <row r="80">
      <c r="A80" s="8" t="s">
        <v>85</v>
      </c>
      <c r="B80" s="9">
        <v>30.0</v>
      </c>
      <c r="C80" s="9" t="s">
        <v>8</v>
      </c>
      <c r="D80" s="9">
        <v>75.0</v>
      </c>
      <c r="E80" s="10">
        <v>0.6</v>
      </c>
      <c r="F80" s="9">
        <v>3.0</v>
      </c>
      <c r="G80" s="9">
        <v>1.0</v>
      </c>
      <c r="H80" s="9">
        <v>0.0</v>
      </c>
      <c r="I80" s="9">
        <v>0.0</v>
      </c>
      <c r="J80" s="17">
        <v>-1671.0</v>
      </c>
      <c r="K80" s="18">
        <v>-1671.0</v>
      </c>
      <c r="L80" s="17">
        <v>-1671.0</v>
      </c>
      <c r="M80" s="18">
        <v>-1671.0</v>
      </c>
      <c r="N80" s="18">
        <v>0.0</v>
      </c>
      <c r="O80" s="18">
        <v>5.897</v>
      </c>
      <c r="P80" s="4"/>
    </row>
    <row r="81">
      <c r="A81" s="8" t="s">
        <v>86</v>
      </c>
      <c r="B81" s="9">
        <v>30.0</v>
      </c>
      <c r="C81" s="9" t="s">
        <v>8</v>
      </c>
      <c r="D81" s="9">
        <v>75.0</v>
      </c>
      <c r="E81" s="10">
        <v>0.6</v>
      </c>
      <c r="F81" s="9">
        <v>4.0</v>
      </c>
      <c r="G81" s="9">
        <v>1.0</v>
      </c>
      <c r="H81" s="9">
        <v>0.0</v>
      </c>
      <c r="I81" s="9">
        <v>0.0</v>
      </c>
      <c r="J81" s="17">
        <v>-1636.0</v>
      </c>
      <c r="K81" s="18">
        <v>-1663.0</v>
      </c>
      <c r="L81" s="17">
        <v>-1636.0</v>
      </c>
      <c r="M81" s="18">
        <v>-1636.0</v>
      </c>
      <c r="N81" s="18">
        <v>0.0</v>
      </c>
      <c r="O81" s="18">
        <v>9.826</v>
      </c>
      <c r="P81" s="4"/>
    </row>
    <row r="82">
      <c r="A82" s="8" t="s">
        <v>87</v>
      </c>
      <c r="B82" s="9">
        <v>30.0</v>
      </c>
      <c r="C82" s="9" t="s">
        <v>8</v>
      </c>
      <c r="D82" s="9">
        <v>75.0</v>
      </c>
      <c r="E82" s="10">
        <v>0.6</v>
      </c>
      <c r="F82" s="9">
        <v>5.0</v>
      </c>
      <c r="G82" s="9">
        <v>1.0</v>
      </c>
      <c r="H82" s="9">
        <v>0.0</v>
      </c>
      <c r="I82" s="9">
        <v>0.0</v>
      </c>
      <c r="J82" s="17">
        <v>-1818.0</v>
      </c>
      <c r="K82" s="18">
        <v>-1890.0</v>
      </c>
      <c r="L82" s="17">
        <v>-1874.0</v>
      </c>
      <c r="M82" s="18">
        <v>-1874.0</v>
      </c>
      <c r="N82" s="18">
        <v>0.0</v>
      </c>
      <c r="O82" s="18">
        <v>31.007</v>
      </c>
      <c r="P82" s="4"/>
    </row>
    <row r="83">
      <c r="A83" s="8" t="s">
        <v>88</v>
      </c>
      <c r="B83" s="9">
        <v>30.0</v>
      </c>
      <c r="C83" s="9" t="s">
        <v>8</v>
      </c>
      <c r="D83" s="9">
        <v>75.0</v>
      </c>
      <c r="E83" s="10">
        <v>1.0</v>
      </c>
      <c r="F83" s="9">
        <v>1.0</v>
      </c>
      <c r="G83" s="9">
        <v>1.0</v>
      </c>
      <c r="H83" s="9">
        <v>0.0</v>
      </c>
      <c r="I83" s="9">
        <v>0.0</v>
      </c>
      <c r="J83" s="17">
        <v>-1487.0</v>
      </c>
      <c r="K83" s="18">
        <v>-1563.0</v>
      </c>
      <c r="L83" s="17">
        <v>-1556.0</v>
      </c>
      <c r="M83" s="18">
        <v>-1556.0</v>
      </c>
      <c r="N83" s="18">
        <v>0.0</v>
      </c>
      <c r="O83" s="18">
        <v>2.008</v>
      </c>
      <c r="P83" s="4"/>
    </row>
    <row r="84">
      <c r="A84" s="8" t="s">
        <v>89</v>
      </c>
      <c r="B84" s="9">
        <v>30.0</v>
      </c>
      <c r="C84" s="9" t="s">
        <v>8</v>
      </c>
      <c r="D84" s="9">
        <v>75.0</v>
      </c>
      <c r="E84" s="10">
        <v>1.0</v>
      </c>
      <c r="F84" s="9">
        <v>2.0</v>
      </c>
      <c r="G84" s="9">
        <v>1.0</v>
      </c>
      <c r="H84" s="9">
        <v>0.0</v>
      </c>
      <c r="I84" s="9">
        <v>0.0</v>
      </c>
      <c r="J84" s="17">
        <v>-1439.0</v>
      </c>
      <c r="K84" s="18">
        <v>-1458.25</v>
      </c>
      <c r="L84" s="17">
        <v>-1441.0</v>
      </c>
      <c r="M84" s="18">
        <v>-1441.0</v>
      </c>
      <c r="N84" s="18">
        <v>0.0</v>
      </c>
      <c r="O84" s="18">
        <v>4.106</v>
      </c>
      <c r="P84" s="4"/>
    </row>
    <row r="85">
      <c r="A85" s="8" t="s">
        <v>90</v>
      </c>
      <c r="B85" s="9">
        <v>30.0</v>
      </c>
      <c r="C85" s="9" t="s">
        <v>8</v>
      </c>
      <c r="D85" s="9">
        <v>75.0</v>
      </c>
      <c r="E85" s="10">
        <v>1.0</v>
      </c>
      <c r="F85" s="9">
        <v>3.0</v>
      </c>
      <c r="G85" s="9">
        <v>1.0</v>
      </c>
      <c r="H85" s="9">
        <v>0.0</v>
      </c>
      <c r="I85" s="9">
        <v>0.0</v>
      </c>
      <c r="J85" s="17">
        <v>-1362.0</v>
      </c>
      <c r="K85" s="18">
        <v>-1403.67</v>
      </c>
      <c r="L85" s="17">
        <v>-1369.0</v>
      </c>
      <c r="M85" s="18">
        <v>-1369.0</v>
      </c>
      <c r="N85" s="18">
        <v>0.0</v>
      </c>
      <c r="O85" s="18">
        <v>6.277</v>
      </c>
      <c r="P85" s="4"/>
    </row>
    <row r="86">
      <c r="A86" s="8" t="s">
        <v>91</v>
      </c>
      <c r="B86" s="9">
        <v>30.0</v>
      </c>
      <c r="C86" s="9" t="s">
        <v>8</v>
      </c>
      <c r="D86" s="9">
        <v>75.0</v>
      </c>
      <c r="E86" s="10">
        <v>1.0</v>
      </c>
      <c r="F86" s="9">
        <v>4.0</v>
      </c>
      <c r="G86" s="9">
        <v>1.0</v>
      </c>
      <c r="H86" s="9">
        <v>0.0</v>
      </c>
      <c r="I86" s="9">
        <v>0.0</v>
      </c>
      <c r="J86" s="17">
        <v>-1242.0</v>
      </c>
      <c r="K86" s="18">
        <v>-1274.27</v>
      </c>
      <c r="L86" s="17">
        <v>-1252.0</v>
      </c>
      <c r="M86" s="18">
        <v>-1252.0</v>
      </c>
      <c r="N86" s="18">
        <v>0.0</v>
      </c>
      <c r="O86" s="18">
        <v>4.474</v>
      </c>
      <c r="P86" s="4"/>
    </row>
    <row r="87">
      <c r="A87" s="8" t="s">
        <v>92</v>
      </c>
      <c r="B87" s="9">
        <v>30.0</v>
      </c>
      <c r="C87" s="9" t="s">
        <v>8</v>
      </c>
      <c r="D87" s="9">
        <v>75.0</v>
      </c>
      <c r="E87" s="10">
        <v>1.0</v>
      </c>
      <c r="F87" s="9">
        <v>5.0</v>
      </c>
      <c r="G87" s="9">
        <v>1.0</v>
      </c>
      <c r="H87" s="9">
        <v>0.0</v>
      </c>
      <c r="I87" s="9">
        <v>0.0</v>
      </c>
      <c r="J87" s="17">
        <v>-1334.0</v>
      </c>
      <c r="K87" s="18">
        <v>-1443.35</v>
      </c>
      <c r="L87" s="17">
        <v>-1381.0</v>
      </c>
      <c r="M87" s="18">
        <v>-1381.0</v>
      </c>
      <c r="N87" s="18">
        <v>0.0</v>
      </c>
      <c r="O87" s="18">
        <v>19.35</v>
      </c>
      <c r="P87" s="4"/>
    </row>
    <row r="88">
      <c r="A88" s="8" t="s">
        <v>93</v>
      </c>
      <c r="B88" s="9">
        <v>30.0</v>
      </c>
      <c r="C88" s="9" t="s">
        <v>8</v>
      </c>
      <c r="D88" s="9">
        <v>75.0</v>
      </c>
      <c r="E88" s="10">
        <v>2.0</v>
      </c>
      <c r="F88" s="9">
        <v>1.0</v>
      </c>
      <c r="G88" s="9">
        <v>1.0</v>
      </c>
      <c r="H88" s="9">
        <v>0.0</v>
      </c>
      <c r="I88" s="9">
        <v>0.0</v>
      </c>
      <c r="J88" s="17">
        <v>-423.0</v>
      </c>
      <c r="K88" s="18">
        <v>-423.0</v>
      </c>
      <c r="L88" s="17">
        <v>-423.0</v>
      </c>
      <c r="M88" s="18">
        <v>-423.0</v>
      </c>
      <c r="N88" s="18">
        <v>0.0</v>
      </c>
      <c r="O88" s="18">
        <v>0.053</v>
      </c>
      <c r="P88" s="4"/>
    </row>
    <row r="89">
      <c r="A89" s="8" t="s">
        <v>94</v>
      </c>
      <c r="B89" s="9">
        <v>30.0</v>
      </c>
      <c r="C89" s="9" t="s">
        <v>8</v>
      </c>
      <c r="D89" s="9">
        <v>75.0</v>
      </c>
      <c r="E89" s="10">
        <v>2.0</v>
      </c>
      <c r="F89" s="9">
        <v>2.0</v>
      </c>
      <c r="G89" s="9">
        <v>1.0</v>
      </c>
      <c r="H89" s="9">
        <v>0.0</v>
      </c>
      <c r="I89" s="9">
        <v>0.0</v>
      </c>
      <c r="J89" s="17">
        <v>-99.0</v>
      </c>
      <c r="K89" s="18">
        <v>-124.19</v>
      </c>
      <c r="L89" s="17">
        <v>-111.0</v>
      </c>
      <c r="M89" s="18">
        <v>-111.0</v>
      </c>
      <c r="N89" s="18">
        <v>0.0</v>
      </c>
      <c r="O89" s="18">
        <v>0.272</v>
      </c>
      <c r="P89" s="4"/>
    </row>
    <row r="90">
      <c r="A90" s="8" t="s">
        <v>95</v>
      </c>
      <c r="B90" s="9">
        <v>30.0</v>
      </c>
      <c r="C90" s="9" t="s">
        <v>8</v>
      </c>
      <c r="D90" s="9">
        <v>75.0</v>
      </c>
      <c r="E90" s="10">
        <v>2.0</v>
      </c>
      <c r="F90" s="9">
        <v>3.0</v>
      </c>
      <c r="G90" s="9">
        <v>1.0</v>
      </c>
      <c r="H90" s="9">
        <v>0.0</v>
      </c>
      <c r="I90" s="9">
        <v>0.0</v>
      </c>
      <c r="J90" s="17">
        <v>220.0</v>
      </c>
      <c r="K90" s="18">
        <v>219.0</v>
      </c>
      <c r="L90" s="17">
        <v>220.0</v>
      </c>
      <c r="M90" s="18">
        <v>220.0</v>
      </c>
      <c r="N90" s="18">
        <v>0.0</v>
      </c>
      <c r="O90" s="18">
        <v>0.114</v>
      </c>
      <c r="P90" s="4"/>
    </row>
    <row r="91">
      <c r="A91" s="8" t="s">
        <v>96</v>
      </c>
      <c r="B91" s="9">
        <v>30.0</v>
      </c>
      <c r="C91" s="9" t="s">
        <v>8</v>
      </c>
      <c r="D91" s="9">
        <v>75.0</v>
      </c>
      <c r="E91" s="10">
        <v>2.0</v>
      </c>
      <c r="F91" s="9">
        <v>4.0</v>
      </c>
      <c r="G91" s="9">
        <v>1.0</v>
      </c>
      <c r="H91" s="9">
        <v>0.0</v>
      </c>
      <c r="I91" s="9">
        <v>0.0</v>
      </c>
      <c r="J91" s="17">
        <v>1807.0</v>
      </c>
      <c r="K91" s="18">
        <v>1699.88</v>
      </c>
      <c r="L91" s="17">
        <v>1730.0</v>
      </c>
      <c r="M91" s="18">
        <v>1730.0</v>
      </c>
      <c r="N91" s="18">
        <v>0.0</v>
      </c>
      <c r="O91" s="18">
        <v>0.406</v>
      </c>
      <c r="P91" s="4"/>
    </row>
    <row r="92">
      <c r="A92" s="8" t="s">
        <v>97</v>
      </c>
      <c r="B92" s="9">
        <v>30.0</v>
      </c>
      <c r="C92" s="9" t="s">
        <v>8</v>
      </c>
      <c r="D92" s="9">
        <v>75.0</v>
      </c>
      <c r="E92" s="10">
        <v>2.0</v>
      </c>
      <c r="F92" s="9">
        <v>5.0</v>
      </c>
      <c r="G92" s="9">
        <v>1.0</v>
      </c>
      <c r="H92" s="9">
        <v>0.0</v>
      </c>
      <c r="I92" s="9">
        <v>0.0</v>
      </c>
      <c r="J92" s="17">
        <v>2519.0</v>
      </c>
      <c r="K92" s="18">
        <v>2350.29</v>
      </c>
      <c r="L92" s="17">
        <v>2510.0</v>
      </c>
      <c r="M92" s="18">
        <v>2510.0</v>
      </c>
      <c r="N92" s="18">
        <v>0.0</v>
      </c>
      <c r="O92" s="18">
        <v>422.35</v>
      </c>
      <c r="P92" s="4"/>
    </row>
    <row r="93">
      <c r="A93" s="8" t="s">
        <v>98</v>
      </c>
      <c r="B93" s="9">
        <v>35.0</v>
      </c>
      <c r="C93" s="9" t="s">
        <v>8</v>
      </c>
      <c r="D93" s="9">
        <v>25.0</v>
      </c>
      <c r="E93" s="10">
        <v>0.6</v>
      </c>
      <c r="F93" s="9">
        <v>1.0</v>
      </c>
      <c r="G93" s="9">
        <v>1.0</v>
      </c>
      <c r="H93" s="9">
        <v>0.0</v>
      </c>
      <c r="I93" s="9">
        <v>0.0</v>
      </c>
      <c r="J93" s="17">
        <v>-1153.0</v>
      </c>
      <c r="K93" s="18">
        <v>-1161.5</v>
      </c>
      <c r="L93" s="17">
        <v>-1153.0</v>
      </c>
      <c r="M93" s="18">
        <v>-1153.0</v>
      </c>
      <c r="N93" s="18">
        <v>0.0</v>
      </c>
      <c r="O93" s="18">
        <v>29.626</v>
      </c>
      <c r="P93" s="4"/>
    </row>
    <row r="94">
      <c r="A94" s="8" t="s">
        <v>99</v>
      </c>
      <c r="B94" s="9">
        <v>35.0</v>
      </c>
      <c r="C94" s="9" t="s">
        <v>8</v>
      </c>
      <c r="D94" s="9">
        <v>25.0</v>
      </c>
      <c r="E94" s="10">
        <v>0.6</v>
      </c>
      <c r="F94" s="9">
        <v>2.0</v>
      </c>
      <c r="G94" s="9">
        <v>1.0</v>
      </c>
      <c r="H94" s="9">
        <v>0.0</v>
      </c>
      <c r="I94" s="9">
        <v>0.0</v>
      </c>
      <c r="J94" s="17">
        <v>-1144.0</v>
      </c>
      <c r="K94" s="18">
        <v>-1144.0</v>
      </c>
      <c r="L94" s="17">
        <v>-1144.0</v>
      </c>
      <c r="M94" s="18">
        <v>-1144.0</v>
      </c>
      <c r="N94" s="18">
        <v>0.0</v>
      </c>
      <c r="O94" s="18">
        <v>4.792</v>
      </c>
      <c r="P94" s="4"/>
    </row>
    <row r="95">
      <c r="A95" s="8" t="s">
        <v>100</v>
      </c>
      <c r="B95" s="9">
        <v>35.0</v>
      </c>
      <c r="C95" s="9" t="s">
        <v>8</v>
      </c>
      <c r="D95" s="9">
        <v>25.0</v>
      </c>
      <c r="E95" s="10">
        <v>0.6</v>
      </c>
      <c r="F95" s="9">
        <v>3.0</v>
      </c>
      <c r="G95" s="9">
        <v>1.0</v>
      </c>
      <c r="H95" s="9">
        <v>0.0</v>
      </c>
      <c r="I95" s="9">
        <v>0.0</v>
      </c>
      <c r="J95" s="17">
        <v>-1380.0</v>
      </c>
      <c r="K95" s="18">
        <v>-1380.0</v>
      </c>
      <c r="L95" s="17">
        <v>-1380.0</v>
      </c>
      <c r="M95" s="18">
        <v>-1380.0</v>
      </c>
      <c r="N95" s="18">
        <v>0.0</v>
      </c>
      <c r="O95" s="18">
        <v>4.821</v>
      </c>
      <c r="P95" s="4"/>
    </row>
    <row r="96">
      <c r="A96" s="8" t="s">
        <v>101</v>
      </c>
      <c r="B96" s="9">
        <v>35.0</v>
      </c>
      <c r="C96" s="9" t="s">
        <v>8</v>
      </c>
      <c r="D96" s="9">
        <v>25.0</v>
      </c>
      <c r="E96" s="10">
        <v>0.6</v>
      </c>
      <c r="F96" s="9">
        <v>4.0</v>
      </c>
      <c r="G96" s="9">
        <v>1.0</v>
      </c>
      <c r="H96" s="9">
        <v>0.0</v>
      </c>
      <c r="I96" s="9">
        <v>0.0</v>
      </c>
      <c r="J96" s="17">
        <v>-1233.0</v>
      </c>
      <c r="K96" s="18">
        <v>-1233.0</v>
      </c>
      <c r="L96" s="17">
        <v>-1233.0</v>
      </c>
      <c r="M96" s="18">
        <v>-1233.0</v>
      </c>
      <c r="N96" s="18">
        <v>0.0</v>
      </c>
      <c r="O96" s="18">
        <v>5.728</v>
      </c>
      <c r="P96" s="4"/>
    </row>
    <row r="97">
      <c r="A97" s="8" t="s">
        <v>102</v>
      </c>
      <c r="B97" s="9">
        <v>35.0</v>
      </c>
      <c r="C97" s="9" t="s">
        <v>8</v>
      </c>
      <c r="D97" s="9">
        <v>25.0</v>
      </c>
      <c r="E97" s="10">
        <v>0.6</v>
      </c>
      <c r="F97" s="9">
        <v>5.0</v>
      </c>
      <c r="G97" s="9">
        <v>1.0</v>
      </c>
      <c r="H97" s="9">
        <v>0.0</v>
      </c>
      <c r="I97" s="9">
        <v>0.0</v>
      </c>
      <c r="J97" s="17">
        <v>-1057.0</v>
      </c>
      <c r="K97" s="18">
        <v>-1057.0</v>
      </c>
      <c r="L97" s="17">
        <v>-1057.0</v>
      </c>
      <c r="M97" s="18">
        <v>-1057.0</v>
      </c>
      <c r="N97" s="18">
        <v>0.0</v>
      </c>
      <c r="O97" s="18">
        <v>4.427</v>
      </c>
      <c r="P97" s="4"/>
    </row>
    <row r="98">
      <c r="A98" s="8" t="s">
        <v>103</v>
      </c>
      <c r="B98" s="9">
        <v>35.0</v>
      </c>
      <c r="C98" s="9" t="s">
        <v>8</v>
      </c>
      <c r="D98" s="9">
        <v>25.0</v>
      </c>
      <c r="E98" s="10">
        <v>1.0</v>
      </c>
      <c r="F98" s="9">
        <v>1.0</v>
      </c>
      <c r="G98" s="9">
        <v>1.0</v>
      </c>
      <c r="H98" s="9">
        <v>0.0</v>
      </c>
      <c r="I98" s="9">
        <v>0.0</v>
      </c>
      <c r="J98" s="17">
        <v>-1074.0</v>
      </c>
      <c r="K98" s="18">
        <v>-1074.0</v>
      </c>
      <c r="L98" s="17">
        <v>-1074.0</v>
      </c>
      <c r="M98" s="18">
        <v>-1074.0</v>
      </c>
      <c r="N98" s="18">
        <v>0.0</v>
      </c>
      <c r="O98" s="18">
        <v>3.167</v>
      </c>
      <c r="P98" s="4"/>
    </row>
    <row r="99">
      <c r="A99" s="8" t="s">
        <v>104</v>
      </c>
      <c r="B99" s="9">
        <v>35.0</v>
      </c>
      <c r="C99" s="9" t="s">
        <v>8</v>
      </c>
      <c r="D99" s="9">
        <v>25.0</v>
      </c>
      <c r="E99" s="10">
        <v>1.0</v>
      </c>
      <c r="F99" s="9">
        <v>2.0</v>
      </c>
      <c r="G99" s="9">
        <v>1.0</v>
      </c>
      <c r="H99" s="9">
        <v>0.0</v>
      </c>
      <c r="I99" s="9">
        <v>0.0</v>
      </c>
      <c r="J99" s="17">
        <v>-1080.0</v>
      </c>
      <c r="K99" s="18">
        <v>-1082.0</v>
      </c>
      <c r="L99" s="17">
        <v>-1080.0</v>
      </c>
      <c r="M99" s="18">
        <v>-1080.0</v>
      </c>
      <c r="N99" s="18">
        <v>0.0</v>
      </c>
      <c r="O99" s="18">
        <v>2.743</v>
      </c>
      <c r="P99" s="4"/>
    </row>
    <row r="100">
      <c r="A100" s="8" t="s">
        <v>105</v>
      </c>
      <c r="B100" s="9">
        <v>35.0</v>
      </c>
      <c r="C100" s="9" t="s">
        <v>8</v>
      </c>
      <c r="D100" s="9">
        <v>25.0</v>
      </c>
      <c r="E100" s="10">
        <v>1.0</v>
      </c>
      <c r="F100" s="9">
        <v>3.0</v>
      </c>
      <c r="G100" s="9">
        <v>1.0</v>
      </c>
      <c r="H100" s="9">
        <v>0.0</v>
      </c>
      <c r="I100" s="9">
        <v>0.0</v>
      </c>
      <c r="J100" s="17">
        <v>-1224.0</v>
      </c>
      <c r="K100" s="18">
        <v>-1224.5</v>
      </c>
      <c r="L100" s="17">
        <v>-1224.0</v>
      </c>
      <c r="M100" s="18">
        <v>-1224.0</v>
      </c>
      <c r="N100" s="18">
        <v>0.0</v>
      </c>
      <c r="O100" s="18">
        <v>2.018</v>
      </c>
      <c r="P100" s="4"/>
    </row>
    <row r="101">
      <c r="A101" s="8" t="s">
        <v>106</v>
      </c>
      <c r="B101" s="9">
        <v>35.0</v>
      </c>
      <c r="C101" s="9" t="s">
        <v>8</v>
      </c>
      <c r="D101" s="9">
        <v>25.0</v>
      </c>
      <c r="E101" s="10">
        <v>1.0</v>
      </c>
      <c r="F101" s="9">
        <v>4.0</v>
      </c>
      <c r="G101" s="9">
        <v>1.0</v>
      </c>
      <c r="H101" s="9">
        <v>0.0</v>
      </c>
      <c r="I101" s="9">
        <v>0.0</v>
      </c>
      <c r="J101" s="17">
        <v>-1132.0</v>
      </c>
      <c r="K101" s="18">
        <v>-1132.0</v>
      </c>
      <c r="L101" s="17">
        <v>-1132.0</v>
      </c>
      <c r="M101" s="18">
        <v>-1132.0</v>
      </c>
      <c r="N101" s="18">
        <v>0.0</v>
      </c>
      <c r="O101" s="18">
        <v>2.929</v>
      </c>
      <c r="P101" s="4"/>
    </row>
    <row r="102">
      <c r="A102" s="8" t="s">
        <v>107</v>
      </c>
      <c r="B102" s="9">
        <v>35.0</v>
      </c>
      <c r="C102" s="9" t="s">
        <v>8</v>
      </c>
      <c r="D102" s="9">
        <v>25.0</v>
      </c>
      <c r="E102" s="10">
        <v>1.0</v>
      </c>
      <c r="F102" s="9">
        <v>5.0</v>
      </c>
      <c r="G102" s="9">
        <v>1.0</v>
      </c>
      <c r="H102" s="9">
        <v>0.0</v>
      </c>
      <c r="I102" s="9">
        <v>0.0</v>
      </c>
      <c r="J102" s="17">
        <v>-964.0</v>
      </c>
      <c r="K102" s="18">
        <v>-977.5</v>
      </c>
      <c r="L102" s="17">
        <v>-970.0</v>
      </c>
      <c r="M102" s="18">
        <v>-970.0</v>
      </c>
      <c r="N102" s="18">
        <v>0.0</v>
      </c>
      <c r="O102" s="18">
        <v>6.031</v>
      </c>
      <c r="P102" s="4"/>
    </row>
    <row r="103">
      <c r="A103" s="8" t="s">
        <v>108</v>
      </c>
      <c r="B103" s="9">
        <v>35.0</v>
      </c>
      <c r="C103" s="9" t="s">
        <v>8</v>
      </c>
      <c r="D103" s="9">
        <v>25.0</v>
      </c>
      <c r="E103" s="10">
        <v>2.0</v>
      </c>
      <c r="F103" s="9">
        <v>1.0</v>
      </c>
      <c r="G103" s="9">
        <v>1.0</v>
      </c>
      <c r="H103" s="9">
        <v>0.0</v>
      </c>
      <c r="I103" s="9">
        <v>0.0</v>
      </c>
      <c r="J103" s="17">
        <v>-732.0</v>
      </c>
      <c r="K103" s="18">
        <v>-732.0</v>
      </c>
      <c r="L103" s="17">
        <v>-732.0</v>
      </c>
      <c r="M103" s="18">
        <v>-732.0</v>
      </c>
      <c r="N103" s="18">
        <v>0.0</v>
      </c>
      <c r="O103" s="18">
        <v>0.107</v>
      </c>
      <c r="P103" s="4"/>
    </row>
    <row r="104">
      <c r="A104" s="8" t="s">
        <v>109</v>
      </c>
      <c r="B104" s="9">
        <v>35.0</v>
      </c>
      <c r="C104" s="9" t="s">
        <v>8</v>
      </c>
      <c r="D104" s="9">
        <v>25.0</v>
      </c>
      <c r="E104" s="10">
        <v>2.0</v>
      </c>
      <c r="F104" s="9">
        <v>2.0</v>
      </c>
      <c r="G104" s="9">
        <v>1.0</v>
      </c>
      <c r="H104" s="9">
        <v>0.0</v>
      </c>
      <c r="I104" s="9">
        <v>0.0</v>
      </c>
      <c r="J104" s="17">
        <v>-612.0</v>
      </c>
      <c r="K104" s="18">
        <v>-616.25</v>
      </c>
      <c r="L104" s="17">
        <v>-612.0</v>
      </c>
      <c r="M104" s="18">
        <v>-612.0</v>
      </c>
      <c r="N104" s="18">
        <v>0.0</v>
      </c>
      <c r="O104" s="18">
        <v>0.42</v>
      </c>
      <c r="P104" s="4"/>
    </row>
    <row r="105">
      <c r="A105" s="8" t="s">
        <v>110</v>
      </c>
      <c r="B105" s="9">
        <v>35.0</v>
      </c>
      <c r="C105" s="9" t="s">
        <v>8</v>
      </c>
      <c r="D105" s="9">
        <v>25.0</v>
      </c>
      <c r="E105" s="10">
        <v>2.0</v>
      </c>
      <c r="F105" s="9">
        <v>3.0</v>
      </c>
      <c r="G105" s="9">
        <v>1.0</v>
      </c>
      <c r="H105" s="9">
        <v>0.0</v>
      </c>
      <c r="I105" s="9">
        <v>0.0</v>
      </c>
      <c r="J105" s="17">
        <v>-452.0</v>
      </c>
      <c r="K105" s="18">
        <v>-464.5</v>
      </c>
      <c r="L105" s="17">
        <v>-453.0</v>
      </c>
      <c r="M105" s="18">
        <v>-453.0</v>
      </c>
      <c r="N105" s="18">
        <v>0.0</v>
      </c>
      <c r="O105" s="18">
        <v>1.563</v>
      </c>
      <c r="P105" s="4"/>
    </row>
    <row r="106">
      <c r="A106" s="8" t="s">
        <v>111</v>
      </c>
      <c r="B106" s="9">
        <v>35.0</v>
      </c>
      <c r="C106" s="9" t="s">
        <v>8</v>
      </c>
      <c r="D106" s="9">
        <v>25.0</v>
      </c>
      <c r="E106" s="10">
        <v>2.0</v>
      </c>
      <c r="F106" s="9">
        <v>4.0</v>
      </c>
      <c r="G106" s="9">
        <v>1.0</v>
      </c>
      <c r="H106" s="9">
        <v>0.0</v>
      </c>
      <c r="I106" s="9">
        <v>0.0</v>
      </c>
      <c r="J106" s="17">
        <v>-681.0</v>
      </c>
      <c r="K106" s="18">
        <v>-681.0</v>
      </c>
      <c r="L106" s="17">
        <v>-681.0</v>
      </c>
      <c r="M106" s="18">
        <v>-681.0</v>
      </c>
      <c r="N106" s="18">
        <v>0.0</v>
      </c>
      <c r="O106" s="18">
        <v>0.136</v>
      </c>
      <c r="P106" s="4"/>
    </row>
    <row r="107">
      <c r="A107" s="8" t="s">
        <v>112</v>
      </c>
      <c r="B107" s="9">
        <v>35.0</v>
      </c>
      <c r="C107" s="9" t="s">
        <v>8</v>
      </c>
      <c r="D107" s="9">
        <v>25.0</v>
      </c>
      <c r="E107" s="10">
        <v>2.0</v>
      </c>
      <c r="F107" s="9">
        <v>5.0</v>
      </c>
      <c r="G107" s="9">
        <v>1.0</v>
      </c>
      <c r="H107" s="9">
        <v>0.0</v>
      </c>
      <c r="I107" s="9">
        <v>0.0</v>
      </c>
      <c r="J107" s="17">
        <v>-178.0</v>
      </c>
      <c r="K107" s="18">
        <v>-184.333</v>
      </c>
      <c r="L107" s="17">
        <v>-182.0</v>
      </c>
      <c r="M107" s="18">
        <v>-182.0</v>
      </c>
      <c r="N107" s="18">
        <v>0.0</v>
      </c>
      <c r="O107" s="18">
        <v>0.339</v>
      </c>
      <c r="P107" s="4"/>
    </row>
    <row r="108">
      <c r="A108" s="8" t="s">
        <v>113</v>
      </c>
      <c r="B108" s="9">
        <v>35.0</v>
      </c>
      <c r="C108" s="9" t="s">
        <v>8</v>
      </c>
      <c r="D108" s="9">
        <v>50.0</v>
      </c>
      <c r="E108" s="10">
        <v>0.6</v>
      </c>
      <c r="F108" s="9">
        <v>1.0</v>
      </c>
      <c r="G108" s="9">
        <v>1.0</v>
      </c>
      <c r="H108" s="9">
        <v>0.0</v>
      </c>
      <c r="I108" s="9">
        <v>0.0</v>
      </c>
      <c r="J108" s="17">
        <v>-2002.0</v>
      </c>
      <c r="K108" s="18">
        <v>-2002.0</v>
      </c>
      <c r="L108" s="17">
        <v>-2002.0</v>
      </c>
      <c r="M108" s="18">
        <v>-2002.0</v>
      </c>
      <c r="N108" s="18">
        <v>0.0</v>
      </c>
      <c r="O108" s="18">
        <v>15.42</v>
      </c>
      <c r="P108" s="4"/>
    </row>
    <row r="109">
      <c r="A109" s="8" t="s">
        <v>114</v>
      </c>
      <c r="B109" s="9">
        <v>35.0</v>
      </c>
      <c r="C109" s="9" t="s">
        <v>8</v>
      </c>
      <c r="D109" s="9">
        <v>50.0</v>
      </c>
      <c r="E109" s="10">
        <v>0.6</v>
      </c>
      <c r="F109" s="9">
        <v>2.0</v>
      </c>
      <c r="G109" s="9">
        <v>1.0</v>
      </c>
      <c r="H109" s="9">
        <v>0.0</v>
      </c>
      <c r="I109" s="9">
        <v>0.0</v>
      </c>
      <c r="J109" s="17">
        <v>-1885.0</v>
      </c>
      <c r="K109" s="18">
        <v>-1885.0</v>
      </c>
      <c r="L109" s="17">
        <v>-1885.0</v>
      </c>
      <c r="M109" s="18">
        <v>-1885.0</v>
      </c>
      <c r="N109" s="18">
        <v>0.0</v>
      </c>
      <c r="O109" s="18">
        <v>11.598</v>
      </c>
      <c r="P109" s="4"/>
    </row>
    <row r="110">
      <c r="A110" s="8" t="s">
        <v>115</v>
      </c>
      <c r="B110" s="9">
        <v>35.0</v>
      </c>
      <c r="C110" s="9" t="s">
        <v>8</v>
      </c>
      <c r="D110" s="9">
        <v>50.0</v>
      </c>
      <c r="E110" s="10">
        <v>0.6</v>
      </c>
      <c r="F110" s="9">
        <v>3.0</v>
      </c>
      <c r="G110" s="9">
        <v>1.0</v>
      </c>
      <c r="H110" s="9">
        <v>0.0</v>
      </c>
      <c r="I110" s="9">
        <v>0.0</v>
      </c>
      <c r="J110" s="17">
        <v>-1555.0</v>
      </c>
      <c r="K110" s="18">
        <v>-1574.0</v>
      </c>
      <c r="L110" s="17">
        <v>-1562.0</v>
      </c>
      <c r="M110" s="18">
        <v>-1562.0</v>
      </c>
      <c r="N110" s="18">
        <v>0.0</v>
      </c>
      <c r="O110" s="18">
        <v>55.629</v>
      </c>
      <c r="P110" s="4"/>
    </row>
    <row r="111">
      <c r="A111" s="8" t="s">
        <v>116</v>
      </c>
      <c r="B111" s="9">
        <v>35.0</v>
      </c>
      <c r="C111" s="9" t="s">
        <v>8</v>
      </c>
      <c r="D111" s="9">
        <v>50.0</v>
      </c>
      <c r="E111" s="10">
        <v>0.6</v>
      </c>
      <c r="F111" s="9">
        <v>4.0</v>
      </c>
      <c r="G111" s="9">
        <v>1.0</v>
      </c>
      <c r="H111" s="9">
        <v>0.0</v>
      </c>
      <c r="I111" s="9">
        <v>0.0</v>
      </c>
      <c r="J111" s="17">
        <v>-1982.0</v>
      </c>
      <c r="K111" s="18">
        <v>-1982.0</v>
      </c>
      <c r="L111" s="17">
        <v>-1982.0</v>
      </c>
      <c r="M111" s="18">
        <v>-1982.0</v>
      </c>
      <c r="N111" s="18">
        <v>0.0</v>
      </c>
      <c r="O111" s="18">
        <v>28.978</v>
      </c>
      <c r="P111" s="4"/>
    </row>
    <row r="112">
      <c r="A112" s="8" t="s">
        <v>117</v>
      </c>
      <c r="B112" s="9">
        <v>35.0</v>
      </c>
      <c r="C112" s="9" t="s">
        <v>8</v>
      </c>
      <c r="D112" s="9">
        <v>50.0</v>
      </c>
      <c r="E112" s="10">
        <v>0.6</v>
      </c>
      <c r="F112" s="9">
        <v>5.0</v>
      </c>
      <c r="G112" s="9">
        <v>1.0</v>
      </c>
      <c r="H112" s="9">
        <v>0.0</v>
      </c>
      <c r="I112" s="9">
        <v>0.0</v>
      </c>
      <c r="J112" s="17">
        <v>-1654.0</v>
      </c>
      <c r="K112" s="18">
        <v>-1654.0</v>
      </c>
      <c r="L112" s="17">
        <v>-1654.0</v>
      </c>
      <c r="M112" s="18">
        <v>-1654.0</v>
      </c>
      <c r="N112" s="18">
        <v>0.0</v>
      </c>
      <c r="O112" s="18">
        <v>7.656</v>
      </c>
      <c r="P112" s="4"/>
    </row>
    <row r="113">
      <c r="A113" s="8" t="s">
        <v>118</v>
      </c>
      <c r="B113" s="9">
        <v>35.0</v>
      </c>
      <c r="C113" s="9" t="s">
        <v>8</v>
      </c>
      <c r="D113" s="9">
        <v>50.0</v>
      </c>
      <c r="E113" s="10">
        <v>1.0</v>
      </c>
      <c r="F113" s="9">
        <v>1.0</v>
      </c>
      <c r="G113" s="9">
        <v>1.0</v>
      </c>
      <c r="H113" s="9">
        <v>0.0</v>
      </c>
      <c r="I113" s="9">
        <v>0.0</v>
      </c>
      <c r="J113" s="17">
        <v>-1515.0</v>
      </c>
      <c r="K113" s="18">
        <v>-1605.67</v>
      </c>
      <c r="L113" s="17">
        <v>-1590.0</v>
      </c>
      <c r="M113" s="18">
        <v>-1590.0</v>
      </c>
      <c r="N113" s="18">
        <v>0.0</v>
      </c>
      <c r="O113" s="18">
        <v>17.787</v>
      </c>
      <c r="P113" s="4"/>
    </row>
    <row r="114">
      <c r="A114" s="8" t="s">
        <v>119</v>
      </c>
      <c r="B114" s="9">
        <v>35.0</v>
      </c>
      <c r="C114" s="9" t="s">
        <v>8</v>
      </c>
      <c r="D114" s="9">
        <v>50.0</v>
      </c>
      <c r="E114" s="10">
        <v>1.0</v>
      </c>
      <c r="F114" s="9">
        <v>2.0</v>
      </c>
      <c r="G114" s="9">
        <v>1.0</v>
      </c>
      <c r="H114" s="9">
        <v>0.0</v>
      </c>
      <c r="I114" s="9">
        <v>0.0</v>
      </c>
      <c r="J114" s="17">
        <v>-1750.0</v>
      </c>
      <c r="K114" s="18">
        <v>-1750.0</v>
      </c>
      <c r="L114" s="17">
        <v>-1750.0</v>
      </c>
      <c r="M114" s="18">
        <v>-1750.0</v>
      </c>
      <c r="N114" s="18">
        <v>0.0</v>
      </c>
      <c r="O114" s="18">
        <v>2.211</v>
      </c>
      <c r="P114" s="4"/>
    </row>
    <row r="115">
      <c r="A115" s="8" t="s">
        <v>120</v>
      </c>
      <c r="B115" s="9">
        <v>35.0</v>
      </c>
      <c r="C115" s="9" t="s">
        <v>8</v>
      </c>
      <c r="D115" s="9">
        <v>50.0</v>
      </c>
      <c r="E115" s="10">
        <v>1.0</v>
      </c>
      <c r="F115" s="9">
        <v>3.0</v>
      </c>
      <c r="G115" s="9">
        <v>1.0</v>
      </c>
      <c r="H115" s="9">
        <v>0.0</v>
      </c>
      <c r="I115" s="9">
        <v>0.0</v>
      </c>
      <c r="J115" s="17">
        <v>-1384.0</v>
      </c>
      <c r="K115" s="18">
        <v>-1390.0</v>
      </c>
      <c r="L115" s="17">
        <v>-1384.0</v>
      </c>
      <c r="M115" s="18">
        <v>-1384.0</v>
      </c>
      <c r="N115" s="18">
        <v>0.0</v>
      </c>
      <c r="O115" s="18">
        <v>12.164</v>
      </c>
      <c r="P115" s="4"/>
    </row>
    <row r="116">
      <c r="A116" s="8" t="s">
        <v>121</v>
      </c>
      <c r="B116" s="9">
        <v>35.0</v>
      </c>
      <c r="C116" s="9" t="s">
        <v>8</v>
      </c>
      <c r="D116" s="9">
        <v>50.0</v>
      </c>
      <c r="E116" s="10">
        <v>1.0</v>
      </c>
      <c r="F116" s="9">
        <v>4.0</v>
      </c>
      <c r="G116" s="9">
        <v>1.0</v>
      </c>
      <c r="H116" s="9">
        <v>0.0</v>
      </c>
      <c r="I116" s="9">
        <v>0.0</v>
      </c>
      <c r="J116" s="17">
        <v>-1721.0</v>
      </c>
      <c r="K116" s="18">
        <v>-1746.75</v>
      </c>
      <c r="L116" s="17">
        <v>-1745.0</v>
      </c>
      <c r="M116" s="18">
        <v>-1745.0</v>
      </c>
      <c r="N116" s="18">
        <v>0.0</v>
      </c>
      <c r="O116" s="18">
        <v>12.776</v>
      </c>
      <c r="P116" s="4"/>
    </row>
    <row r="117">
      <c r="A117" s="8" t="s">
        <v>122</v>
      </c>
      <c r="B117" s="9">
        <v>35.0</v>
      </c>
      <c r="C117" s="9" t="s">
        <v>8</v>
      </c>
      <c r="D117" s="9">
        <v>50.0</v>
      </c>
      <c r="E117" s="10">
        <v>1.0</v>
      </c>
      <c r="F117" s="9">
        <v>5.0</v>
      </c>
      <c r="G117" s="9">
        <v>1.0</v>
      </c>
      <c r="H117" s="9">
        <v>0.0</v>
      </c>
      <c r="I117" s="9">
        <v>0.0</v>
      </c>
      <c r="J117" s="17">
        <v>-1394.0</v>
      </c>
      <c r="K117" s="18">
        <v>-1394.0</v>
      </c>
      <c r="L117" s="17">
        <v>-1394.0</v>
      </c>
      <c r="M117" s="18">
        <v>-1394.0</v>
      </c>
      <c r="N117" s="18">
        <v>0.0</v>
      </c>
      <c r="O117" s="18">
        <v>2.458</v>
      </c>
      <c r="P117" s="4"/>
    </row>
    <row r="118">
      <c r="A118" s="8" t="s">
        <v>123</v>
      </c>
      <c r="B118" s="9">
        <v>35.0</v>
      </c>
      <c r="C118" s="9" t="s">
        <v>8</v>
      </c>
      <c r="D118" s="9">
        <v>50.0</v>
      </c>
      <c r="E118" s="10">
        <v>2.0</v>
      </c>
      <c r="F118" s="9">
        <v>1.0</v>
      </c>
      <c r="G118" s="9">
        <v>1.0</v>
      </c>
      <c r="H118" s="9">
        <v>0.0</v>
      </c>
      <c r="I118" s="9">
        <v>0.0</v>
      </c>
      <c r="J118" s="17">
        <v>812.0</v>
      </c>
      <c r="K118" s="18">
        <v>732.0</v>
      </c>
      <c r="L118" s="17">
        <v>802.0</v>
      </c>
      <c r="M118" s="18">
        <v>802.0</v>
      </c>
      <c r="N118" s="18">
        <v>0.0</v>
      </c>
      <c r="O118" s="18">
        <v>157.138</v>
      </c>
      <c r="P118" s="4"/>
    </row>
    <row r="119">
      <c r="A119" s="8" t="s">
        <v>124</v>
      </c>
      <c r="B119" s="9">
        <v>35.0</v>
      </c>
      <c r="C119" s="9" t="s">
        <v>8</v>
      </c>
      <c r="D119" s="9">
        <v>50.0</v>
      </c>
      <c r="E119" s="10">
        <v>2.0</v>
      </c>
      <c r="F119" s="9">
        <v>2.0</v>
      </c>
      <c r="G119" s="9">
        <v>1.0</v>
      </c>
      <c r="H119" s="9">
        <v>0.0</v>
      </c>
      <c r="I119" s="9">
        <v>0.0</v>
      </c>
      <c r="J119" s="17">
        <v>-1058.0</v>
      </c>
      <c r="K119" s="18">
        <v>-1073.9</v>
      </c>
      <c r="L119" s="17">
        <v>-1058.0</v>
      </c>
      <c r="M119" s="18">
        <v>-1058.0</v>
      </c>
      <c r="N119" s="18">
        <v>0.0</v>
      </c>
      <c r="O119" s="18">
        <v>0.828</v>
      </c>
      <c r="P119" s="4"/>
    </row>
    <row r="120">
      <c r="A120" s="8" t="s">
        <v>125</v>
      </c>
      <c r="B120" s="9">
        <v>35.0</v>
      </c>
      <c r="C120" s="9" t="s">
        <v>8</v>
      </c>
      <c r="D120" s="9">
        <v>50.0</v>
      </c>
      <c r="E120" s="10">
        <v>2.0</v>
      </c>
      <c r="F120" s="9">
        <v>3.0</v>
      </c>
      <c r="G120" s="9">
        <v>1.0</v>
      </c>
      <c r="H120" s="9">
        <v>0.0</v>
      </c>
      <c r="I120" s="9">
        <v>0.0</v>
      </c>
      <c r="J120" s="17">
        <v>311.0</v>
      </c>
      <c r="K120" s="18">
        <v>235.462</v>
      </c>
      <c r="L120" s="17">
        <v>283.0</v>
      </c>
      <c r="M120" s="18">
        <v>283.0</v>
      </c>
      <c r="N120" s="18">
        <v>0.0</v>
      </c>
      <c r="O120" s="18">
        <v>27.755</v>
      </c>
      <c r="P120" s="4"/>
    </row>
    <row r="121">
      <c r="A121" s="8" t="s">
        <v>126</v>
      </c>
      <c r="B121" s="9">
        <v>35.0</v>
      </c>
      <c r="C121" s="9" t="s">
        <v>8</v>
      </c>
      <c r="D121" s="9">
        <v>50.0</v>
      </c>
      <c r="E121" s="10">
        <v>2.0</v>
      </c>
      <c r="F121" s="9">
        <v>4.0</v>
      </c>
      <c r="G121" s="9">
        <v>1.0</v>
      </c>
      <c r="H121" s="9">
        <v>0.0</v>
      </c>
      <c r="I121" s="9">
        <v>0.0</v>
      </c>
      <c r="J121" s="17">
        <v>-542.0</v>
      </c>
      <c r="K121" s="18">
        <v>-542.0</v>
      </c>
      <c r="L121" s="17">
        <v>-542.0</v>
      </c>
      <c r="M121" s="18">
        <v>-542.0</v>
      </c>
      <c r="N121" s="18">
        <v>0.0</v>
      </c>
      <c r="O121" s="18">
        <v>0.226</v>
      </c>
      <c r="P121" s="4"/>
    </row>
    <row r="122">
      <c r="A122" s="8" t="s">
        <v>127</v>
      </c>
      <c r="B122" s="9">
        <v>35.0</v>
      </c>
      <c r="C122" s="9" t="s">
        <v>8</v>
      </c>
      <c r="D122" s="9">
        <v>50.0</v>
      </c>
      <c r="E122" s="10">
        <v>2.0</v>
      </c>
      <c r="F122" s="9">
        <v>5.0</v>
      </c>
      <c r="G122" s="9">
        <v>1.0</v>
      </c>
      <c r="H122" s="9">
        <v>0.0</v>
      </c>
      <c r="I122" s="9">
        <v>0.0</v>
      </c>
      <c r="J122" s="17">
        <v>886.0</v>
      </c>
      <c r="K122" s="18">
        <v>771.0</v>
      </c>
      <c r="L122" s="17">
        <v>824.0</v>
      </c>
      <c r="M122" s="18">
        <v>824.0</v>
      </c>
      <c r="N122" s="18">
        <v>0.0</v>
      </c>
      <c r="O122" s="18">
        <v>72.501</v>
      </c>
      <c r="P122" s="4"/>
    </row>
    <row r="123">
      <c r="A123" s="8" t="s">
        <v>128</v>
      </c>
      <c r="B123" s="9">
        <v>35.0</v>
      </c>
      <c r="C123" s="9" t="s">
        <v>8</v>
      </c>
      <c r="D123" s="9">
        <v>75.0</v>
      </c>
      <c r="E123" s="10">
        <v>0.6</v>
      </c>
      <c r="F123" s="9">
        <v>1.0</v>
      </c>
      <c r="G123" s="9">
        <v>1.0</v>
      </c>
      <c r="H123" s="9">
        <v>0.0</v>
      </c>
      <c r="I123" s="9">
        <v>0.0</v>
      </c>
      <c r="J123" s="17">
        <v>-2089.0</v>
      </c>
      <c r="K123" s="18">
        <v>-2089.0</v>
      </c>
      <c r="L123" s="17">
        <v>-2089.0</v>
      </c>
      <c r="M123" s="18">
        <v>-2089.0</v>
      </c>
      <c r="N123" s="18">
        <v>0.0</v>
      </c>
      <c r="O123" s="18">
        <v>10.022</v>
      </c>
      <c r="P123" s="4"/>
    </row>
    <row r="124">
      <c r="A124" s="8" t="s">
        <v>129</v>
      </c>
      <c r="B124" s="9">
        <v>35.0</v>
      </c>
      <c r="C124" s="9" t="s">
        <v>8</v>
      </c>
      <c r="D124" s="9">
        <v>75.0</v>
      </c>
      <c r="E124" s="10">
        <v>0.6</v>
      </c>
      <c r="F124" s="9">
        <v>2.0</v>
      </c>
      <c r="G124" s="9">
        <v>1.0</v>
      </c>
      <c r="H124" s="9">
        <v>0.0</v>
      </c>
      <c r="I124" s="9">
        <v>0.0</v>
      </c>
      <c r="J124" s="17">
        <v>-2418.0</v>
      </c>
      <c r="K124" s="18">
        <v>-2418.0</v>
      </c>
      <c r="L124" s="17">
        <v>-2418.0</v>
      </c>
      <c r="M124" s="18">
        <v>-2418.0</v>
      </c>
      <c r="N124" s="18">
        <v>0.0</v>
      </c>
      <c r="O124" s="18">
        <v>57.006</v>
      </c>
      <c r="P124" s="4"/>
    </row>
    <row r="125">
      <c r="A125" s="8" t="s">
        <v>130</v>
      </c>
      <c r="B125" s="9">
        <v>35.0</v>
      </c>
      <c r="C125" s="9" t="s">
        <v>8</v>
      </c>
      <c r="D125" s="9">
        <v>75.0</v>
      </c>
      <c r="E125" s="10">
        <v>0.6</v>
      </c>
      <c r="F125" s="9">
        <v>3.0</v>
      </c>
      <c r="G125" s="9">
        <v>1.0</v>
      </c>
      <c r="H125" s="9">
        <v>0.0</v>
      </c>
      <c r="I125" s="9">
        <v>0.0</v>
      </c>
      <c r="J125" s="17">
        <v>-1970.0</v>
      </c>
      <c r="K125" s="18">
        <v>-1970.0</v>
      </c>
      <c r="L125" s="17">
        <v>-1970.0</v>
      </c>
      <c r="M125" s="18">
        <v>-1970.0</v>
      </c>
      <c r="N125" s="18">
        <v>0.0</v>
      </c>
      <c r="O125" s="18">
        <v>48.257</v>
      </c>
      <c r="P125" s="4"/>
    </row>
    <row r="126">
      <c r="A126" s="8" t="s">
        <v>131</v>
      </c>
      <c r="B126" s="9">
        <v>35.0</v>
      </c>
      <c r="C126" s="9" t="s">
        <v>8</v>
      </c>
      <c r="D126" s="9">
        <v>75.0</v>
      </c>
      <c r="E126" s="10">
        <v>0.6</v>
      </c>
      <c r="F126" s="9">
        <v>4.0</v>
      </c>
      <c r="G126" s="9">
        <v>1.0</v>
      </c>
      <c r="H126" s="9">
        <v>0.0</v>
      </c>
      <c r="I126" s="9">
        <v>0.0</v>
      </c>
      <c r="J126" s="17">
        <v>-2192.0</v>
      </c>
      <c r="K126" s="18">
        <v>-2192.0</v>
      </c>
      <c r="L126" s="17">
        <v>-2192.0</v>
      </c>
      <c r="M126" s="18">
        <v>-2192.0</v>
      </c>
      <c r="N126" s="18">
        <v>0.0</v>
      </c>
      <c r="O126" s="18">
        <v>19.34</v>
      </c>
      <c r="P126" s="4"/>
    </row>
    <row r="127">
      <c r="A127" s="8" t="s">
        <v>132</v>
      </c>
      <c r="B127" s="9">
        <v>35.0</v>
      </c>
      <c r="C127" s="9" t="s">
        <v>8</v>
      </c>
      <c r="D127" s="9">
        <v>75.0</v>
      </c>
      <c r="E127" s="10">
        <v>0.6</v>
      </c>
      <c r="F127" s="9">
        <v>5.0</v>
      </c>
      <c r="G127" s="9">
        <v>1.0</v>
      </c>
      <c r="H127" s="9">
        <v>0.0</v>
      </c>
      <c r="I127" s="9">
        <v>0.0</v>
      </c>
      <c r="J127" s="17">
        <v>-2133.0</v>
      </c>
      <c r="K127" s="18">
        <v>-2149.62</v>
      </c>
      <c r="L127" s="17">
        <v>-2138.0</v>
      </c>
      <c r="M127" s="18">
        <v>-2138.0</v>
      </c>
      <c r="N127" s="18">
        <v>0.0</v>
      </c>
      <c r="O127" s="18">
        <v>148.397</v>
      </c>
      <c r="P127" s="4"/>
    </row>
    <row r="128">
      <c r="A128" s="8" t="s">
        <v>133</v>
      </c>
      <c r="B128" s="9">
        <v>35.0</v>
      </c>
      <c r="C128" s="9" t="s">
        <v>8</v>
      </c>
      <c r="D128" s="9">
        <v>75.0</v>
      </c>
      <c r="E128" s="10">
        <v>1.0</v>
      </c>
      <c r="F128" s="9">
        <v>1.0</v>
      </c>
      <c r="G128" s="9">
        <v>1.0</v>
      </c>
      <c r="H128" s="9">
        <v>0.0</v>
      </c>
      <c r="I128" s="9">
        <v>0.0</v>
      </c>
      <c r="J128" s="17">
        <v>-1730.0</v>
      </c>
      <c r="K128" s="18">
        <v>-1762.86</v>
      </c>
      <c r="L128" s="17">
        <v>-1745.0</v>
      </c>
      <c r="M128" s="18">
        <v>-1745.0</v>
      </c>
      <c r="N128" s="18">
        <v>0.0</v>
      </c>
      <c r="O128" s="18">
        <v>18.918</v>
      </c>
      <c r="P128" s="4"/>
    </row>
    <row r="129">
      <c r="A129" s="8" t="s">
        <v>134</v>
      </c>
      <c r="B129" s="9">
        <v>35.0</v>
      </c>
      <c r="C129" s="9" t="s">
        <v>8</v>
      </c>
      <c r="D129" s="9">
        <v>75.0</v>
      </c>
      <c r="E129" s="10">
        <v>1.0</v>
      </c>
      <c r="F129" s="9">
        <v>2.0</v>
      </c>
      <c r="G129" s="9">
        <v>1.0</v>
      </c>
      <c r="H129" s="9">
        <v>0.0</v>
      </c>
      <c r="I129" s="9">
        <v>0.0</v>
      </c>
      <c r="J129" s="17">
        <v>-2071.0</v>
      </c>
      <c r="K129" s="18">
        <v>-2072.5</v>
      </c>
      <c r="L129" s="17">
        <v>-2071.0</v>
      </c>
      <c r="M129" s="18">
        <v>-2071.0</v>
      </c>
      <c r="N129" s="18">
        <v>0.0</v>
      </c>
      <c r="O129" s="18">
        <v>7.536</v>
      </c>
      <c r="P129" s="4"/>
    </row>
    <row r="130">
      <c r="A130" s="8" t="s">
        <v>135</v>
      </c>
      <c r="B130" s="9">
        <v>35.0</v>
      </c>
      <c r="C130" s="9" t="s">
        <v>8</v>
      </c>
      <c r="D130" s="9">
        <v>75.0</v>
      </c>
      <c r="E130" s="10">
        <v>1.0</v>
      </c>
      <c r="F130" s="9">
        <v>3.0</v>
      </c>
      <c r="G130" s="9">
        <v>1.0</v>
      </c>
      <c r="H130" s="9">
        <v>0.0</v>
      </c>
      <c r="I130" s="9">
        <v>0.0</v>
      </c>
      <c r="J130" s="17">
        <v>-1557.0</v>
      </c>
      <c r="K130" s="18">
        <v>-1642.61</v>
      </c>
      <c r="L130" s="17">
        <v>-1620.0</v>
      </c>
      <c r="M130" s="18">
        <v>-1620.0</v>
      </c>
      <c r="N130" s="18">
        <v>0.0</v>
      </c>
      <c r="O130" s="18">
        <v>28.983</v>
      </c>
      <c r="P130" s="4"/>
    </row>
    <row r="131">
      <c r="A131" s="8" t="s">
        <v>136</v>
      </c>
      <c r="B131" s="9">
        <v>35.0</v>
      </c>
      <c r="C131" s="9" t="s">
        <v>8</v>
      </c>
      <c r="D131" s="9">
        <v>75.0</v>
      </c>
      <c r="E131" s="10">
        <v>1.0</v>
      </c>
      <c r="F131" s="9">
        <v>4.0</v>
      </c>
      <c r="G131" s="9">
        <v>1.0</v>
      </c>
      <c r="H131" s="9">
        <v>0.0</v>
      </c>
      <c r="I131" s="9">
        <v>0.0</v>
      </c>
      <c r="J131" s="17">
        <v>-2029.0</v>
      </c>
      <c r="K131" s="18">
        <v>-2029.0</v>
      </c>
      <c r="L131" s="17">
        <v>-2029.0</v>
      </c>
      <c r="M131" s="18">
        <v>-2029.0</v>
      </c>
      <c r="N131" s="18">
        <v>0.0</v>
      </c>
      <c r="O131" s="18">
        <v>3.488</v>
      </c>
      <c r="P131" s="4"/>
    </row>
    <row r="132">
      <c r="A132" s="8" t="s">
        <v>137</v>
      </c>
      <c r="B132" s="9">
        <v>35.0</v>
      </c>
      <c r="C132" s="9" t="s">
        <v>8</v>
      </c>
      <c r="D132" s="9">
        <v>75.0</v>
      </c>
      <c r="E132" s="10">
        <v>1.0</v>
      </c>
      <c r="F132" s="9">
        <v>5.0</v>
      </c>
      <c r="G132" s="9">
        <v>1.0</v>
      </c>
      <c r="H132" s="9">
        <v>0.0</v>
      </c>
      <c r="I132" s="9">
        <v>0.0</v>
      </c>
      <c r="J132" s="17">
        <v>-1797.0</v>
      </c>
      <c r="K132" s="18">
        <v>-1879.23</v>
      </c>
      <c r="L132" s="17">
        <v>-1863.0</v>
      </c>
      <c r="M132" s="18">
        <v>-1863.0</v>
      </c>
      <c r="N132" s="18">
        <v>0.0</v>
      </c>
      <c r="O132" s="18">
        <v>16.129</v>
      </c>
      <c r="P132" s="4"/>
    </row>
    <row r="133">
      <c r="A133" s="8" t="s">
        <v>138</v>
      </c>
      <c r="B133" s="9">
        <v>35.0</v>
      </c>
      <c r="C133" s="9" t="s">
        <v>8</v>
      </c>
      <c r="D133" s="9">
        <v>75.0</v>
      </c>
      <c r="E133" s="10">
        <v>2.0</v>
      </c>
      <c r="F133" s="9">
        <v>1.0</v>
      </c>
      <c r="G133" s="9">
        <v>1.0</v>
      </c>
      <c r="H133" s="9">
        <v>0.0</v>
      </c>
      <c r="I133" s="9">
        <v>0.0</v>
      </c>
      <c r="J133" s="17">
        <v>461.0</v>
      </c>
      <c r="K133" s="18">
        <v>367.5</v>
      </c>
      <c r="L133" s="17">
        <v>441.0</v>
      </c>
      <c r="M133" s="18">
        <v>441.0</v>
      </c>
      <c r="N133" s="18">
        <v>0.0</v>
      </c>
      <c r="O133" s="18">
        <v>20.458</v>
      </c>
      <c r="P133" s="4"/>
    </row>
    <row r="134">
      <c r="A134" s="8" t="s">
        <v>139</v>
      </c>
      <c r="B134" s="9">
        <v>35.0</v>
      </c>
      <c r="C134" s="9" t="s">
        <v>8</v>
      </c>
      <c r="D134" s="9">
        <v>75.0</v>
      </c>
      <c r="E134" s="10">
        <v>2.0</v>
      </c>
      <c r="F134" s="9">
        <v>2.0</v>
      </c>
      <c r="G134" s="9">
        <v>1.0</v>
      </c>
      <c r="H134" s="9">
        <v>0.0</v>
      </c>
      <c r="I134" s="9">
        <v>0.0</v>
      </c>
      <c r="J134" s="17">
        <v>148.0</v>
      </c>
      <c r="K134" s="18">
        <v>37.5833</v>
      </c>
      <c r="L134" s="17">
        <v>120.0</v>
      </c>
      <c r="M134" s="18">
        <v>120.0</v>
      </c>
      <c r="N134" s="18">
        <v>0.0</v>
      </c>
      <c r="O134" s="18">
        <v>37.887</v>
      </c>
      <c r="P134" s="4"/>
    </row>
    <row r="135">
      <c r="A135" s="8" t="s">
        <v>140</v>
      </c>
      <c r="B135" s="9">
        <v>35.0</v>
      </c>
      <c r="C135" s="9" t="s">
        <v>8</v>
      </c>
      <c r="D135" s="9">
        <v>75.0</v>
      </c>
      <c r="E135" s="10">
        <v>2.0</v>
      </c>
      <c r="F135" s="9">
        <v>3.0</v>
      </c>
      <c r="G135" s="9">
        <v>1.0</v>
      </c>
      <c r="H135" s="9">
        <v>0.0</v>
      </c>
      <c r="I135" s="9">
        <v>0.0</v>
      </c>
      <c r="J135" s="17">
        <v>1085.0</v>
      </c>
      <c r="K135" s="18">
        <v>958.0</v>
      </c>
      <c r="L135" s="17">
        <v>1060.0</v>
      </c>
      <c r="M135" s="18">
        <v>1060.0</v>
      </c>
      <c r="N135" s="18">
        <v>0.0</v>
      </c>
      <c r="O135" s="18">
        <v>288.613</v>
      </c>
      <c r="P135" s="4"/>
    </row>
    <row r="136">
      <c r="A136" s="8" t="s">
        <v>141</v>
      </c>
      <c r="B136" s="9">
        <v>35.0</v>
      </c>
      <c r="C136" s="9" t="s">
        <v>8</v>
      </c>
      <c r="D136" s="9">
        <v>75.0</v>
      </c>
      <c r="E136" s="10">
        <v>2.0</v>
      </c>
      <c r="F136" s="9">
        <v>4.0</v>
      </c>
      <c r="G136" s="9">
        <v>1.0</v>
      </c>
      <c r="H136" s="9">
        <v>0.0</v>
      </c>
      <c r="I136" s="9">
        <v>0.0</v>
      </c>
      <c r="J136" s="17">
        <v>-1207.0</v>
      </c>
      <c r="K136" s="18">
        <v>-1207.0</v>
      </c>
      <c r="L136" s="17">
        <v>-1207.0</v>
      </c>
      <c r="M136" s="18">
        <v>-1207.0</v>
      </c>
      <c r="N136" s="18">
        <v>0.0</v>
      </c>
      <c r="O136" s="18">
        <v>0.117</v>
      </c>
      <c r="P136" s="4"/>
    </row>
    <row r="137">
      <c r="A137" s="8" t="s">
        <v>142</v>
      </c>
      <c r="B137" s="9">
        <v>35.0</v>
      </c>
      <c r="C137" s="9" t="s">
        <v>8</v>
      </c>
      <c r="D137" s="9">
        <v>75.0</v>
      </c>
      <c r="E137" s="10">
        <v>2.0</v>
      </c>
      <c r="F137" s="9">
        <v>5.0</v>
      </c>
      <c r="G137" s="9">
        <v>1.0</v>
      </c>
      <c r="H137" s="9">
        <v>0.0</v>
      </c>
      <c r="I137" s="9">
        <v>0.0</v>
      </c>
      <c r="J137" s="17">
        <v>-138.0</v>
      </c>
      <c r="K137" s="18">
        <v>-220.5</v>
      </c>
      <c r="L137" s="17">
        <v>-204.0</v>
      </c>
      <c r="M137" s="18">
        <v>-204.0</v>
      </c>
      <c r="N137" s="18">
        <v>0.0</v>
      </c>
      <c r="O137" s="18">
        <v>1.45</v>
      </c>
      <c r="P137" s="4"/>
    </row>
    <row r="138">
      <c r="A138" s="8" t="s">
        <v>143</v>
      </c>
      <c r="B138" s="9">
        <v>40.0</v>
      </c>
      <c r="C138" s="9" t="s">
        <v>8</v>
      </c>
      <c r="D138" s="9">
        <v>25.0</v>
      </c>
      <c r="E138" s="10">
        <v>0.6</v>
      </c>
      <c r="F138" s="9">
        <v>1.0</v>
      </c>
      <c r="G138" s="9">
        <v>1.0</v>
      </c>
      <c r="H138" s="9">
        <v>0.0</v>
      </c>
      <c r="I138" s="9">
        <v>0.0</v>
      </c>
      <c r="J138" s="17">
        <v>-1463.0</v>
      </c>
      <c r="K138" s="18">
        <v>-1463.0</v>
      </c>
      <c r="L138" s="17">
        <v>-1463.0</v>
      </c>
      <c r="M138" s="18">
        <v>-1463.0</v>
      </c>
      <c r="N138" s="18">
        <v>0.0</v>
      </c>
      <c r="O138" s="18">
        <v>18.692</v>
      </c>
      <c r="P138" s="4"/>
    </row>
    <row r="139">
      <c r="A139" s="8" t="s">
        <v>144</v>
      </c>
      <c r="B139" s="9">
        <v>40.0</v>
      </c>
      <c r="C139" s="9" t="s">
        <v>8</v>
      </c>
      <c r="D139" s="9">
        <v>25.0</v>
      </c>
      <c r="E139" s="10">
        <v>0.6</v>
      </c>
      <c r="F139" s="9">
        <v>2.0</v>
      </c>
      <c r="G139" s="9">
        <v>1.0</v>
      </c>
      <c r="H139" s="9">
        <v>0.0</v>
      </c>
      <c r="I139" s="9">
        <v>0.0</v>
      </c>
      <c r="J139" s="17">
        <v>-1561.0</v>
      </c>
      <c r="K139" s="18">
        <v>-1561.0</v>
      </c>
      <c r="L139" s="17">
        <v>-1561.0</v>
      </c>
      <c r="M139" s="18">
        <v>-1561.0</v>
      </c>
      <c r="N139" s="18">
        <v>0.0</v>
      </c>
      <c r="O139" s="18">
        <v>66.051</v>
      </c>
      <c r="P139" s="4"/>
    </row>
    <row r="140">
      <c r="A140" s="8" t="s">
        <v>145</v>
      </c>
      <c r="B140" s="9">
        <v>40.0</v>
      </c>
      <c r="C140" s="9" t="s">
        <v>8</v>
      </c>
      <c r="D140" s="9">
        <v>25.0</v>
      </c>
      <c r="E140" s="10">
        <v>0.6</v>
      </c>
      <c r="F140" s="9">
        <v>3.0</v>
      </c>
      <c r="G140" s="9">
        <v>1.0</v>
      </c>
      <c r="H140" s="9">
        <v>0.0</v>
      </c>
      <c r="I140" s="9">
        <v>0.0</v>
      </c>
      <c r="J140" s="17">
        <v>-1286.0</v>
      </c>
      <c r="K140" s="18">
        <v>-1292.5</v>
      </c>
      <c r="L140" s="17">
        <v>-1286.0</v>
      </c>
      <c r="M140" s="18">
        <v>-1286.0</v>
      </c>
      <c r="N140" s="18">
        <v>0.0</v>
      </c>
      <c r="O140" s="18">
        <v>70.721</v>
      </c>
      <c r="P140" s="4"/>
    </row>
    <row r="141">
      <c r="A141" s="8" t="s">
        <v>146</v>
      </c>
      <c r="B141" s="9">
        <v>40.0</v>
      </c>
      <c r="C141" s="9" t="s">
        <v>8</v>
      </c>
      <c r="D141" s="9">
        <v>25.0</v>
      </c>
      <c r="E141" s="10">
        <v>0.6</v>
      </c>
      <c r="F141" s="9">
        <v>4.0</v>
      </c>
      <c r="G141" s="9">
        <v>1.0</v>
      </c>
      <c r="H141" s="9">
        <v>0.0</v>
      </c>
      <c r="I141" s="9">
        <v>0.0</v>
      </c>
      <c r="J141" s="17">
        <v>-1587.0</v>
      </c>
      <c r="K141" s="18">
        <v>-1587.0</v>
      </c>
      <c r="L141" s="17">
        <v>-1587.0</v>
      </c>
      <c r="M141" s="18">
        <v>-1587.0</v>
      </c>
      <c r="N141" s="18">
        <v>0.0</v>
      </c>
      <c r="O141" s="18">
        <v>16.64</v>
      </c>
      <c r="P141" s="4"/>
    </row>
    <row r="142">
      <c r="A142" s="8" t="s">
        <v>147</v>
      </c>
      <c r="B142" s="9">
        <v>40.0</v>
      </c>
      <c r="C142" s="9" t="s">
        <v>8</v>
      </c>
      <c r="D142" s="9">
        <v>25.0</v>
      </c>
      <c r="E142" s="10">
        <v>0.6</v>
      </c>
      <c r="F142" s="9">
        <v>5.0</v>
      </c>
      <c r="G142" s="9">
        <v>1.0</v>
      </c>
      <c r="H142" s="9">
        <v>0.0</v>
      </c>
      <c r="I142" s="9">
        <v>0.0</v>
      </c>
      <c r="J142" s="17">
        <v>-1558.0</v>
      </c>
      <c r="K142" s="18">
        <v>-1558.0</v>
      </c>
      <c r="L142" s="17">
        <v>-1558.0</v>
      </c>
      <c r="M142" s="18">
        <v>-1558.0</v>
      </c>
      <c r="N142" s="18">
        <v>0.0</v>
      </c>
      <c r="O142" s="18">
        <v>15.597</v>
      </c>
      <c r="P142" s="4"/>
    </row>
    <row r="143">
      <c r="A143" s="8" t="s">
        <v>148</v>
      </c>
      <c r="B143" s="9">
        <v>40.0</v>
      </c>
      <c r="C143" s="9" t="s">
        <v>8</v>
      </c>
      <c r="D143" s="9">
        <v>25.0</v>
      </c>
      <c r="E143" s="10">
        <v>1.0</v>
      </c>
      <c r="F143" s="9">
        <v>1.0</v>
      </c>
      <c r="G143" s="9">
        <v>1.0</v>
      </c>
      <c r="H143" s="9">
        <v>0.0</v>
      </c>
      <c r="I143" s="9">
        <v>0.0</v>
      </c>
      <c r="J143" s="17">
        <v>-1320.0</v>
      </c>
      <c r="K143" s="18">
        <v>-1320.0</v>
      </c>
      <c r="L143" s="17">
        <v>-1320.0</v>
      </c>
      <c r="M143" s="18">
        <v>-1320.0</v>
      </c>
      <c r="N143" s="18">
        <v>0.0</v>
      </c>
      <c r="O143" s="18">
        <v>2.609</v>
      </c>
      <c r="P143" s="4"/>
    </row>
    <row r="144">
      <c r="A144" s="8" t="s">
        <v>149</v>
      </c>
      <c r="B144" s="9">
        <v>40.0</v>
      </c>
      <c r="C144" s="9" t="s">
        <v>8</v>
      </c>
      <c r="D144" s="9">
        <v>25.0</v>
      </c>
      <c r="E144" s="10">
        <v>1.0</v>
      </c>
      <c r="F144" s="9">
        <v>2.0</v>
      </c>
      <c r="G144" s="9">
        <v>1.0</v>
      </c>
      <c r="H144" s="9">
        <v>0.0</v>
      </c>
      <c r="I144" s="9">
        <v>0.0</v>
      </c>
      <c r="J144" s="17">
        <v>-1464.0</v>
      </c>
      <c r="K144" s="18">
        <v>-1469.5</v>
      </c>
      <c r="L144" s="17">
        <v>-1464.0</v>
      </c>
      <c r="M144" s="18">
        <v>-1464.0</v>
      </c>
      <c r="N144" s="18">
        <v>0.0</v>
      </c>
      <c r="O144" s="18">
        <v>35.087</v>
      </c>
      <c r="P144" s="4"/>
    </row>
    <row r="145">
      <c r="A145" s="8" t="s">
        <v>150</v>
      </c>
      <c r="B145" s="9">
        <v>40.0</v>
      </c>
      <c r="C145" s="9" t="s">
        <v>8</v>
      </c>
      <c r="D145" s="9">
        <v>25.0</v>
      </c>
      <c r="E145" s="10">
        <v>1.0</v>
      </c>
      <c r="F145" s="9">
        <v>3.0</v>
      </c>
      <c r="G145" s="9">
        <v>1.0</v>
      </c>
      <c r="H145" s="9">
        <v>0.0</v>
      </c>
      <c r="I145" s="9">
        <v>0.0</v>
      </c>
      <c r="J145" s="17">
        <v>-1092.0</v>
      </c>
      <c r="K145" s="18">
        <v>-1117.14</v>
      </c>
      <c r="L145" s="17">
        <v>-1109.0</v>
      </c>
      <c r="M145" s="18">
        <v>-1109.0</v>
      </c>
      <c r="N145" s="18">
        <v>0.0</v>
      </c>
      <c r="O145" s="18">
        <v>37.324</v>
      </c>
      <c r="P145" s="4"/>
    </row>
    <row r="146">
      <c r="A146" s="8" t="s">
        <v>151</v>
      </c>
      <c r="B146" s="9">
        <v>40.0</v>
      </c>
      <c r="C146" s="9" t="s">
        <v>8</v>
      </c>
      <c r="D146" s="9">
        <v>25.0</v>
      </c>
      <c r="E146" s="10">
        <v>1.0</v>
      </c>
      <c r="F146" s="9">
        <v>4.0</v>
      </c>
      <c r="G146" s="9">
        <v>1.0</v>
      </c>
      <c r="H146" s="9">
        <v>0.0</v>
      </c>
      <c r="I146" s="9">
        <v>0.0</v>
      </c>
      <c r="J146" s="17">
        <v>-1481.0</v>
      </c>
      <c r="K146" s="18">
        <v>-1481.0</v>
      </c>
      <c r="L146" s="17">
        <v>-1481.0</v>
      </c>
      <c r="M146" s="18">
        <v>-1481.0</v>
      </c>
      <c r="N146" s="18">
        <v>0.0</v>
      </c>
      <c r="O146" s="18">
        <v>3.833</v>
      </c>
      <c r="P146" s="4"/>
    </row>
    <row r="147">
      <c r="A147" s="8" t="s">
        <v>152</v>
      </c>
      <c r="B147" s="9">
        <v>40.0</v>
      </c>
      <c r="C147" s="9" t="s">
        <v>8</v>
      </c>
      <c r="D147" s="9">
        <v>25.0</v>
      </c>
      <c r="E147" s="10">
        <v>1.0</v>
      </c>
      <c r="F147" s="9">
        <v>5.0</v>
      </c>
      <c r="G147" s="9">
        <v>1.0</v>
      </c>
      <c r="H147" s="9">
        <v>0.0</v>
      </c>
      <c r="I147" s="9">
        <v>0.0</v>
      </c>
      <c r="J147" s="17">
        <v>-1441.0</v>
      </c>
      <c r="K147" s="18">
        <v>-1441.0</v>
      </c>
      <c r="L147" s="17">
        <v>-1441.0</v>
      </c>
      <c r="M147" s="18">
        <v>-1441.0</v>
      </c>
      <c r="N147" s="18">
        <v>0.0</v>
      </c>
      <c r="O147" s="18">
        <v>6.742</v>
      </c>
      <c r="P147" s="4"/>
    </row>
    <row r="148">
      <c r="A148" s="8" t="s">
        <v>153</v>
      </c>
      <c r="B148" s="9">
        <v>40.0</v>
      </c>
      <c r="C148" s="9" t="s">
        <v>8</v>
      </c>
      <c r="D148" s="9">
        <v>25.0</v>
      </c>
      <c r="E148" s="10">
        <v>2.0</v>
      </c>
      <c r="F148" s="9">
        <v>1.0</v>
      </c>
      <c r="G148" s="9">
        <v>1.0</v>
      </c>
      <c r="H148" s="9">
        <v>0.0</v>
      </c>
      <c r="I148" s="9">
        <v>0.0</v>
      </c>
      <c r="J148" s="17">
        <v>-698.0</v>
      </c>
      <c r="K148" s="18">
        <v>-708.0</v>
      </c>
      <c r="L148" s="17">
        <v>-700.0</v>
      </c>
      <c r="M148" s="18">
        <v>-700.0</v>
      </c>
      <c r="N148" s="18">
        <v>0.0</v>
      </c>
      <c r="O148" s="18">
        <v>1.438</v>
      </c>
      <c r="P148" s="4"/>
    </row>
    <row r="149">
      <c r="A149" s="8" t="s">
        <v>154</v>
      </c>
      <c r="B149" s="9">
        <v>40.0</v>
      </c>
      <c r="C149" s="9" t="s">
        <v>8</v>
      </c>
      <c r="D149" s="9">
        <v>25.0</v>
      </c>
      <c r="E149" s="10">
        <v>2.0</v>
      </c>
      <c r="F149" s="9">
        <v>2.0</v>
      </c>
      <c r="G149" s="9">
        <v>1.0</v>
      </c>
      <c r="H149" s="9">
        <v>0.0</v>
      </c>
      <c r="I149" s="9">
        <v>0.0</v>
      </c>
      <c r="J149" s="17">
        <v>-1032.0</v>
      </c>
      <c r="K149" s="18">
        <v>-1032.0</v>
      </c>
      <c r="L149" s="17">
        <v>-1032.0</v>
      </c>
      <c r="M149" s="18">
        <v>-1032.0</v>
      </c>
      <c r="N149" s="18">
        <v>0.0</v>
      </c>
      <c r="O149" s="18">
        <v>0.336</v>
      </c>
      <c r="P149" s="4"/>
    </row>
    <row r="150">
      <c r="A150" s="8" t="s">
        <v>155</v>
      </c>
      <c r="B150" s="9">
        <v>40.0</v>
      </c>
      <c r="C150" s="9" t="s">
        <v>8</v>
      </c>
      <c r="D150" s="9">
        <v>25.0</v>
      </c>
      <c r="E150" s="10">
        <v>2.0</v>
      </c>
      <c r="F150" s="9">
        <v>3.0</v>
      </c>
      <c r="G150" s="9">
        <v>1.0</v>
      </c>
      <c r="H150" s="9">
        <v>0.0</v>
      </c>
      <c r="I150" s="9">
        <v>0.0</v>
      </c>
      <c r="J150" s="17">
        <v>949.0</v>
      </c>
      <c r="K150" s="18">
        <v>820.25</v>
      </c>
      <c r="L150" s="17">
        <v>870.0</v>
      </c>
      <c r="M150" s="18">
        <v>870.0</v>
      </c>
      <c r="N150" s="18">
        <v>0.0</v>
      </c>
      <c r="O150" s="18">
        <v>170.338</v>
      </c>
      <c r="P150" s="4"/>
    </row>
    <row r="151">
      <c r="A151" s="8" t="s">
        <v>156</v>
      </c>
      <c r="B151" s="9">
        <v>40.0</v>
      </c>
      <c r="C151" s="9" t="s">
        <v>8</v>
      </c>
      <c r="D151" s="9">
        <v>25.0</v>
      </c>
      <c r="E151" s="10">
        <v>2.0</v>
      </c>
      <c r="F151" s="9">
        <v>4.0</v>
      </c>
      <c r="G151" s="9">
        <v>1.0</v>
      </c>
      <c r="H151" s="9">
        <v>0.0</v>
      </c>
      <c r="I151" s="9">
        <v>0.0</v>
      </c>
      <c r="J151" s="17">
        <v>-1058.0</v>
      </c>
      <c r="K151" s="18">
        <v>-1062.33</v>
      </c>
      <c r="L151" s="17">
        <v>-1058.0</v>
      </c>
      <c r="M151" s="18">
        <v>-1058.0</v>
      </c>
      <c r="N151" s="18">
        <v>0.0</v>
      </c>
      <c r="O151" s="18">
        <v>1.242</v>
      </c>
      <c r="P151" s="4"/>
    </row>
    <row r="152">
      <c r="A152" s="8" t="s">
        <v>157</v>
      </c>
      <c r="B152" s="9">
        <v>40.0</v>
      </c>
      <c r="C152" s="9" t="s">
        <v>8</v>
      </c>
      <c r="D152" s="9">
        <v>25.0</v>
      </c>
      <c r="E152" s="10">
        <v>2.0</v>
      </c>
      <c r="F152" s="9">
        <v>5.0</v>
      </c>
      <c r="G152" s="9">
        <v>1.0</v>
      </c>
      <c r="H152" s="9">
        <v>0.0</v>
      </c>
      <c r="I152" s="9">
        <v>0.0</v>
      </c>
      <c r="J152" s="17">
        <v>-981.0</v>
      </c>
      <c r="K152" s="18">
        <v>-981.0</v>
      </c>
      <c r="L152" s="17">
        <v>-981.0</v>
      </c>
      <c r="M152" s="18">
        <v>-981.0</v>
      </c>
      <c r="N152" s="18">
        <v>0.0</v>
      </c>
      <c r="O152" s="18">
        <v>0.353</v>
      </c>
      <c r="P152" s="4"/>
    </row>
    <row r="153">
      <c r="A153" s="8" t="s">
        <v>158</v>
      </c>
      <c r="B153" s="9">
        <v>40.0</v>
      </c>
      <c r="C153" s="9" t="s">
        <v>8</v>
      </c>
      <c r="D153" s="9">
        <v>50.0</v>
      </c>
      <c r="E153" s="10">
        <v>0.6</v>
      </c>
      <c r="F153" s="9">
        <v>1.0</v>
      </c>
      <c r="G153" s="9">
        <v>1.0</v>
      </c>
      <c r="H153" s="9">
        <v>0.0</v>
      </c>
      <c r="I153" s="9">
        <v>0.0</v>
      </c>
      <c r="J153" s="17">
        <v>-1931.0</v>
      </c>
      <c r="K153" s="18">
        <v>-1945.36</v>
      </c>
      <c r="L153" s="17">
        <v>-1931.0</v>
      </c>
      <c r="M153" s="18">
        <v>-1931.0</v>
      </c>
      <c r="N153" s="18">
        <v>0.0</v>
      </c>
      <c r="O153" s="18">
        <v>355.867</v>
      </c>
      <c r="P153" s="4"/>
    </row>
    <row r="154">
      <c r="A154" s="8" t="s">
        <v>159</v>
      </c>
      <c r="B154" s="9">
        <v>40.0</v>
      </c>
      <c r="C154" s="9" t="s">
        <v>8</v>
      </c>
      <c r="D154" s="9">
        <v>50.0</v>
      </c>
      <c r="E154" s="10">
        <v>0.6</v>
      </c>
      <c r="F154" s="9">
        <v>2.0</v>
      </c>
      <c r="G154" s="9">
        <v>1.0</v>
      </c>
      <c r="H154" s="9">
        <v>0.0</v>
      </c>
      <c r="I154" s="9">
        <v>0.0</v>
      </c>
      <c r="J154" s="17">
        <v>-2066.0</v>
      </c>
      <c r="K154" s="18">
        <v>-2066.0</v>
      </c>
      <c r="L154" s="17">
        <v>-2066.0</v>
      </c>
      <c r="M154" s="18">
        <v>-2066.0</v>
      </c>
      <c r="N154" s="18">
        <v>0.0</v>
      </c>
      <c r="O154" s="18">
        <v>84.418</v>
      </c>
      <c r="P154" s="4"/>
    </row>
    <row r="155">
      <c r="A155" s="8" t="s">
        <v>160</v>
      </c>
      <c r="B155" s="9">
        <v>40.0</v>
      </c>
      <c r="C155" s="9" t="s">
        <v>8</v>
      </c>
      <c r="D155" s="9">
        <v>50.0</v>
      </c>
      <c r="E155" s="10">
        <v>0.6</v>
      </c>
      <c r="F155" s="9">
        <v>3.0</v>
      </c>
      <c r="G155" s="9">
        <v>1.0</v>
      </c>
      <c r="H155" s="9">
        <v>0.0</v>
      </c>
      <c r="I155" s="9">
        <v>0.0</v>
      </c>
      <c r="J155" s="17">
        <v>-2392.0</v>
      </c>
      <c r="K155" s="18">
        <v>-2392.0</v>
      </c>
      <c r="L155" s="17">
        <v>-2392.0</v>
      </c>
      <c r="M155" s="18">
        <v>-2392.0</v>
      </c>
      <c r="N155" s="18">
        <v>0.0</v>
      </c>
      <c r="O155" s="18">
        <v>123.361</v>
      </c>
      <c r="P155" s="4"/>
    </row>
    <row r="156">
      <c r="A156" s="8" t="s">
        <v>161</v>
      </c>
      <c r="B156" s="9">
        <v>40.0</v>
      </c>
      <c r="C156" s="9" t="s">
        <v>8</v>
      </c>
      <c r="D156" s="9">
        <v>50.0</v>
      </c>
      <c r="E156" s="10">
        <v>0.6</v>
      </c>
      <c r="F156" s="9">
        <v>4.0</v>
      </c>
      <c r="G156" s="9">
        <v>1.0</v>
      </c>
      <c r="H156" s="9">
        <v>0.0</v>
      </c>
      <c r="I156" s="9">
        <v>0.0</v>
      </c>
      <c r="J156" s="17">
        <v>-2402.0</v>
      </c>
      <c r="K156" s="18">
        <v>-2440.33</v>
      </c>
      <c r="L156" s="17">
        <v>-2408.0</v>
      </c>
      <c r="M156" s="18">
        <v>-2408.0</v>
      </c>
      <c r="N156" s="18">
        <v>0.0</v>
      </c>
      <c r="O156" s="18">
        <v>820.393</v>
      </c>
      <c r="P156" s="4"/>
    </row>
    <row r="157">
      <c r="A157" s="8" t="s">
        <v>162</v>
      </c>
      <c r="B157" s="9">
        <v>40.0</v>
      </c>
      <c r="C157" s="9" t="s">
        <v>8</v>
      </c>
      <c r="D157" s="9">
        <v>50.0</v>
      </c>
      <c r="E157" s="10">
        <v>0.6</v>
      </c>
      <c r="F157" s="9">
        <v>5.0</v>
      </c>
      <c r="G157" s="9">
        <v>1.0</v>
      </c>
      <c r="H157" s="9">
        <v>0.0</v>
      </c>
      <c r="I157" s="9">
        <v>0.0</v>
      </c>
      <c r="J157" s="17">
        <v>-2200.0</v>
      </c>
      <c r="K157" s="18">
        <v>-2212.33</v>
      </c>
      <c r="L157" s="17">
        <v>-2200.0</v>
      </c>
      <c r="M157" s="18">
        <v>-2200.0</v>
      </c>
      <c r="N157" s="18">
        <v>0.0</v>
      </c>
      <c r="O157" s="18">
        <v>210.243</v>
      </c>
      <c r="P157" s="4"/>
    </row>
    <row r="158">
      <c r="A158" s="8" t="s">
        <v>163</v>
      </c>
      <c r="B158" s="9">
        <v>40.0</v>
      </c>
      <c r="C158" s="9" t="s">
        <v>8</v>
      </c>
      <c r="D158" s="9">
        <v>50.0</v>
      </c>
      <c r="E158" s="10">
        <v>1.0</v>
      </c>
      <c r="F158" s="9">
        <v>1.0</v>
      </c>
      <c r="G158" s="9">
        <v>1.0</v>
      </c>
      <c r="H158" s="9">
        <v>0.0</v>
      </c>
      <c r="I158" s="9">
        <v>0.0</v>
      </c>
      <c r="J158" s="17">
        <v>-1694.0</v>
      </c>
      <c r="K158" s="18">
        <v>-1763.36</v>
      </c>
      <c r="L158" s="17">
        <v>-1744.0</v>
      </c>
      <c r="M158" s="18">
        <v>-1744.0</v>
      </c>
      <c r="N158" s="18">
        <v>0.0</v>
      </c>
      <c r="O158" s="18">
        <v>152.851</v>
      </c>
      <c r="P158" s="4"/>
    </row>
    <row r="159">
      <c r="A159" s="8" t="s">
        <v>164</v>
      </c>
      <c r="B159" s="9">
        <v>40.0</v>
      </c>
      <c r="C159" s="9" t="s">
        <v>8</v>
      </c>
      <c r="D159" s="9">
        <v>50.0</v>
      </c>
      <c r="E159" s="10">
        <v>1.0</v>
      </c>
      <c r="F159" s="9">
        <v>2.0</v>
      </c>
      <c r="G159" s="9">
        <v>1.0</v>
      </c>
      <c r="H159" s="9">
        <v>0.0</v>
      </c>
      <c r="I159" s="9">
        <v>0.0</v>
      </c>
      <c r="J159" s="17">
        <v>-1910.0</v>
      </c>
      <c r="K159" s="18">
        <v>-1923.25</v>
      </c>
      <c r="L159" s="17">
        <v>-1911.0</v>
      </c>
      <c r="M159" s="18">
        <v>-1911.0</v>
      </c>
      <c r="N159" s="18">
        <v>0.0</v>
      </c>
      <c r="O159" s="18">
        <v>102.442</v>
      </c>
      <c r="P159" s="4"/>
    </row>
    <row r="160">
      <c r="A160" s="8" t="s">
        <v>165</v>
      </c>
      <c r="B160" s="9">
        <v>40.0</v>
      </c>
      <c r="C160" s="9" t="s">
        <v>8</v>
      </c>
      <c r="D160" s="9">
        <v>50.0</v>
      </c>
      <c r="E160" s="10">
        <v>1.0</v>
      </c>
      <c r="F160" s="9">
        <v>3.0</v>
      </c>
      <c r="G160" s="9">
        <v>1.0</v>
      </c>
      <c r="H160" s="9">
        <v>0.0</v>
      </c>
      <c r="I160" s="9">
        <v>0.0</v>
      </c>
      <c r="J160" s="17">
        <v>-1957.0</v>
      </c>
      <c r="K160" s="18">
        <v>-2005.79</v>
      </c>
      <c r="L160" s="17">
        <v>-1989.0</v>
      </c>
      <c r="M160" s="18">
        <v>-1989.0</v>
      </c>
      <c r="N160" s="18">
        <v>0.0</v>
      </c>
      <c r="O160" s="18">
        <v>125.384</v>
      </c>
      <c r="P160" s="4"/>
    </row>
    <row r="161">
      <c r="A161" s="8" t="s">
        <v>166</v>
      </c>
      <c r="B161" s="9">
        <v>40.0</v>
      </c>
      <c r="C161" s="9" t="s">
        <v>8</v>
      </c>
      <c r="D161" s="9">
        <v>50.0</v>
      </c>
      <c r="E161" s="10">
        <v>1.0</v>
      </c>
      <c r="F161" s="9">
        <v>4.0</v>
      </c>
      <c r="G161" s="9">
        <v>1.0</v>
      </c>
      <c r="H161" s="9">
        <v>0.0</v>
      </c>
      <c r="I161" s="9">
        <v>0.0</v>
      </c>
      <c r="J161" s="17">
        <v>-2084.0</v>
      </c>
      <c r="K161" s="18">
        <v>-2130.0</v>
      </c>
      <c r="L161" s="17">
        <v>-2084.0</v>
      </c>
      <c r="M161" s="18">
        <v>-2084.0</v>
      </c>
      <c r="N161" s="18">
        <v>0.0</v>
      </c>
      <c r="O161" s="18">
        <v>313.857</v>
      </c>
      <c r="P161" s="4"/>
    </row>
    <row r="162">
      <c r="A162" s="8" t="s">
        <v>167</v>
      </c>
      <c r="B162" s="9">
        <v>40.0</v>
      </c>
      <c r="C162" s="9" t="s">
        <v>8</v>
      </c>
      <c r="D162" s="9">
        <v>50.0</v>
      </c>
      <c r="E162" s="10">
        <v>1.0</v>
      </c>
      <c r="F162" s="9">
        <v>5.0</v>
      </c>
      <c r="G162" s="9">
        <v>1.0</v>
      </c>
      <c r="H162" s="9">
        <v>0.0</v>
      </c>
      <c r="I162" s="9">
        <v>0.0</v>
      </c>
      <c r="J162" s="17">
        <v>-1979.0</v>
      </c>
      <c r="K162" s="18">
        <v>-1995.26</v>
      </c>
      <c r="L162" s="17">
        <v>-1979.0</v>
      </c>
      <c r="M162" s="18">
        <v>-1979.0</v>
      </c>
      <c r="N162" s="18">
        <v>0.0</v>
      </c>
      <c r="O162" s="18">
        <v>69.994</v>
      </c>
      <c r="P162" s="4"/>
    </row>
    <row r="163">
      <c r="A163" s="8" t="s">
        <v>168</v>
      </c>
      <c r="B163" s="9">
        <v>40.0</v>
      </c>
      <c r="C163" s="9" t="s">
        <v>8</v>
      </c>
      <c r="D163" s="9">
        <v>50.0</v>
      </c>
      <c r="E163" s="10">
        <v>2.0</v>
      </c>
      <c r="F163" s="9">
        <v>1.0</v>
      </c>
      <c r="G163" s="9">
        <v>1.0</v>
      </c>
      <c r="H163" s="9">
        <v>0.0</v>
      </c>
      <c r="I163" s="9">
        <v>0.0</v>
      </c>
      <c r="J163" s="17">
        <v>-166.0</v>
      </c>
      <c r="K163" s="18">
        <v>-256.688</v>
      </c>
      <c r="L163" s="17">
        <v>-213.0</v>
      </c>
      <c r="M163" s="18">
        <v>-213.0</v>
      </c>
      <c r="N163" s="18">
        <v>0.0</v>
      </c>
      <c r="O163" s="18">
        <v>89.661</v>
      </c>
      <c r="P163" s="4"/>
    </row>
    <row r="164">
      <c r="A164" s="8" t="s">
        <v>169</v>
      </c>
      <c r="B164" s="9">
        <v>40.0</v>
      </c>
      <c r="C164" s="9" t="s">
        <v>8</v>
      </c>
      <c r="D164" s="9">
        <v>50.0</v>
      </c>
      <c r="E164" s="10">
        <v>2.0</v>
      </c>
      <c r="F164" s="9">
        <v>2.0</v>
      </c>
      <c r="G164" s="9">
        <v>1.0</v>
      </c>
      <c r="H164" s="9">
        <v>0.0</v>
      </c>
      <c r="I164" s="9">
        <v>0.0</v>
      </c>
      <c r="J164" s="17">
        <v>-1410.0</v>
      </c>
      <c r="K164" s="18">
        <v>-1415.4</v>
      </c>
      <c r="L164" s="17">
        <v>-1410.0</v>
      </c>
      <c r="M164" s="18">
        <v>-1410.0</v>
      </c>
      <c r="N164" s="18">
        <v>0.0</v>
      </c>
      <c r="O164" s="18">
        <v>3.484</v>
      </c>
      <c r="P164" s="4"/>
    </row>
    <row r="165">
      <c r="A165" s="8" t="s">
        <v>170</v>
      </c>
      <c r="B165" s="9">
        <v>40.0</v>
      </c>
      <c r="C165" s="9" t="s">
        <v>8</v>
      </c>
      <c r="D165" s="9">
        <v>50.0</v>
      </c>
      <c r="E165" s="10">
        <v>2.0</v>
      </c>
      <c r="F165" s="9">
        <v>3.0</v>
      </c>
      <c r="G165" s="9">
        <v>1.0</v>
      </c>
      <c r="H165" s="9">
        <v>0.0</v>
      </c>
      <c r="I165" s="9">
        <v>0.0</v>
      </c>
      <c r="J165" s="17">
        <v>141.0</v>
      </c>
      <c r="K165" s="18">
        <v>41.3333</v>
      </c>
      <c r="L165" s="17">
        <v>121.0</v>
      </c>
      <c r="M165" s="18">
        <v>121.0</v>
      </c>
      <c r="N165" s="18">
        <v>0.0</v>
      </c>
      <c r="O165" s="18">
        <v>464.646</v>
      </c>
      <c r="P165" s="4"/>
    </row>
    <row r="166">
      <c r="A166" s="8" t="s">
        <v>171</v>
      </c>
      <c r="B166" s="9">
        <v>40.0</v>
      </c>
      <c r="C166" s="9" t="s">
        <v>8</v>
      </c>
      <c r="D166" s="9">
        <v>50.0</v>
      </c>
      <c r="E166" s="10">
        <v>2.0</v>
      </c>
      <c r="F166" s="9">
        <v>4.0</v>
      </c>
      <c r="G166" s="9">
        <v>1.0</v>
      </c>
      <c r="H166" s="9">
        <v>0.0</v>
      </c>
      <c r="I166" s="9">
        <v>0.0</v>
      </c>
      <c r="J166" s="17">
        <v>28.0</v>
      </c>
      <c r="K166" s="18">
        <v>-59.3846</v>
      </c>
      <c r="L166" s="17">
        <v>-36.0</v>
      </c>
      <c r="M166" s="18">
        <v>-36.0</v>
      </c>
      <c r="N166" s="18">
        <v>0.0</v>
      </c>
      <c r="O166" s="18">
        <v>6.559</v>
      </c>
      <c r="P166" s="4"/>
    </row>
    <row r="167">
      <c r="A167" s="8" t="s">
        <v>172</v>
      </c>
      <c r="B167" s="9">
        <v>40.0</v>
      </c>
      <c r="C167" s="9" t="s">
        <v>8</v>
      </c>
      <c r="D167" s="9">
        <v>50.0</v>
      </c>
      <c r="E167" s="10">
        <v>2.0</v>
      </c>
      <c r="F167" s="9">
        <v>5.0</v>
      </c>
      <c r="G167" s="9">
        <v>1.0</v>
      </c>
      <c r="H167" s="9">
        <v>0.0</v>
      </c>
      <c r="I167" s="9">
        <v>0.0</v>
      </c>
      <c r="J167" s="17">
        <v>-1192.0</v>
      </c>
      <c r="K167" s="18">
        <v>-1218.5</v>
      </c>
      <c r="L167" s="17">
        <v>-1200.0</v>
      </c>
      <c r="M167" s="18">
        <v>-1200.0</v>
      </c>
      <c r="N167" s="18">
        <v>0.0</v>
      </c>
      <c r="O167" s="18">
        <v>4.044</v>
      </c>
      <c r="P167" s="4"/>
    </row>
    <row r="168">
      <c r="A168" s="8" t="s">
        <v>173</v>
      </c>
      <c r="B168" s="9">
        <v>40.0</v>
      </c>
      <c r="C168" s="9" t="s">
        <v>8</v>
      </c>
      <c r="D168" s="9">
        <v>75.0</v>
      </c>
      <c r="E168" s="10">
        <v>0.6</v>
      </c>
      <c r="F168" s="9">
        <v>1.0</v>
      </c>
      <c r="G168" s="9">
        <v>1.0</v>
      </c>
      <c r="H168" s="9">
        <v>0.0</v>
      </c>
      <c r="I168" s="9">
        <v>0.0</v>
      </c>
      <c r="J168" s="17">
        <v>-2693.0</v>
      </c>
      <c r="K168" s="18">
        <v>-2695.0</v>
      </c>
      <c r="L168" s="17">
        <v>-2693.0</v>
      </c>
      <c r="M168" s="18">
        <v>-2693.0</v>
      </c>
      <c r="N168" s="18">
        <v>0.0</v>
      </c>
      <c r="O168" s="18">
        <v>459.243</v>
      </c>
      <c r="P168" s="4"/>
    </row>
    <row r="169">
      <c r="A169" s="8" t="s">
        <v>174</v>
      </c>
      <c r="B169" s="9">
        <v>40.0</v>
      </c>
      <c r="C169" s="9" t="s">
        <v>8</v>
      </c>
      <c r="D169" s="9">
        <v>75.0</v>
      </c>
      <c r="E169" s="10">
        <v>0.6</v>
      </c>
      <c r="F169" s="9">
        <v>2.0</v>
      </c>
      <c r="G169" s="9">
        <v>1.0</v>
      </c>
      <c r="H169" s="9">
        <v>0.0</v>
      </c>
      <c r="I169" s="9">
        <v>0.0</v>
      </c>
      <c r="J169" s="17">
        <v>-2630.0</v>
      </c>
      <c r="K169" s="18">
        <v>-2630.0</v>
      </c>
      <c r="L169" s="17">
        <v>-2630.0</v>
      </c>
      <c r="M169" s="18">
        <v>-2630.0</v>
      </c>
      <c r="N169" s="18">
        <v>0.0</v>
      </c>
      <c r="O169" s="18">
        <v>309.286</v>
      </c>
      <c r="P169" s="4"/>
    </row>
    <row r="170">
      <c r="A170" s="8" t="s">
        <v>175</v>
      </c>
      <c r="B170" s="9">
        <v>40.0</v>
      </c>
      <c r="C170" s="9" t="s">
        <v>8</v>
      </c>
      <c r="D170" s="9">
        <v>75.0</v>
      </c>
      <c r="E170" s="10">
        <v>0.6</v>
      </c>
      <c r="F170" s="9">
        <v>3.0</v>
      </c>
      <c r="G170" s="9">
        <v>1.0</v>
      </c>
      <c r="H170" s="9">
        <v>0.0</v>
      </c>
      <c r="I170" s="9">
        <v>0.0</v>
      </c>
      <c r="J170" s="17">
        <v>-2704.0</v>
      </c>
      <c r="K170" s="18">
        <v>-2704.0</v>
      </c>
      <c r="L170" s="17">
        <v>-2704.0</v>
      </c>
      <c r="M170" s="18">
        <v>-2704.0</v>
      </c>
      <c r="N170" s="18">
        <v>0.0</v>
      </c>
      <c r="O170" s="18">
        <v>162.044</v>
      </c>
      <c r="P170" s="4"/>
    </row>
    <row r="171">
      <c r="A171" s="8" t="s">
        <v>176</v>
      </c>
      <c r="B171" s="9">
        <v>40.0</v>
      </c>
      <c r="C171" s="9" t="s">
        <v>8</v>
      </c>
      <c r="D171" s="9">
        <v>75.0</v>
      </c>
      <c r="E171" s="10">
        <v>0.6</v>
      </c>
      <c r="F171" s="9">
        <v>4.0</v>
      </c>
      <c r="G171" s="9">
        <v>1.0</v>
      </c>
      <c r="H171" s="9">
        <v>0.0</v>
      </c>
      <c r="I171" s="9">
        <v>0.0</v>
      </c>
      <c r="J171" s="17">
        <v>-2662.0</v>
      </c>
      <c r="K171" s="18">
        <v>-2678.01</v>
      </c>
      <c r="L171" s="17">
        <v>-2662.0</v>
      </c>
      <c r="M171" s="18">
        <v>-2662.0</v>
      </c>
      <c r="N171" s="18">
        <v>0.0</v>
      </c>
      <c r="O171" s="18">
        <v>1026.9</v>
      </c>
      <c r="P171" s="4"/>
    </row>
    <row r="172">
      <c r="A172" s="8" t="s">
        <v>177</v>
      </c>
      <c r="B172" s="9">
        <v>40.0</v>
      </c>
      <c r="C172" s="9" t="s">
        <v>8</v>
      </c>
      <c r="D172" s="9">
        <v>75.0</v>
      </c>
      <c r="E172" s="10">
        <v>0.6</v>
      </c>
      <c r="F172" s="9">
        <v>5.0</v>
      </c>
      <c r="G172" s="9">
        <v>1.0</v>
      </c>
      <c r="H172" s="9">
        <v>0.0</v>
      </c>
      <c r="I172" s="9">
        <v>0.0</v>
      </c>
      <c r="J172" s="17">
        <v>-2997.0</v>
      </c>
      <c r="K172" s="18">
        <v>-3001.67</v>
      </c>
      <c r="L172" s="17">
        <v>-2997.0</v>
      </c>
      <c r="M172" s="18">
        <v>-2997.0</v>
      </c>
      <c r="N172" s="18">
        <v>0.0</v>
      </c>
      <c r="O172" s="18">
        <v>571.441</v>
      </c>
      <c r="P172" s="4"/>
    </row>
    <row r="173">
      <c r="A173" s="8" t="s">
        <v>178</v>
      </c>
      <c r="B173" s="9">
        <v>40.0</v>
      </c>
      <c r="C173" s="9" t="s">
        <v>8</v>
      </c>
      <c r="D173" s="9">
        <v>75.0</v>
      </c>
      <c r="E173" s="10">
        <v>1.0</v>
      </c>
      <c r="F173" s="9">
        <v>1.0</v>
      </c>
      <c r="G173" s="9">
        <v>1.0</v>
      </c>
      <c r="H173" s="9">
        <v>0.0</v>
      </c>
      <c r="I173" s="9">
        <v>0.0</v>
      </c>
      <c r="J173" s="17">
        <v>-2288.0</v>
      </c>
      <c r="K173" s="18">
        <v>-2377.19</v>
      </c>
      <c r="L173" s="17">
        <v>-2350.0</v>
      </c>
      <c r="M173" s="18">
        <v>-2350.0</v>
      </c>
      <c r="N173" s="18">
        <v>0.0</v>
      </c>
      <c r="O173" s="18">
        <v>217.475</v>
      </c>
      <c r="P173" s="4"/>
    </row>
    <row r="174">
      <c r="A174" s="8" t="s">
        <v>179</v>
      </c>
      <c r="B174" s="9">
        <v>40.0</v>
      </c>
      <c r="C174" s="9" t="s">
        <v>8</v>
      </c>
      <c r="D174" s="9">
        <v>75.0</v>
      </c>
      <c r="E174" s="10">
        <v>1.0</v>
      </c>
      <c r="F174" s="9">
        <v>2.0</v>
      </c>
      <c r="G174" s="9">
        <v>1.0</v>
      </c>
      <c r="H174" s="9">
        <v>0.0</v>
      </c>
      <c r="I174" s="9">
        <v>0.0</v>
      </c>
      <c r="J174" s="17">
        <v>-2340.0</v>
      </c>
      <c r="K174" s="18">
        <v>-2370.5</v>
      </c>
      <c r="L174" s="17">
        <v>-2362.0</v>
      </c>
      <c r="M174" s="18">
        <v>-2362.0</v>
      </c>
      <c r="N174" s="18">
        <v>0.0</v>
      </c>
      <c r="O174" s="18">
        <v>88.575</v>
      </c>
      <c r="P174" s="4"/>
    </row>
    <row r="175">
      <c r="A175" s="8" t="s">
        <v>180</v>
      </c>
      <c r="B175" s="9">
        <v>40.0</v>
      </c>
      <c r="C175" s="9" t="s">
        <v>8</v>
      </c>
      <c r="D175" s="9">
        <v>75.0</v>
      </c>
      <c r="E175" s="10">
        <v>1.0</v>
      </c>
      <c r="F175" s="9">
        <v>3.0</v>
      </c>
      <c r="G175" s="9">
        <v>1.0</v>
      </c>
      <c r="H175" s="9">
        <v>0.0</v>
      </c>
      <c r="I175" s="9">
        <v>0.0</v>
      </c>
      <c r="J175" s="17">
        <v>-2380.0</v>
      </c>
      <c r="K175" s="18">
        <v>-2448.71</v>
      </c>
      <c r="L175" s="17">
        <v>-2391.0</v>
      </c>
      <c r="M175" s="18">
        <v>-2391.0</v>
      </c>
      <c r="N175" s="18">
        <v>0.0</v>
      </c>
      <c r="O175" s="18">
        <v>283.093</v>
      </c>
      <c r="P175" s="4"/>
    </row>
    <row r="176">
      <c r="A176" s="8" t="s">
        <v>181</v>
      </c>
      <c r="B176" s="9">
        <v>40.0</v>
      </c>
      <c r="C176" s="9" t="s">
        <v>8</v>
      </c>
      <c r="D176" s="9">
        <v>75.0</v>
      </c>
      <c r="E176" s="10">
        <v>1.0</v>
      </c>
      <c r="F176" s="9">
        <v>4.0</v>
      </c>
      <c r="G176" s="9">
        <v>1.0</v>
      </c>
      <c r="H176" s="9">
        <v>0.0</v>
      </c>
      <c r="I176" s="9">
        <v>0.0</v>
      </c>
      <c r="J176" s="17">
        <v>-2325.0</v>
      </c>
      <c r="K176" s="18">
        <v>-2408.5</v>
      </c>
      <c r="L176" s="17">
        <v>-2382.0</v>
      </c>
      <c r="M176" s="18">
        <v>-2382.0</v>
      </c>
      <c r="N176" s="18">
        <v>0.0</v>
      </c>
      <c r="O176" s="18">
        <v>223.41</v>
      </c>
      <c r="P176" s="4"/>
    </row>
    <row r="177">
      <c r="A177" s="8" t="s">
        <v>182</v>
      </c>
      <c r="B177" s="9">
        <v>40.0</v>
      </c>
      <c r="C177" s="9" t="s">
        <v>8</v>
      </c>
      <c r="D177" s="9">
        <v>75.0</v>
      </c>
      <c r="E177" s="10">
        <v>1.0</v>
      </c>
      <c r="F177" s="9">
        <v>5.0</v>
      </c>
      <c r="G177" s="9">
        <v>1.0</v>
      </c>
      <c r="H177" s="9">
        <v>0.0</v>
      </c>
      <c r="I177" s="9">
        <v>0.0</v>
      </c>
      <c r="J177" s="17">
        <v>-2323.0</v>
      </c>
      <c r="K177" s="18">
        <v>-2471.4</v>
      </c>
      <c r="L177" s="17">
        <v>-2402.0</v>
      </c>
      <c r="M177" s="18">
        <v>-2402.0</v>
      </c>
      <c r="N177" s="18">
        <v>0.0</v>
      </c>
      <c r="O177" s="18">
        <v>901.738</v>
      </c>
      <c r="P177" s="4"/>
    </row>
    <row r="178">
      <c r="A178" s="8" t="s">
        <v>183</v>
      </c>
      <c r="B178" s="9">
        <v>40.0</v>
      </c>
      <c r="C178" s="9" t="s">
        <v>8</v>
      </c>
      <c r="D178" s="9">
        <v>75.0</v>
      </c>
      <c r="E178" s="10">
        <v>2.0</v>
      </c>
      <c r="F178" s="9">
        <v>1.0</v>
      </c>
      <c r="G178" s="9">
        <v>1.0</v>
      </c>
      <c r="H178" s="9">
        <v>0.0</v>
      </c>
      <c r="I178" s="9">
        <v>0.0</v>
      </c>
      <c r="J178" s="17">
        <v>-939.0</v>
      </c>
      <c r="K178" s="18">
        <v>-1006.46</v>
      </c>
      <c r="L178" s="17">
        <v>-969.0</v>
      </c>
      <c r="M178" s="18">
        <v>-969.0</v>
      </c>
      <c r="N178" s="18">
        <v>0.0</v>
      </c>
      <c r="O178" s="18">
        <v>49.981</v>
      </c>
      <c r="P178" s="4"/>
    </row>
    <row r="179">
      <c r="A179" s="8" t="s">
        <v>184</v>
      </c>
      <c r="B179" s="9">
        <v>40.0</v>
      </c>
      <c r="C179" s="9" t="s">
        <v>8</v>
      </c>
      <c r="D179" s="9">
        <v>75.0</v>
      </c>
      <c r="E179" s="10">
        <v>2.0</v>
      </c>
      <c r="F179" s="9">
        <v>2.0</v>
      </c>
      <c r="G179" s="9">
        <v>1.0</v>
      </c>
      <c r="H179" s="9">
        <v>0.0</v>
      </c>
      <c r="I179" s="9">
        <v>0.0</v>
      </c>
      <c r="J179" s="17">
        <v>-1184.0</v>
      </c>
      <c r="K179" s="18">
        <v>-1224.97</v>
      </c>
      <c r="L179" s="17">
        <v>-1187.0</v>
      </c>
      <c r="M179" s="18">
        <v>-1187.0</v>
      </c>
      <c r="N179" s="18">
        <v>0.0</v>
      </c>
      <c r="O179" s="18">
        <v>15.242</v>
      </c>
      <c r="P179" s="4"/>
    </row>
    <row r="180">
      <c r="A180" s="8" t="s">
        <v>185</v>
      </c>
      <c r="B180" s="9">
        <v>40.0</v>
      </c>
      <c r="C180" s="9" t="s">
        <v>8</v>
      </c>
      <c r="D180" s="9">
        <v>75.0</v>
      </c>
      <c r="E180" s="10">
        <v>2.0</v>
      </c>
      <c r="F180" s="9">
        <v>3.0</v>
      </c>
      <c r="G180" s="9">
        <v>1.0</v>
      </c>
      <c r="H180" s="9">
        <v>0.0</v>
      </c>
      <c r="I180" s="9">
        <v>0.0</v>
      </c>
      <c r="J180" s="17">
        <v>-1607.0</v>
      </c>
      <c r="K180" s="18">
        <v>-1607.0</v>
      </c>
      <c r="L180" s="17">
        <v>-1607.0</v>
      </c>
      <c r="M180" s="18">
        <v>-1607.0</v>
      </c>
      <c r="N180" s="18">
        <v>0.0</v>
      </c>
      <c r="O180" s="18">
        <v>0.669</v>
      </c>
      <c r="P180" s="4"/>
    </row>
    <row r="181">
      <c r="A181" s="8" t="s">
        <v>186</v>
      </c>
      <c r="B181" s="9">
        <v>40.0</v>
      </c>
      <c r="C181" s="9" t="s">
        <v>8</v>
      </c>
      <c r="D181" s="9">
        <v>75.0</v>
      </c>
      <c r="E181" s="10">
        <v>2.0</v>
      </c>
      <c r="F181" s="9">
        <v>4.0</v>
      </c>
      <c r="G181" s="9">
        <v>1.0</v>
      </c>
      <c r="H181" s="9">
        <v>0.0</v>
      </c>
      <c r="I181" s="9">
        <v>0.0</v>
      </c>
      <c r="J181" s="17">
        <v>-1095.0</v>
      </c>
      <c r="K181" s="18">
        <v>-1172.02</v>
      </c>
      <c r="L181" s="17">
        <v>-1134.0</v>
      </c>
      <c r="M181" s="18">
        <v>-1134.0</v>
      </c>
      <c r="N181" s="18">
        <v>0.0</v>
      </c>
      <c r="O181" s="18">
        <v>31.961</v>
      </c>
      <c r="P181" s="4"/>
    </row>
    <row r="182">
      <c r="A182" s="8" t="s">
        <v>187</v>
      </c>
      <c r="B182" s="9">
        <v>40.0</v>
      </c>
      <c r="C182" s="9" t="s">
        <v>8</v>
      </c>
      <c r="D182" s="9">
        <v>75.0</v>
      </c>
      <c r="E182" s="10">
        <v>2.0</v>
      </c>
      <c r="F182" s="9">
        <v>5.0</v>
      </c>
      <c r="G182" s="9">
        <v>1.0</v>
      </c>
      <c r="H182" s="9">
        <v>0.0</v>
      </c>
      <c r="I182" s="9">
        <v>0.0</v>
      </c>
      <c r="J182" s="17">
        <v>396.0</v>
      </c>
      <c r="K182" s="18">
        <v>278.513</v>
      </c>
      <c r="L182" s="17">
        <v>385.0</v>
      </c>
      <c r="M182" s="18">
        <v>385.0</v>
      </c>
      <c r="N182" s="18">
        <v>0.0</v>
      </c>
      <c r="O182" s="18">
        <v>1193.63</v>
      </c>
      <c r="P182" s="4"/>
    </row>
    <row r="183">
      <c r="A183" s="8" t="s">
        <v>188</v>
      </c>
      <c r="B183" s="9">
        <v>45.0</v>
      </c>
      <c r="C183" s="9" t="s">
        <v>8</v>
      </c>
      <c r="D183" s="9">
        <v>25.0</v>
      </c>
      <c r="E183" s="10">
        <v>0.6</v>
      </c>
      <c r="F183" s="9">
        <v>1.0</v>
      </c>
      <c r="G183" s="9">
        <v>1.0</v>
      </c>
      <c r="H183" s="9">
        <v>0.0</v>
      </c>
      <c r="I183" s="9">
        <v>0.0</v>
      </c>
      <c r="J183" s="17">
        <v>-1858.0</v>
      </c>
      <c r="K183" s="18">
        <v>-1858.0</v>
      </c>
      <c r="L183" s="17">
        <v>-1858.0</v>
      </c>
      <c r="M183" s="18">
        <v>-1858.0</v>
      </c>
      <c r="N183" s="18">
        <v>0.0</v>
      </c>
      <c r="O183" s="18">
        <v>291.805</v>
      </c>
      <c r="P183" s="4"/>
    </row>
    <row r="184">
      <c r="A184" s="8" t="s">
        <v>189</v>
      </c>
      <c r="B184" s="9">
        <v>45.0</v>
      </c>
      <c r="C184" s="9" t="s">
        <v>8</v>
      </c>
      <c r="D184" s="9">
        <v>25.0</v>
      </c>
      <c r="E184" s="10">
        <v>0.6</v>
      </c>
      <c r="F184" s="9">
        <v>2.0</v>
      </c>
      <c r="G184" s="9">
        <v>1.0</v>
      </c>
      <c r="H184" s="9">
        <v>0.0</v>
      </c>
      <c r="I184" s="9">
        <v>0.0</v>
      </c>
      <c r="J184" s="17">
        <v>-1728.0</v>
      </c>
      <c r="K184" s="18">
        <v>-1728.0</v>
      </c>
      <c r="L184" s="17">
        <v>-1728.0</v>
      </c>
      <c r="M184" s="18">
        <v>-1728.0</v>
      </c>
      <c r="N184" s="18">
        <v>0.0</v>
      </c>
      <c r="O184" s="18">
        <v>93.018</v>
      </c>
      <c r="P184" s="4"/>
    </row>
    <row r="185">
      <c r="A185" s="8" t="s">
        <v>190</v>
      </c>
      <c r="B185" s="9">
        <v>45.0</v>
      </c>
      <c r="C185" s="9" t="s">
        <v>8</v>
      </c>
      <c r="D185" s="9">
        <v>25.0</v>
      </c>
      <c r="E185" s="10">
        <v>0.6</v>
      </c>
      <c r="F185" s="9">
        <v>3.0</v>
      </c>
      <c r="G185" s="9">
        <v>1.0</v>
      </c>
      <c r="H185" s="9">
        <v>0.0</v>
      </c>
      <c r="I185" s="9">
        <v>0.0</v>
      </c>
      <c r="J185" s="17">
        <v>-1737.0</v>
      </c>
      <c r="K185" s="18">
        <v>-1762.25</v>
      </c>
      <c r="L185" s="17">
        <v>-1756.0</v>
      </c>
      <c r="M185" s="18">
        <v>-1756.0</v>
      </c>
      <c r="N185" s="18">
        <v>0.0</v>
      </c>
      <c r="O185" s="18">
        <v>200.27</v>
      </c>
      <c r="P185" s="4"/>
    </row>
    <row r="186">
      <c r="A186" s="8" t="s">
        <v>191</v>
      </c>
      <c r="B186" s="9">
        <v>45.0</v>
      </c>
      <c r="C186" s="9" t="s">
        <v>8</v>
      </c>
      <c r="D186" s="9">
        <v>25.0</v>
      </c>
      <c r="E186" s="10">
        <v>0.6</v>
      </c>
      <c r="F186" s="9">
        <v>4.0</v>
      </c>
      <c r="G186" s="9">
        <v>1.0</v>
      </c>
      <c r="H186" s="9">
        <v>0.0</v>
      </c>
      <c r="I186" s="9">
        <v>0.0</v>
      </c>
      <c r="J186" s="17">
        <v>-1944.0</v>
      </c>
      <c r="K186" s="18">
        <v>-1944.0</v>
      </c>
      <c r="L186" s="17">
        <v>-1944.0</v>
      </c>
      <c r="M186" s="18">
        <v>-1944.0</v>
      </c>
      <c r="N186" s="18">
        <v>0.0</v>
      </c>
      <c r="O186" s="18">
        <v>145.038</v>
      </c>
      <c r="P186" s="4"/>
    </row>
    <row r="187">
      <c r="A187" s="8" t="s">
        <v>192</v>
      </c>
      <c r="B187" s="9">
        <v>45.0</v>
      </c>
      <c r="C187" s="9" t="s">
        <v>8</v>
      </c>
      <c r="D187" s="9">
        <v>25.0</v>
      </c>
      <c r="E187" s="10">
        <v>0.6</v>
      </c>
      <c r="F187" s="9">
        <v>5.0</v>
      </c>
      <c r="G187" s="9">
        <v>1.0</v>
      </c>
      <c r="H187" s="9">
        <v>0.0</v>
      </c>
      <c r="I187" s="9">
        <v>0.0</v>
      </c>
      <c r="J187" s="17">
        <v>-1752.0</v>
      </c>
      <c r="K187" s="18">
        <v>-1756.0</v>
      </c>
      <c r="L187" s="17">
        <v>-1753.0</v>
      </c>
      <c r="M187" s="18">
        <v>-1753.0</v>
      </c>
      <c r="N187" s="18">
        <v>0.0</v>
      </c>
      <c r="O187" s="18">
        <v>381.848</v>
      </c>
      <c r="P187" s="4"/>
    </row>
    <row r="188">
      <c r="A188" s="8" t="s">
        <v>193</v>
      </c>
      <c r="B188" s="9">
        <v>45.0</v>
      </c>
      <c r="C188" s="9" t="s">
        <v>8</v>
      </c>
      <c r="D188" s="9">
        <v>25.0</v>
      </c>
      <c r="E188" s="10">
        <v>1.0</v>
      </c>
      <c r="F188" s="9">
        <v>1.0</v>
      </c>
      <c r="G188" s="9">
        <v>1.0</v>
      </c>
      <c r="H188" s="9">
        <v>0.0</v>
      </c>
      <c r="I188" s="9">
        <v>0.0</v>
      </c>
      <c r="J188" s="17">
        <v>-1692.0</v>
      </c>
      <c r="K188" s="18">
        <v>-1711.64</v>
      </c>
      <c r="L188" s="17">
        <v>-1702.0</v>
      </c>
      <c r="M188" s="18">
        <v>-1702.0</v>
      </c>
      <c r="N188" s="18">
        <v>0.0</v>
      </c>
      <c r="O188" s="18">
        <v>148.925</v>
      </c>
      <c r="P188" s="4"/>
    </row>
    <row r="189">
      <c r="A189" s="8" t="s">
        <v>194</v>
      </c>
      <c r="B189" s="9">
        <v>45.0</v>
      </c>
      <c r="C189" s="9" t="s">
        <v>8</v>
      </c>
      <c r="D189" s="9">
        <v>25.0</v>
      </c>
      <c r="E189" s="10">
        <v>1.0</v>
      </c>
      <c r="F189" s="9">
        <v>2.0</v>
      </c>
      <c r="G189" s="9">
        <v>1.0</v>
      </c>
      <c r="H189" s="9">
        <v>0.0</v>
      </c>
      <c r="I189" s="9">
        <v>0.0</v>
      </c>
      <c r="J189" s="17">
        <v>-1515.0</v>
      </c>
      <c r="K189" s="18">
        <v>-1586.0</v>
      </c>
      <c r="L189" s="17">
        <v>-1560.0</v>
      </c>
      <c r="M189" s="18">
        <v>-1560.0</v>
      </c>
      <c r="N189" s="18">
        <v>0.0</v>
      </c>
      <c r="O189" s="18">
        <v>180.151</v>
      </c>
      <c r="P189" s="4"/>
    </row>
    <row r="190">
      <c r="A190" s="8" t="s">
        <v>195</v>
      </c>
      <c r="B190" s="9">
        <v>45.0</v>
      </c>
      <c r="C190" s="9" t="s">
        <v>8</v>
      </c>
      <c r="D190" s="9">
        <v>25.0</v>
      </c>
      <c r="E190" s="10">
        <v>1.0</v>
      </c>
      <c r="F190" s="9">
        <v>3.0</v>
      </c>
      <c r="G190" s="9">
        <v>1.0</v>
      </c>
      <c r="H190" s="9">
        <v>0.0</v>
      </c>
      <c r="I190" s="9">
        <v>0.0</v>
      </c>
      <c r="J190" s="17">
        <v>-1620.0</v>
      </c>
      <c r="K190" s="18">
        <v>-1623.0</v>
      </c>
      <c r="L190" s="17">
        <v>-1620.0</v>
      </c>
      <c r="M190" s="18">
        <v>-1620.0</v>
      </c>
      <c r="N190" s="18">
        <v>0.0</v>
      </c>
      <c r="O190" s="18">
        <v>59.012</v>
      </c>
      <c r="P190" s="4"/>
    </row>
    <row r="191">
      <c r="A191" s="8" t="s">
        <v>196</v>
      </c>
      <c r="B191" s="9">
        <v>45.0</v>
      </c>
      <c r="C191" s="9" t="s">
        <v>8</v>
      </c>
      <c r="D191" s="9">
        <v>25.0</v>
      </c>
      <c r="E191" s="10">
        <v>1.0</v>
      </c>
      <c r="F191" s="9">
        <v>4.0</v>
      </c>
      <c r="G191" s="9">
        <v>1.0</v>
      </c>
      <c r="H191" s="9">
        <v>0.0</v>
      </c>
      <c r="I191" s="9">
        <v>0.0</v>
      </c>
      <c r="J191" s="17">
        <v>-1743.0</v>
      </c>
      <c r="K191" s="18">
        <v>-1782.45</v>
      </c>
      <c r="L191" s="17">
        <v>-1758.0</v>
      </c>
      <c r="M191" s="18">
        <v>-1758.0</v>
      </c>
      <c r="N191" s="18">
        <v>0.0</v>
      </c>
      <c r="O191" s="18">
        <v>585.505</v>
      </c>
      <c r="P191" s="4"/>
    </row>
    <row r="192">
      <c r="A192" s="8" t="s">
        <v>197</v>
      </c>
      <c r="B192" s="9">
        <v>45.0</v>
      </c>
      <c r="C192" s="9" t="s">
        <v>8</v>
      </c>
      <c r="D192" s="9">
        <v>25.0</v>
      </c>
      <c r="E192" s="10">
        <v>1.0</v>
      </c>
      <c r="F192" s="9">
        <v>5.0</v>
      </c>
      <c r="G192" s="9">
        <v>1.0</v>
      </c>
      <c r="H192" s="9">
        <v>0.0</v>
      </c>
      <c r="I192" s="9">
        <v>0.0</v>
      </c>
      <c r="J192" s="17">
        <v>-1656.0</v>
      </c>
      <c r="K192" s="18">
        <v>-1656.0</v>
      </c>
      <c r="L192" s="17">
        <v>-1656.0</v>
      </c>
      <c r="M192" s="18">
        <v>-1656.0</v>
      </c>
      <c r="N192" s="18">
        <v>0.0</v>
      </c>
      <c r="O192" s="18">
        <v>36.712</v>
      </c>
      <c r="P192" s="4"/>
    </row>
    <row r="193">
      <c r="A193" s="8" t="s">
        <v>198</v>
      </c>
      <c r="B193" s="9">
        <v>45.0</v>
      </c>
      <c r="C193" s="9" t="s">
        <v>8</v>
      </c>
      <c r="D193" s="9">
        <v>25.0</v>
      </c>
      <c r="E193" s="10">
        <v>2.0</v>
      </c>
      <c r="F193" s="9">
        <v>1.0</v>
      </c>
      <c r="G193" s="9">
        <v>1.0</v>
      </c>
      <c r="H193" s="9">
        <v>0.0</v>
      </c>
      <c r="I193" s="9">
        <v>0.0</v>
      </c>
      <c r="J193" s="17">
        <v>-1196.0</v>
      </c>
      <c r="K193" s="18">
        <v>-1204.67</v>
      </c>
      <c r="L193" s="17">
        <v>-1197.0</v>
      </c>
      <c r="M193" s="18">
        <v>-1197.0</v>
      </c>
      <c r="N193" s="18">
        <v>0.0</v>
      </c>
      <c r="O193" s="18">
        <v>8.974</v>
      </c>
      <c r="P193" s="4"/>
    </row>
    <row r="194">
      <c r="A194" s="8" t="s">
        <v>199</v>
      </c>
      <c r="B194" s="9">
        <v>45.0</v>
      </c>
      <c r="C194" s="9" t="s">
        <v>8</v>
      </c>
      <c r="D194" s="9">
        <v>25.0</v>
      </c>
      <c r="E194" s="10">
        <v>2.0</v>
      </c>
      <c r="F194" s="9">
        <v>2.0</v>
      </c>
      <c r="G194" s="9">
        <v>1.0</v>
      </c>
      <c r="H194" s="9">
        <v>0.0</v>
      </c>
      <c r="I194" s="9">
        <v>0.0</v>
      </c>
      <c r="J194" s="17">
        <v>-945.0</v>
      </c>
      <c r="K194" s="18">
        <v>-960.5</v>
      </c>
      <c r="L194" s="17">
        <v>-945.0</v>
      </c>
      <c r="M194" s="18">
        <v>-945.0</v>
      </c>
      <c r="N194" s="18">
        <v>0.0</v>
      </c>
      <c r="O194" s="18">
        <v>9.898</v>
      </c>
      <c r="P194" s="4"/>
    </row>
    <row r="195">
      <c r="A195" s="8" t="s">
        <v>200</v>
      </c>
      <c r="B195" s="9">
        <v>45.0</v>
      </c>
      <c r="C195" s="9" t="s">
        <v>8</v>
      </c>
      <c r="D195" s="9">
        <v>25.0</v>
      </c>
      <c r="E195" s="10">
        <v>2.0</v>
      </c>
      <c r="F195" s="9">
        <v>3.0</v>
      </c>
      <c r="G195" s="9">
        <v>1.0</v>
      </c>
      <c r="H195" s="9">
        <v>0.0</v>
      </c>
      <c r="I195" s="9">
        <v>0.0</v>
      </c>
      <c r="J195" s="17">
        <v>-1129.0</v>
      </c>
      <c r="K195" s="18">
        <v>-1150.43</v>
      </c>
      <c r="L195" s="17">
        <v>-1139.0</v>
      </c>
      <c r="M195" s="18">
        <v>-1139.0</v>
      </c>
      <c r="N195" s="18">
        <v>0.0</v>
      </c>
      <c r="O195" s="18">
        <v>7.508</v>
      </c>
      <c r="P195" s="4"/>
    </row>
    <row r="196">
      <c r="A196" s="8" t="s">
        <v>201</v>
      </c>
      <c r="B196" s="9">
        <v>45.0</v>
      </c>
      <c r="C196" s="9" t="s">
        <v>8</v>
      </c>
      <c r="D196" s="9">
        <v>25.0</v>
      </c>
      <c r="E196" s="10">
        <v>2.0</v>
      </c>
      <c r="F196" s="9">
        <v>4.0</v>
      </c>
      <c r="G196" s="9">
        <v>1.0</v>
      </c>
      <c r="H196" s="9">
        <v>0.0</v>
      </c>
      <c r="I196" s="9">
        <v>0.0</v>
      </c>
      <c r="J196" s="17">
        <v>-847.0</v>
      </c>
      <c r="K196" s="18">
        <v>-878.541</v>
      </c>
      <c r="L196" s="17">
        <v>-857.0</v>
      </c>
      <c r="M196" s="18">
        <v>-857.0</v>
      </c>
      <c r="N196" s="18">
        <v>0.0</v>
      </c>
      <c r="O196" s="18">
        <v>27.997</v>
      </c>
      <c r="P196" s="4"/>
    </row>
    <row r="197">
      <c r="A197" s="8" t="s">
        <v>202</v>
      </c>
      <c r="B197" s="9">
        <v>45.0</v>
      </c>
      <c r="C197" s="9" t="s">
        <v>8</v>
      </c>
      <c r="D197" s="9">
        <v>25.0</v>
      </c>
      <c r="E197" s="10">
        <v>2.0</v>
      </c>
      <c r="F197" s="9">
        <v>5.0</v>
      </c>
      <c r="G197" s="9">
        <v>1.0</v>
      </c>
      <c r="H197" s="9">
        <v>0.0</v>
      </c>
      <c r="I197" s="9">
        <v>0.0</v>
      </c>
      <c r="J197" s="17">
        <v>-1345.0</v>
      </c>
      <c r="K197" s="18">
        <v>-1345.67</v>
      </c>
      <c r="L197" s="17">
        <v>-1345.0</v>
      </c>
      <c r="M197" s="18">
        <v>-1345.0</v>
      </c>
      <c r="N197" s="18">
        <v>0.0</v>
      </c>
      <c r="O197" s="18">
        <v>2.735</v>
      </c>
      <c r="P197" s="4"/>
    </row>
    <row r="198">
      <c r="A198" s="8" t="s">
        <v>203</v>
      </c>
      <c r="B198" s="9">
        <v>45.0</v>
      </c>
      <c r="C198" s="9" t="s">
        <v>8</v>
      </c>
      <c r="D198" s="9">
        <v>50.0</v>
      </c>
      <c r="E198" s="10">
        <v>0.6</v>
      </c>
      <c r="F198" s="9">
        <v>1.0</v>
      </c>
      <c r="G198" s="9">
        <v>0.0</v>
      </c>
      <c r="H198" s="9">
        <v>1.0</v>
      </c>
      <c r="I198" s="9">
        <v>0.0</v>
      </c>
      <c r="J198" s="17">
        <v>-2572.0</v>
      </c>
      <c r="K198" s="18">
        <v>-2644.03</v>
      </c>
      <c r="L198" s="17">
        <v>-2608.0</v>
      </c>
      <c r="M198" s="18">
        <v>-2628.73</v>
      </c>
      <c r="N198" s="18">
        <v>0.79499</v>
      </c>
      <c r="O198" s="18">
        <v>3600.0</v>
      </c>
      <c r="P198" s="4"/>
    </row>
    <row r="199">
      <c r="A199" s="8" t="s">
        <v>204</v>
      </c>
      <c r="B199" s="9">
        <v>45.0</v>
      </c>
      <c r="C199" s="9" t="s">
        <v>8</v>
      </c>
      <c r="D199" s="9">
        <v>50.0</v>
      </c>
      <c r="E199" s="10">
        <v>0.6</v>
      </c>
      <c r="F199" s="9">
        <v>2.0</v>
      </c>
      <c r="G199" s="9">
        <v>1.0</v>
      </c>
      <c r="H199" s="9">
        <v>0.0</v>
      </c>
      <c r="I199" s="9">
        <v>0.0</v>
      </c>
      <c r="J199" s="17">
        <v>-2743.0</v>
      </c>
      <c r="K199" s="18">
        <v>-2743.67</v>
      </c>
      <c r="L199" s="17">
        <v>-2743.0</v>
      </c>
      <c r="M199" s="18">
        <v>-2743.0</v>
      </c>
      <c r="N199" s="18">
        <v>0.0</v>
      </c>
      <c r="O199" s="18">
        <v>332.392</v>
      </c>
      <c r="P199" s="4"/>
    </row>
    <row r="200">
      <c r="A200" s="8" t="s">
        <v>205</v>
      </c>
      <c r="B200" s="9">
        <v>45.0</v>
      </c>
      <c r="C200" s="9" t="s">
        <v>8</v>
      </c>
      <c r="D200" s="9">
        <v>50.0</v>
      </c>
      <c r="E200" s="10">
        <v>0.6</v>
      </c>
      <c r="F200" s="9">
        <v>3.0</v>
      </c>
      <c r="G200" s="9">
        <v>1.0</v>
      </c>
      <c r="H200" s="9">
        <v>0.0</v>
      </c>
      <c r="I200" s="9">
        <v>0.0</v>
      </c>
      <c r="J200" s="17">
        <v>-2767.0</v>
      </c>
      <c r="K200" s="18">
        <v>-2767.0</v>
      </c>
      <c r="L200" s="17">
        <v>-2767.0</v>
      </c>
      <c r="M200" s="18">
        <v>-2767.0</v>
      </c>
      <c r="N200" s="18">
        <v>0.0</v>
      </c>
      <c r="O200" s="18">
        <v>316.531</v>
      </c>
      <c r="P200" s="4"/>
    </row>
    <row r="201">
      <c r="A201" s="8" t="s">
        <v>206</v>
      </c>
      <c r="B201" s="9">
        <v>45.0</v>
      </c>
      <c r="C201" s="9" t="s">
        <v>8</v>
      </c>
      <c r="D201" s="9">
        <v>50.0</v>
      </c>
      <c r="E201" s="10">
        <v>0.6</v>
      </c>
      <c r="F201" s="9">
        <v>4.0</v>
      </c>
      <c r="G201" s="9">
        <v>1.0</v>
      </c>
      <c r="H201" s="9">
        <v>0.0</v>
      </c>
      <c r="I201" s="9">
        <v>0.0</v>
      </c>
      <c r="J201" s="17">
        <v>-2462.0</v>
      </c>
      <c r="K201" s="18">
        <v>-2510.1</v>
      </c>
      <c r="L201" s="17">
        <v>-2497.0</v>
      </c>
      <c r="M201" s="18">
        <v>-2497.0</v>
      </c>
      <c r="N201" s="18">
        <v>0.0</v>
      </c>
      <c r="O201" s="18">
        <v>1577.39</v>
      </c>
      <c r="P201" s="4"/>
    </row>
    <row r="202">
      <c r="A202" s="8" t="s">
        <v>207</v>
      </c>
      <c r="B202" s="9">
        <v>45.0</v>
      </c>
      <c r="C202" s="9" t="s">
        <v>8</v>
      </c>
      <c r="D202" s="9">
        <v>50.0</v>
      </c>
      <c r="E202" s="10">
        <v>0.6</v>
      </c>
      <c r="F202" s="9">
        <v>5.0</v>
      </c>
      <c r="G202" s="9">
        <v>1.0</v>
      </c>
      <c r="H202" s="9">
        <v>0.0</v>
      </c>
      <c r="I202" s="9">
        <v>0.0</v>
      </c>
      <c r="J202" s="17">
        <v>-2783.0</v>
      </c>
      <c r="K202" s="18">
        <v>-2783.0</v>
      </c>
      <c r="L202" s="17">
        <v>-2783.0</v>
      </c>
      <c r="M202" s="18">
        <v>-2783.0</v>
      </c>
      <c r="N202" s="18">
        <v>0.0</v>
      </c>
      <c r="O202" s="18">
        <v>1423.69</v>
      </c>
      <c r="P202" s="4"/>
    </row>
    <row r="203">
      <c r="A203" s="8" t="s">
        <v>208</v>
      </c>
      <c r="B203" s="9">
        <v>45.0</v>
      </c>
      <c r="C203" s="9" t="s">
        <v>8</v>
      </c>
      <c r="D203" s="9">
        <v>50.0</v>
      </c>
      <c r="E203" s="10">
        <v>1.0</v>
      </c>
      <c r="F203" s="9">
        <v>1.0</v>
      </c>
      <c r="G203" s="9">
        <v>1.0</v>
      </c>
      <c r="H203" s="9">
        <v>0.0</v>
      </c>
      <c r="I203" s="9">
        <v>0.0</v>
      </c>
      <c r="J203" s="17">
        <v>-2491.0</v>
      </c>
      <c r="K203" s="18">
        <v>-2518.02</v>
      </c>
      <c r="L203" s="17">
        <v>-2496.0</v>
      </c>
      <c r="M203" s="18">
        <v>-2496.0</v>
      </c>
      <c r="N203" s="18">
        <v>0.0</v>
      </c>
      <c r="O203" s="18">
        <v>775.947</v>
      </c>
      <c r="P203" s="4"/>
    </row>
    <row r="204">
      <c r="A204" s="8" t="s">
        <v>209</v>
      </c>
      <c r="B204" s="9">
        <v>45.0</v>
      </c>
      <c r="C204" s="9" t="s">
        <v>8</v>
      </c>
      <c r="D204" s="9">
        <v>50.0</v>
      </c>
      <c r="E204" s="10">
        <v>1.0</v>
      </c>
      <c r="F204" s="9">
        <v>2.0</v>
      </c>
      <c r="G204" s="9">
        <v>1.0</v>
      </c>
      <c r="H204" s="9">
        <v>0.0</v>
      </c>
      <c r="I204" s="9">
        <v>0.0</v>
      </c>
      <c r="J204" s="17">
        <v>-2568.0</v>
      </c>
      <c r="K204" s="18">
        <v>-2582.0</v>
      </c>
      <c r="L204" s="17">
        <v>-2568.0</v>
      </c>
      <c r="M204" s="18">
        <v>-2568.0</v>
      </c>
      <c r="N204" s="18">
        <v>0.0</v>
      </c>
      <c r="O204" s="18">
        <v>264.857</v>
      </c>
      <c r="P204" s="4"/>
    </row>
    <row r="205">
      <c r="A205" s="8" t="s">
        <v>210</v>
      </c>
      <c r="B205" s="9">
        <v>45.0</v>
      </c>
      <c r="C205" s="9" t="s">
        <v>8</v>
      </c>
      <c r="D205" s="9">
        <v>50.0</v>
      </c>
      <c r="E205" s="10">
        <v>1.0</v>
      </c>
      <c r="F205" s="9">
        <v>3.0</v>
      </c>
      <c r="G205" s="9">
        <v>1.0</v>
      </c>
      <c r="H205" s="9">
        <v>0.0</v>
      </c>
      <c r="I205" s="9">
        <v>0.0</v>
      </c>
      <c r="J205" s="17">
        <v>-2438.0</v>
      </c>
      <c r="K205" s="18">
        <v>-2457.94</v>
      </c>
      <c r="L205" s="17">
        <v>-2438.0</v>
      </c>
      <c r="M205" s="18">
        <v>-2438.0</v>
      </c>
      <c r="N205" s="18">
        <v>0.0</v>
      </c>
      <c r="O205" s="18">
        <v>518.535</v>
      </c>
      <c r="P205" s="4"/>
    </row>
    <row r="206">
      <c r="A206" s="8" t="s">
        <v>211</v>
      </c>
      <c r="B206" s="9">
        <v>45.0</v>
      </c>
      <c r="C206" s="9" t="s">
        <v>8</v>
      </c>
      <c r="D206" s="9">
        <v>50.0</v>
      </c>
      <c r="E206" s="10">
        <v>1.0</v>
      </c>
      <c r="F206" s="9">
        <v>4.0</v>
      </c>
      <c r="G206" s="9">
        <v>1.0</v>
      </c>
      <c r="H206" s="9">
        <v>0.0</v>
      </c>
      <c r="I206" s="9">
        <v>0.0</v>
      </c>
      <c r="J206" s="17">
        <v>-2360.0</v>
      </c>
      <c r="K206" s="18">
        <v>-2360.0</v>
      </c>
      <c r="L206" s="17">
        <v>-2360.0</v>
      </c>
      <c r="M206" s="18">
        <v>-2360.0</v>
      </c>
      <c r="N206" s="18">
        <v>0.0</v>
      </c>
      <c r="O206" s="18">
        <v>63.894</v>
      </c>
      <c r="P206" s="4"/>
    </row>
    <row r="207">
      <c r="A207" s="8" t="s">
        <v>212</v>
      </c>
      <c r="B207" s="9">
        <v>45.0</v>
      </c>
      <c r="C207" s="9" t="s">
        <v>8</v>
      </c>
      <c r="D207" s="9">
        <v>50.0</v>
      </c>
      <c r="E207" s="10">
        <v>1.0</v>
      </c>
      <c r="F207" s="9">
        <v>5.0</v>
      </c>
      <c r="G207" s="9">
        <v>1.0</v>
      </c>
      <c r="H207" s="9">
        <v>0.0</v>
      </c>
      <c r="I207" s="9">
        <v>0.0</v>
      </c>
      <c r="J207" s="17">
        <v>-2388.0</v>
      </c>
      <c r="K207" s="18">
        <v>-2423.4</v>
      </c>
      <c r="L207" s="17">
        <v>-2388.0</v>
      </c>
      <c r="M207" s="18">
        <v>-2388.0</v>
      </c>
      <c r="N207" s="18">
        <v>0.0</v>
      </c>
      <c r="O207" s="18">
        <v>1363.32</v>
      </c>
      <c r="P207" s="4"/>
    </row>
    <row r="208">
      <c r="A208" s="8" t="s">
        <v>213</v>
      </c>
      <c r="B208" s="9">
        <v>45.0</v>
      </c>
      <c r="C208" s="9" t="s">
        <v>8</v>
      </c>
      <c r="D208" s="9">
        <v>50.0</v>
      </c>
      <c r="E208" s="10">
        <v>2.0</v>
      </c>
      <c r="F208" s="9">
        <v>1.0</v>
      </c>
      <c r="G208" s="9">
        <v>1.0</v>
      </c>
      <c r="H208" s="9">
        <v>0.0</v>
      </c>
      <c r="I208" s="9">
        <v>0.0</v>
      </c>
      <c r="J208" s="17">
        <v>-1758.0</v>
      </c>
      <c r="K208" s="18">
        <v>-1775.07</v>
      </c>
      <c r="L208" s="17">
        <v>-1758.0</v>
      </c>
      <c r="M208" s="18">
        <v>-1758.0</v>
      </c>
      <c r="N208" s="18">
        <v>0.0</v>
      </c>
      <c r="O208" s="18">
        <v>19.861</v>
      </c>
      <c r="P208" s="4"/>
    </row>
    <row r="209">
      <c r="A209" s="8" t="s">
        <v>214</v>
      </c>
      <c r="B209" s="9">
        <v>45.0</v>
      </c>
      <c r="C209" s="9" t="s">
        <v>8</v>
      </c>
      <c r="D209" s="9">
        <v>50.0</v>
      </c>
      <c r="E209" s="10">
        <v>2.0</v>
      </c>
      <c r="F209" s="9">
        <v>2.0</v>
      </c>
      <c r="G209" s="9">
        <v>1.0</v>
      </c>
      <c r="H209" s="9">
        <v>0.0</v>
      </c>
      <c r="I209" s="9">
        <v>0.0</v>
      </c>
      <c r="J209" s="17">
        <v>-1638.0</v>
      </c>
      <c r="K209" s="18">
        <v>-1676.33</v>
      </c>
      <c r="L209" s="17">
        <v>-1670.0</v>
      </c>
      <c r="M209" s="18">
        <v>-1670.0</v>
      </c>
      <c r="N209" s="18">
        <v>0.0</v>
      </c>
      <c r="O209" s="18">
        <v>3.394</v>
      </c>
      <c r="P209" s="4"/>
    </row>
    <row r="210">
      <c r="A210" s="8" t="s">
        <v>215</v>
      </c>
      <c r="B210" s="9">
        <v>45.0</v>
      </c>
      <c r="C210" s="9" t="s">
        <v>8</v>
      </c>
      <c r="D210" s="9">
        <v>50.0</v>
      </c>
      <c r="E210" s="10">
        <v>2.0</v>
      </c>
      <c r="F210" s="9">
        <v>3.0</v>
      </c>
      <c r="G210" s="9">
        <v>1.0</v>
      </c>
      <c r="H210" s="9">
        <v>0.0</v>
      </c>
      <c r="I210" s="9">
        <v>0.0</v>
      </c>
      <c r="J210" s="17">
        <v>-1458.0</v>
      </c>
      <c r="K210" s="18">
        <v>-1468.61</v>
      </c>
      <c r="L210" s="17">
        <v>-1459.0</v>
      </c>
      <c r="M210" s="18">
        <v>-1459.0</v>
      </c>
      <c r="N210" s="18">
        <v>0.0</v>
      </c>
      <c r="O210" s="18">
        <v>14.275</v>
      </c>
      <c r="P210" s="4"/>
    </row>
    <row r="211">
      <c r="A211" s="8" t="s">
        <v>216</v>
      </c>
      <c r="B211" s="9">
        <v>45.0</v>
      </c>
      <c r="C211" s="9" t="s">
        <v>8</v>
      </c>
      <c r="D211" s="9">
        <v>50.0</v>
      </c>
      <c r="E211" s="10">
        <v>2.0</v>
      </c>
      <c r="F211" s="9">
        <v>4.0</v>
      </c>
      <c r="G211" s="9">
        <v>1.0</v>
      </c>
      <c r="H211" s="9">
        <v>0.0</v>
      </c>
      <c r="I211" s="9">
        <v>0.0</v>
      </c>
      <c r="J211" s="17">
        <v>-1292.0</v>
      </c>
      <c r="K211" s="18">
        <v>-1356.37</v>
      </c>
      <c r="L211" s="17">
        <v>-1336.0</v>
      </c>
      <c r="M211" s="18">
        <v>-1336.0</v>
      </c>
      <c r="N211" s="18">
        <v>0.0</v>
      </c>
      <c r="O211" s="18">
        <v>14.799</v>
      </c>
      <c r="P211" s="4"/>
    </row>
    <row r="212">
      <c r="A212" s="8" t="s">
        <v>217</v>
      </c>
      <c r="B212" s="9">
        <v>45.0</v>
      </c>
      <c r="C212" s="9" t="s">
        <v>8</v>
      </c>
      <c r="D212" s="9">
        <v>50.0</v>
      </c>
      <c r="E212" s="10">
        <v>2.0</v>
      </c>
      <c r="F212" s="9">
        <v>5.0</v>
      </c>
      <c r="G212" s="9">
        <v>1.0</v>
      </c>
      <c r="H212" s="9">
        <v>0.0</v>
      </c>
      <c r="I212" s="9">
        <v>0.0</v>
      </c>
      <c r="J212" s="17">
        <v>-727.0</v>
      </c>
      <c r="K212" s="18">
        <v>-793.17</v>
      </c>
      <c r="L212" s="17">
        <v>-727.0</v>
      </c>
      <c r="M212" s="18">
        <v>-727.0</v>
      </c>
      <c r="N212" s="18">
        <v>0.0</v>
      </c>
      <c r="O212" s="18">
        <v>799.301</v>
      </c>
      <c r="P212" s="4"/>
    </row>
    <row r="213">
      <c r="A213" s="8" t="s">
        <v>218</v>
      </c>
      <c r="B213" s="9">
        <v>45.0</v>
      </c>
      <c r="C213" s="9" t="s">
        <v>8</v>
      </c>
      <c r="D213" s="9">
        <v>75.0</v>
      </c>
      <c r="E213" s="10">
        <v>0.6</v>
      </c>
      <c r="F213" s="9">
        <v>1.0</v>
      </c>
      <c r="G213" s="9">
        <v>0.0</v>
      </c>
      <c r="H213" s="9">
        <v>1.0</v>
      </c>
      <c r="I213" s="9">
        <v>0.0</v>
      </c>
      <c r="J213" s="17">
        <v>-3476.0</v>
      </c>
      <c r="K213" s="18">
        <v>-3483.33</v>
      </c>
      <c r="L213" s="17">
        <v>-3476.0</v>
      </c>
      <c r="M213" s="18">
        <v>-3483.33</v>
      </c>
      <c r="N213" s="18">
        <v>0.21097</v>
      </c>
      <c r="O213" s="18">
        <v>3600.0</v>
      </c>
      <c r="P213" s="4"/>
    </row>
    <row r="214">
      <c r="A214" s="8" t="s">
        <v>219</v>
      </c>
      <c r="B214" s="9">
        <v>45.0</v>
      </c>
      <c r="C214" s="9" t="s">
        <v>8</v>
      </c>
      <c r="D214" s="9">
        <v>75.0</v>
      </c>
      <c r="E214" s="10">
        <v>0.6</v>
      </c>
      <c r="F214" s="9">
        <v>2.0</v>
      </c>
      <c r="G214" s="9">
        <v>0.0</v>
      </c>
      <c r="H214" s="9">
        <v>1.0</v>
      </c>
      <c r="I214" s="9">
        <v>0.0</v>
      </c>
      <c r="J214" s="17">
        <v>-3179.0</v>
      </c>
      <c r="K214" s="18">
        <v>-3204.37</v>
      </c>
      <c r="L214" s="17">
        <v>-3179.0</v>
      </c>
      <c r="M214" s="18">
        <v>-3204.37</v>
      </c>
      <c r="N214" s="18">
        <v>0.797993</v>
      </c>
      <c r="O214" s="18">
        <v>3600.0</v>
      </c>
      <c r="P214" s="4"/>
    </row>
    <row r="215">
      <c r="A215" s="8" t="s">
        <v>220</v>
      </c>
      <c r="B215" s="9">
        <v>45.0</v>
      </c>
      <c r="C215" s="9" t="s">
        <v>8</v>
      </c>
      <c r="D215" s="9">
        <v>75.0</v>
      </c>
      <c r="E215" s="10">
        <v>0.6</v>
      </c>
      <c r="F215" s="9">
        <v>3.0</v>
      </c>
      <c r="G215" s="9">
        <v>0.0</v>
      </c>
      <c r="H215" s="9">
        <v>1.0</v>
      </c>
      <c r="I215" s="9">
        <v>0.0</v>
      </c>
      <c r="J215" s="17">
        <v>-3351.0</v>
      </c>
      <c r="K215" s="18">
        <v>-3437.69</v>
      </c>
      <c r="L215" s="17">
        <v>-3365.0</v>
      </c>
      <c r="M215" s="18">
        <v>-3423.21</v>
      </c>
      <c r="N215" s="18">
        <v>1.72984</v>
      </c>
      <c r="O215" s="18">
        <v>3600.0</v>
      </c>
      <c r="P215" s="4"/>
    </row>
    <row r="216">
      <c r="A216" s="8" t="s">
        <v>221</v>
      </c>
      <c r="B216" s="9">
        <v>45.0</v>
      </c>
      <c r="C216" s="9" t="s">
        <v>8</v>
      </c>
      <c r="D216" s="9">
        <v>75.0</v>
      </c>
      <c r="E216" s="10">
        <v>0.6</v>
      </c>
      <c r="F216" s="9">
        <v>4.0</v>
      </c>
      <c r="G216" s="9">
        <v>1.0</v>
      </c>
      <c r="H216" s="9">
        <v>0.0</v>
      </c>
      <c r="I216" s="9">
        <v>0.0</v>
      </c>
      <c r="J216" s="17">
        <v>-3543.0</v>
      </c>
      <c r="K216" s="18">
        <v>-3543.0</v>
      </c>
      <c r="L216" s="17">
        <v>-3543.0</v>
      </c>
      <c r="M216" s="18">
        <v>-3543.0</v>
      </c>
      <c r="N216" s="18">
        <v>0.0</v>
      </c>
      <c r="O216" s="18">
        <v>1882.76</v>
      </c>
      <c r="P216" s="4"/>
    </row>
    <row r="217">
      <c r="A217" s="8" t="s">
        <v>222</v>
      </c>
      <c r="B217" s="9">
        <v>45.0</v>
      </c>
      <c r="C217" s="9" t="s">
        <v>8</v>
      </c>
      <c r="D217" s="9">
        <v>75.0</v>
      </c>
      <c r="E217" s="10">
        <v>0.6</v>
      </c>
      <c r="F217" s="9">
        <v>5.0</v>
      </c>
      <c r="G217" s="9">
        <v>0.0</v>
      </c>
      <c r="H217" s="9">
        <v>1.0</v>
      </c>
      <c r="I217" s="9">
        <v>0.0</v>
      </c>
      <c r="J217" s="17">
        <v>-3214.0</v>
      </c>
      <c r="K217" s="18">
        <v>-3290.67</v>
      </c>
      <c r="L217" s="17">
        <v>-3214.0</v>
      </c>
      <c r="M217" s="18">
        <v>-3290.67</v>
      </c>
      <c r="N217" s="18">
        <v>2.38562</v>
      </c>
      <c r="O217" s="18">
        <v>3600.0</v>
      </c>
      <c r="P217" s="4"/>
    </row>
    <row r="218">
      <c r="A218" s="8" t="s">
        <v>223</v>
      </c>
      <c r="B218" s="9">
        <v>45.0</v>
      </c>
      <c r="C218" s="9" t="s">
        <v>8</v>
      </c>
      <c r="D218" s="9">
        <v>75.0</v>
      </c>
      <c r="E218" s="10">
        <v>1.0</v>
      </c>
      <c r="F218" s="9">
        <v>1.0</v>
      </c>
      <c r="G218" s="9">
        <v>1.0</v>
      </c>
      <c r="H218" s="9">
        <v>0.0</v>
      </c>
      <c r="I218" s="9">
        <v>0.0</v>
      </c>
      <c r="J218" s="17">
        <v>-3066.0</v>
      </c>
      <c r="K218" s="18">
        <v>-3091.98</v>
      </c>
      <c r="L218" s="17">
        <v>-3077.0</v>
      </c>
      <c r="M218" s="18">
        <v>-3077.0</v>
      </c>
      <c r="N218" s="18">
        <v>0.0</v>
      </c>
      <c r="O218" s="18">
        <v>585.606</v>
      </c>
      <c r="P218" s="4"/>
    </row>
    <row r="219">
      <c r="A219" s="8" t="s">
        <v>224</v>
      </c>
      <c r="B219" s="9">
        <v>45.0</v>
      </c>
      <c r="C219" s="9" t="s">
        <v>8</v>
      </c>
      <c r="D219" s="9">
        <v>75.0</v>
      </c>
      <c r="E219" s="10">
        <v>1.0</v>
      </c>
      <c r="F219" s="9">
        <v>2.0</v>
      </c>
      <c r="G219" s="9">
        <v>1.0</v>
      </c>
      <c r="H219" s="9">
        <v>0.0</v>
      </c>
      <c r="I219" s="9">
        <v>0.0</v>
      </c>
      <c r="J219" s="17">
        <v>-2857.0</v>
      </c>
      <c r="K219" s="18">
        <v>-2947.8</v>
      </c>
      <c r="L219" s="17">
        <v>-2898.0</v>
      </c>
      <c r="M219" s="18">
        <v>-2898.0</v>
      </c>
      <c r="N219" s="18">
        <v>0.0</v>
      </c>
      <c r="O219" s="18">
        <v>2016.38</v>
      </c>
      <c r="P219" s="4"/>
    </row>
    <row r="220">
      <c r="A220" s="8" t="s">
        <v>225</v>
      </c>
      <c r="B220" s="9">
        <v>45.0</v>
      </c>
      <c r="C220" s="9" t="s">
        <v>8</v>
      </c>
      <c r="D220" s="9">
        <v>75.0</v>
      </c>
      <c r="E220" s="10">
        <v>1.0</v>
      </c>
      <c r="F220" s="9">
        <v>3.0</v>
      </c>
      <c r="G220" s="9">
        <v>1.0</v>
      </c>
      <c r="H220" s="9">
        <v>0.0</v>
      </c>
      <c r="I220" s="9">
        <v>0.0</v>
      </c>
      <c r="J220" s="17">
        <v>-3144.0</v>
      </c>
      <c r="K220" s="18">
        <v>-3191.06</v>
      </c>
      <c r="L220" s="17">
        <v>-3155.0</v>
      </c>
      <c r="M220" s="18">
        <v>-3155.0</v>
      </c>
      <c r="N220" s="18">
        <v>0.0</v>
      </c>
      <c r="O220" s="18">
        <v>1403.54</v>
      </c>
      <c r="P220" s="4"/>
    </row>
    <row r="221">
      <c r="A221" s="8" t="s">
        <v>226</v>
      </c>
      <c r="B221" s="9">
        <v>45.0</v>
      </c>
      <c r="C221" s="9" t="s">
        <v>8</v>
      </c>
      <c r="D221" s="9">
        <v>75.0</v>
      </c>
      <c r="E221" s="10">
        <v>1.0</v>
      </c>
      <c r="F221" s="9">
        <v>4.0</v>
      </c>
      <c r="G221" s="9">
        <v>1.0</v>
      </c>
      <c r="H221" s="9">
        <v>0.0</v>
      </c>
      <c r="I221" s="9">
        <v>0.0</v>
      </c>
      <c r="J221" s="17">
        <v>-3167.0</v>
      </c>
      <c r="K221" s="18">
        <v>-3169.0</v>
      </c>
      <c r="L221" s="17">
        <v>-3167.0</v>
      </c>
      <c r="M221" s="18">
        <v>-3167.0</v>
      </c>
      <c r="N221" s="18">
        <v>0.0</v>
      </c>
      <c r="O221" s="18">
        <v>281.091</v>
      </c>
      <c r="P221" s="4"/>
    </row>
    <row r="222">
      <c r="A222" s="8" t="s">
        <v>227</v>
      </c>
      <c r="B222" s="9">
        <v>45.0</v>
      </c>
      <c r="C222" s="9" t="s">
        <v>8</v>
      </c>
      <c r="D222" s="9">
        <v>75.0</v>
      </c>
      <c r="E222" s="10">
        <v>1.0</v>
      </c>
      <c r="F222" s="9">
        <v>5.0</v>
      </c>
      <c r="G222" s="9">
        <v>1.0</v>
      </c>
      <c r="H222" s="9">
        <v>0.0</v>
      </c>
      <c r="I222" s="9">
        <v>0.0</v>
      </c>
      <c r="J222" s="17">
        <v>-2935.0</v>
      </c>
      <c r="K222" s="18">
        <v>-2972.57</v>
      </c>
      <c r="L222" s="17">
        <v>-2965.0</v>
      </c>
      <c r="M222" s="18">
        <v>-2965.0</v>
      </c>
      <c r="N222" s="18">
        <v>0.0</v>
      </c>
      <c r="O222" s="18">
        <v>490.173</v>
      </c>
      <c r="P222" s="4"/>
    </row>
    <row r="223">
      <c r="A223" s="8" t="s">
        <v>228</v>
      </c>
      <c r="B223" s="9">
        <v>45.0</v>
      </c>
      <c r="C223" s="9" t="s">
        <v>8</v>
      </c>
      <c r="D223" s="9">
        <v>75.0</v>
      </c>
      <c r="E223" s="10">
        <v>2.0</v>
      </c>
      <c r="F223" s="9">
        <v>1.0</v>
      </c>
      <c r="G223" s="9">
        <v>1.0</v>
      </c>
      <c r="H223" s="9">
        <v>0.0</v>
      </c>
      <c r="I223" s="9">
        <v>0.0</v>
      </c>
      <c r="J223" s="17">
        <v>-777.0</v>
      </c>
      <c r="K223" s="18">
        <v>-924.842</v>
      </c>
      <c r="L223" s="17">
        <v>-858.0</v>
      </c>
      <c r="M223" s="18">
        <v>-858.0</v>
      </c>
      <c r="N223" s="18">
        <v>0.0</v>
      </c>
      <c r="O223" s="18">
        <v>129.698</v>
      </c>
      <c r="P223" s="4"/>
    </row>
    <row r="224">
      <c r="A224" s="8" t="s">
        <v>229</v>
      </c>
      <c r="B224" s="9">
        <v>45.0</v>
      </c>
      <c r="C224" s="9" t="s">
        <v>8</v>
      </c>
      <c r="D224" s="9">
        <v>75.0</v>
      </c>
      <c r="E224" s="10">
        <v>2.0</v>
      </c>
      <c r="F224" s="9">
        <v>2.0</v>
      </c>
      <c r="G224" s="9">
        <v>1.0</v>
      </c>
      <c r="H224" s="9">
        <v>0.0</v>
      </c>
      <c r="I224" s="9">
        <v>0.0</v>
      </c>
      <c r="J224" s="17">
        <v>-1938.0</v>
      </c>
      <c r="K224" s="18">
        <v>-1988.29</v>
      </c>
      <c r="L224" s="17">
        <v>-1955.0</v>
      </c>
      <c r="M224" s="18">
        <v>-1955.0</v>
      </c>
      <c r="N224" s="18">
        <v>0.0</v>
      </c>
      <c r="O224" s="18">
        <v>41.283</v>
      </c>
      <c r="P224" s="4"/>
    </row>
    <row r="225">
      <c r="A225" s="8" t="s">
        <v>230</v>
      </c>
      <c r="B225" s="9">
        <v>45.0</v>
      </c>
      <c r="C225" s="9" t="s">
        <v>8</v>
      </c>
      <c r="D225" s="9">
        <v>75.0</v>
      </c>
      <c r="E225" s="10">
        <v>2.0</v>
      </c>
      <c r="F225" s="9">
        <v>3.0</v>
      </c>
      <c r="G225" s="9">
        <v>1.0</v>
      </c>
      <c r="H225" s="9">
        <v>0.0</v>
      </c>
      <c r="I225" s="9">
        <v>0.0</v>
      </c>
      <c r="J225" s="17">
        <v>-1962.0</v>
      </c>
      <c r="K225" s="18">
        <v>-1985.5</v>
      </c>
      <c r="L225" s="17">
        <v>-1962.0</v>
      </c>
      <c r="M225" s="18">
        <v>-1962.0</v>
      </c>
      <c r="N225" s="18">
        <v>0.0</v>
      </c>
      <c r="O225" s="18">
        <v>20.374</v>
      </c>
      <c r="P225" s="4"/>
    </row>
    <row r="226">
      <c r="A226" s="8" t="s">
        <v>231</v>
      </c>
      <c r="B226" s="9">
        <v>45.0</v>
      </c>
      <c r="C226" s="9" t="s">
        <v>8</v>
      </c>
      <c r="D226" s="9">
        <v>75.0</v>
      </c>
      <c r="E226" s="10">
        <v>2.0</v>
      </c>
      <c r="F226" s="9">
        <v>4.0</v>
      </c>
      <c r="G226" s="9">
        <v>1.0</v>
      </c>
      <c r="H226" s="9">
        <v>0.0</v>
      </c>
      <c r="I226" s="9">
        <v>0.0</v>
      </c>
      <c r="J226" s="17">
        <v>-1214.0</v>
      </c>
      <c r="K226" s="18">
        <v>-1370.36</v>
      </c>
      <c r="L226" s="17">
        <v>-1263.0</v>
      </c>
      <c r="M226" s="18">
        <v>-1263.0</v>
      </c>
      <c r="N226" s="18">
        <v>0.0</v>
      </c>
      <c r="O226" s="18">
        <v>809.097</v>
      </c>
      <c r="P226" s="4"/>
    </row>
    <row r="227">
      <c r="A227" s="8" t="s">
        <v>232</v>
      </c>
      <c r="B227" s="9">
        <v>45.0</v>
      </c>
      <c r="C227" s="9" t="s">
        <v>8</v>
      </c>
      <c r="D227" s="9">
        <v>75.0</v>
      </c>
      <c r="E227" s="10">
        <v>2.0</v>
      </c>
      <c r="F227" s="9">
        <v>5.0</v>
      </c>
      <c r="G227" s="9">
        <v>1.0</v>
      </c>
      <c r="H227" s="9">
        <v>0.0</v>
      </c>
      <c r="I227" s="9">
        <v>0.0</v>
      </c>
      <c r="J227" s="17">
        <v>-1049.0</v>
      </c>
      <c r="K227" s="18">
        <v>-1169.8</v>
      </c>
      <c r="L227" s="17">
        <v>-1127.0</v>
      </c>
      <c r="M227" s="18">
        <v>-1127.0</v>
      </c>
      <c r="N227" s="18">
        <v>0.0</v>
      </c>
      <c r="O227" s="18">
        <v>75.136</v>
      </c>
      <c r="P227" s="4"/>
    </row>
    <row r="228">
      <c r="A228" s="8" t="s">
        <v>233</v>
      </c>
      <c r="B228" s="9">
        <v>25.0</v>
      </c>
      <c r="C228" s="14" t="s">
        <v>234</v>
      </c>
      <c r="D228" s="9">
        <v>25.0</v>
      </c>
      <c r="E228" s="10">
        <v>0.6</v>
      </c>
      <c r="F228" s="9">
        <v>1.0</v>
      </c>
      <c r="G228" s="9">
        <v>1.0</v>
      </c>
      <c r="H228" s="9">
        <v>0.0</v>
      </c>
      <c r="I228" s="9">
        <v>0.0</v>
      </c>
      <c r="J228" s="17">
        <v>261.0</v>
      </c>
      <c r="K228" s="18">
        <v>261.0</v>
      </c>
      <c r="L228" s="17">
        <v>261.0</v>
      </c>
      <c r="M228" s="18">
        <v>261.0</v>
      </c>
      <c r="N228" s="18">
        <v>0.0</v>
      </c>
      <c r="O228" s="18">
        <v>0.235</v>
      </c>
      <c r="P228" s="4"/>
    </row>
    <row r="229">
      <c r="A229" s="8" t="s">
        <v>235</v>
      </c>
      <c r="B229" s="9">
        <v>25.0</v>
      </c>
      <c r="C229" s="14" t="s">
        <v>234</v>
      </c>
      <c r="D229" s="9">
        <v>25.0</v>
      </c>
      <c r="E229" s="10">
        <v>0.6</v>
      </c>
      <c r="F229" s="9">
        <v>2.0</v>
      </c>
      <c r="G229" s="9">
        <v>1.0</v>
      </c>
      <c r="H229" s="9">
        <v>0.0</v>
      </c>
      <c r="I229" s="9">
        <v>0.0</v>
      </c>
      <c r="J229" s="17">
        <v>236.0</v>
      </c>
      <c r="K229" s="18">
        <v>236.0</v>
      </c>
      <c r="L229" s="17">
        <v>236.0</v>
      </c>
      <c r="M229" s="18">
        <v>236.0</v>
      </c>
      <c r="N229" s="18">
        <v>0.0</v>
      </c>
      <c r="O229" s="18">
        <v>0.338</v>
      </c>
      <c r="P229" s="4"/>
    </row>
    <row r="230">
      <c r="A230" s="8" t="s">
        <v>236</v>
      </c>
      <c r="B230" s="9">
        <v>25.0</v>
      </c>
      <c r="C230" s="14" t="s">
        <v>234</v>
      </c>
      <c r="D230" s="9">
        <v>25.0</v>
      </c>
      <c r="E230" s="10">
        <v>0.6</v>
      </c>
      <c r="F230" s="9">
        <v>3.0</v>
      </c>
      <c r="G230" s="9">
        <v>1.0</v>
      </c>
      <c r="H230" s="9">
        <v>0.0</v>
      </c>
      <c r="I230" s="9">
        <v>0.0</v>
      </c>
      <c r="J230" s="17">
        <v>281.0</v>
      </c>
      <c r="K230" s="18">
        <v>280.6</v>
      </c>
      <c r="L230" s="17">
        <v>281.0</v>
      </c>
      <c r="M230" s="18">
        <v>281.0</v>
      </c>
      <c r="N230" s="18">
        <v>0.0</v>
      </c>
      <c r="O230" s="18">
        <v>0.309</v>
      </c>
      <c r="P230" s="4"/>
    </row>
    <row r="231">
      <c r="A231" s="8" t="s">
        <v>237</v>
      </c>
      <c r="B231" s="9">
        <v>25.0</v>
      </c>
      <c r="C231" s="14" t="s">
        <v>234</v>
      </c>
      <c r="D231" s="9">
        <v>25.0</v>
      </c>
      <c r="E231" s="10">
        <v>0.6</v>
      </c>
      <c r="F231" s="9">
        <v>4.0</v>
      </c>
      <c r="G231" s="9">
        <v>1.0</v>
      </c>
      <c r="H231" s="9">
        <v>0.0</v>
      </c>
      <c r="I231" s="9">
        <v>0.0</v>
      </c>
      <c r="J231" s="17">
        <v>236.0</v>
      </c>
      <c r="K231" s="18">
        <v>234.773</v>
      </c>
      <c r="L231" s="17">
        <v>236.0</v>
      </c>
      <c r="M231" s="18">
        <v>236.0</v>
      </c>
      <c r="N231" s="18">
        <v>0.0</v>
      </c>
      <c r="O231" s="18">
        <v>0.829</v>
      </c>
      <c r="P231" s="4"/>
    </row>
    <row r="232">
      <c r="A232" s="8" t="s">
        <v>238</v>
      </c>
      <c r="B232" s="9">
        <v>25.0</v>
      </c>
      <c r="C232" s="14" t="s">
        <v>234</v>
      </c>
      <c r="D232" s="9">
        <v>25.0</v>
      </c>
      <c r="E232" s="10">
        <v>0.6</v>
      </c>
      <c r="F232" s="9">
        <v>5.0</v>
      </c>
      <c r="G232" s="9">
        <v>1.0</v>
      </c>
      <c r="H232" s="9">
        <v>0.0</v>
      </c>
      <c r="I232" s="9">
        <v>0.0</v>
      </c>
      <c r="J232" s="17">
        <v>268.0</v>
      </c>
      <c r="K232" s="18">
        <v>249.048</v>
      </c>
      <c r="L232" s="17">
        <v>268.0</v>
      </c>
      <c r="M232" s="18">
        <v>268.0</v>
      </c>
      <c r="N232" s="18">
        <v>0.0</v>
      </c>
      <c r="O232" s="18">
        <v>2.025</v>
      </c>
      <c r="P232" s="4"/>
    </row>
    <row r="233">
      <c r="A233" s="8" t="s">
        <v>239</v>
      </c>
      <c r="B233" s="9">
        <v>25.0</v>
      </c>
      <c r="C233" s="14" t="s">
        <v>234</v>
      </c>
      <c r="D233" s="9">
        <v>25.0</v>
      </c>
      <c r="E233" s="10">
        <v>1.0</v>
      </c>
      <c r="F233" s="9">
        <v>1.0</v>
      </c>
      <c r="G233" s="9">
        <v>1.0</v>
      </c>
      <c r="H233" s="9">
        <v>0.0</v>
      </c>
      <c r="I233" s="9">
        <v>0.0</v>
      </c>
      <c r="J233" s="17">
        <v>1390.0</v>
      </c>
      <c r="K233" s="18">
        <v>1390.0</v>
      </c>
      <c r="L233" s="17">
        <v>1390.0</v>
      </c>
      <c r="M233" s="18">
        <v>1390.0</v>
      </c>
      <c r="N233" s="18">
        <v>0.0</v>
      </c>
      <c r="O233" s="18">
        <v>0.141</v>
      </c>
      <c r="P233" s="4"/>
    </row>
    <row r="234">
      <c r="A234" s="8" t="s">
        <v>240</v>
      </c>
      <c r="B234" s="9">
        <v>25.0</v>
      </c>
      <c r="C234" s="14" t="s">
        <v>234</v>
      </c>
      <c r="D234" s="9">
        <v>25.0</v>
      </c>
      <c r="E234" s="10">
        <v>1.0</v>
      </c>
      <c r="F234" s="9">
        <v>2.0</v>
      </c>
      <c r="G234" s="9">
        <v>1.0</v>
      </c>
      <c r="H234" s="9">
        <v>0.0</v>
      </c>
      <c r="I234" s="9">
        <v>0.0</v>
      </c>
      <c r="J234" s="17">
        <v>1518.0</v>
      </c>
      <c r="K234" s="18">
        <v>1269.76</v>
      </c>
      <c r="L234" s="17">
        <v>1306.0</v>
      </c>
      <c r="M234" s="18">
        <v>1306.0</v>
      </c>
      <c r="N234" s="18">
        <v>0.0</v>
      </c>
      <c r="O234" s="18">
        <v>54.06</v>
      </c>
      <c r="P234" s="4"/>
    </row>
    <row r="235">
      <c r="A235" s="8" t="s">
        <v>241</v>
      </c>
      <c r="B235" s="9">
        <v>25.0</v>
      </c>
      <c r="C235" s="14" t="s">
        <v>234</v>
      </c>
      <c r="D235" s="9">
        <v>25.0</v>
      </c>
      <c r="E235" s="10">
        <v>1.0</v>
      </c>
      <c r="F235" s="9">
        <v>3.0</v>
      </c>
      <c r="G235" s="9">
        <v>1.0</v>
      </c>
      <c r="H235" s="9">
        <v>0.0</v>
      </c>
      <c r="I235" s="9">
        <v>0.0</v>
      </c>
      <c r="J235" s="17">
        <v>1510.0</v>
      </c>
      <c r="K235" s="18">
        <v>1497.01</v>
      </c>
      <c r="L235" s="17">
        <v>1510.0</v>
      </c>
      <c r="M235" s="18">
        <v>1510.0</v>
      </c>
      <c r="N235" s="18">
        <v>0.0</v>
      </c>
      <c r="O235" s="18">
        <v>1.068</v>
      </c>
      <c r="P235" s="4"/>
    </row>
    <row r="236">
      <c r="A236" s="8" t="s">
        <v>242</v>
      </c>
      <c r="B236" s="9">
        <v>25.0</v>
      </c>
      <c r="C236" s="14" t="s">
        <v>234</v>
      </c>
      <c r="D236" s="9">
        <v>25.0</v>
      </c>
      <c r="E236" s="10">
        <v>1.0</v>
      </c>
      <c r="F236" s="9">
        <v>4.0</v>
      </c>
      <c r="G236" s="9">
        <v>1.0</v>
      </c>
      <c r="H236" s="9">
        <v>0.0</v>
      </c>
      <c r="I236" s="9">
        <v>0.0</v>
      </c>
      <c r="J236" s="17">
        <v>1265.0</v>
      </c>
      <c r="K236" s="18">
        <v>1261.35</v>
      </c>
      <c r="L236" s="17">
        <v>1265.0</v>
      </c>
      <c r="M236" s="18">
        <v>1265.0</v>
      </c>
      <c r="N236" s="18">
        <v>0.0</v>
      </c>
      <c r="O236" s="18">
        <v>0.536</v>
      </c>
      <c r="P236" s="4"/>
    </row>
    <row r="237">
      <c r="A237" s="8" t="s">
        <v>243</v>
      </c>
      <c r="B237" s="9">
        <v>25.0</v>
      </c>
      <c r="C237" s="14" t="s">
        <v>234</v>
      </c>
      <c r="D237" s="9">
        <v>25.0</v>
      </c>
      <c r="E237" s="10">
        <v>1.0</v>
      </c>
      <c r="F237" s="9">
        <v>5.0</v>
      </c>
      <c r="G237" s="9">
        <v>1.0</v>
      </c>
      <c r="H237" s="9">
        <v>0.0</v>
      </c>
      <c r="I237" s="9">
        <v>0.0</v>
      </c>
      <c r="J237" s="17">
        <v>1430.0</v>
      </c>
      <c r="K237" s="18">
        <v>1424.62</v>
      </c>
      <c r="L237" s="17">
        <v>1430.0</v>
      </c>
      <c r="M237" s="18">
        <v>1430.0</v>
      </c>
      <c r="N237" s="18">
        <v>0.0</v>
      </c>
      <c r="O237" s="18">
        <v>0.557</v>
      </c>
      <c r="P237" s="4"/>
    </row>
    <row r="238">
      <c r="A238" s="8" t="s">
        <v>244</v>
      </c>
      <c r="B238" s="9">
        <v>25.0</v>
      </c>
      <c r="C238" s="14" t="s">
        <v>234</v>
      </c>
      <c r="D238" s="9">
        <v>25.0</v>
      </c>
      <c r="E238" s="10">
        <v>2.0</v>
      </c>
      <c r="F238" s="9">
        <v>1.0</v>
      </c>
      <c r="G238" s="9">
        <v>1.0</v>
      </c>
      <c r="H238" s="9">
        <v>0.0</v>
      </c>
      <c r="I238" s="9">
        <v>0.0</v>
      </c>
      <c r="J238" s="17">
        <v>20955.0</v>
      </c>
      <c r="K238" s="18">
        <v>20002.5</v>
      </c>
      <c r="L238" s="17">
        <v>20955.0</v>
      </c>
      <c r="M238" s="18">
        <v>20955.0</v>
      </c>
      <c r="N238" s="18">
        <v>0.0</v>
      </c>
      <c r="O238" s="18">
        <v>31.822</v>
      </c>
      <c r="P238" s="4"/>
    </row>
    <row r="239">
      <c r="A239" s="8" t="s">
        <v>245</v>
      </c>
      <c r="B239" s="9">
        <v>25.0</v>
      </c>
      <c r="C239" s="14" t="s">
        <v>234</v>
      </c>
      <c r="D239" s="9">
        <v>25.0</v>
      </c>
      <c r="E239" s="10">
        <v>2.0</v>
      </c>
      <c r="F239" s="9">
        <v>2.0</v>
      </c>
      <c r="G239" s="9">
        <v>1.0</v>
      </c>
      <c r="H239" s="9">
        <v>0.0</v>
      </c>
      <c r="I239" s="9">
        <v>0.0</v>
      </c>
      <c r="J239" s="17">
        <v>22555.0</v>
      </c>
      <c r="K239" s="18">
        <v>22555.0</v>
      </c>
      <c r="L239" s="17">
        <v>22555.0</v>
      </c>
      <c r="M239" s="18">
        <v>22555.0</v>
      </c>
      <c r="N239" s="18">
        <v>0.0</v>
      </c>
      <c r="O239" s="18">
        <v>0.014</v>
      </c>
      <c r="P239" s="4"/>
    </row>
    <row r="240">
      <c r="A240" s="8" t="s">
        <v>246</v>
      </c>
      <c r="B240" s="9">
        <v>25.0</v>
      </c>
      <c r="C240" s="14" t="s">
        <v>234</v>
      </c>
      <c r="D240" s="9">
        <v>25.0</v>
      </c>
      <c r="E240" s="10">
        <v>2.0</v>
      </c>
      <c r="F240" s="9">
        <v>3.0</v>
      </c>
      <c r="G240" s="9">
        <v>0.0</v>
      </c>
      <c r="H240" s="9">
        <v>1.0</v>
      </c>
      <c r="I240" s="9">
        <v>0.0</v>
      </c>
      <c r="J240" s="17">
        <v>22440.0</v>
      </c>
      <c r="K240" s="18">
        <v>20603.8</v>
      </c>
      <c r="L240" s="17">
        <v>22440.0</v>
      </c>
      <c r="M240" s="18">
        <v>21453.5</v>
      </c>
      <c r="N240" s="18">
        <v>4.39617</v>
      </c>
      <c r="O240" s="18">
        <v>3600.0</v>
      </c>
      <c r="P240" s="4"/>
    </row>
    <row r="241">
      <c r="A241" s="8" t="s">
        <v>247</v>
      </c>
      <c r="B241" s="9">
        <v>25.0</v>
      </c>
      <c r="C241" s="14" t="s">
        <v>234</v>
      </c>
      <c r="D241" s="9">
        <v>25.0</v>
      </c>
      <c r="E241" s="10">
        <v>2.0</v>
      </c>
      <c r="F241" s="9">
        <v>4.0</v>
      </c>
      <c r="G241" s="9">
        <v>1.0</v>
      </c>
      <c r="H241" s="9">
        <v>0.0</v>
      </c>
      <c r="I241" s="9">
        <v>0.0</v>
      </c>
      <c r="J241" s="17">
        <v>17365.0</v>
      </c>
      <c r="K241" s="18">
        <v>17250.0</v>
      </c>
      <c r="L241" s="17">
        <v>17350.0</v>
      </c>
      <c r="M241" s="18">
        <v>17350.0</v>
      </c>
      <c r="N241" s="18">
        <v>0.0</v>
      </c>
      <c r="O241" s="18">
        <v>0.275</v>
      </c>
      <c r="P241" s="4"/>
    </row>
    <row r="242">
      <c r="A242" s="8" t="s">
        <v>248</v>
      </c>
      <c r="B242" s="9">
        <v>25.0</v>
      </c>
      <c r="C242" s="14" t="s">
        <v>234</v>
      </c>
      <c r="D242" s="9">
        <v>25.0</v>
      </c>
      <c r="E242" s="10">
        <v>2.0</v>
      </c>
      <c r="F242" s="9">
        <v>5.0</v>
      </c>
      <c r="G242" s="9">
        <v>1.0</v>
      </c>
      <c r="H242" s="9">
        <v>0.0</v>
      </c>
      <c r="I242" s="9">
        <v>0.0</v>
      </c>
      <c r="J242" s="17">
        <v>19638.0</v>
      </c>
      <c r="K242" s="18">
        <v>19638.0</v>
      </c>
      <c r="L242" s="17">
        <v>19638.0</v>
      </c>
      <c r="M242" s="18">
        <v>19638.0</v>
      </c>
      <c r="N242" s="18">
        <v>0.0</v>
      </c>
      <c r="O242" s="18">
        <v>0.014</v>
      </c>
      <c r="P242" s="4"/>
    </row>
    <row r="243">
      <c r="A243" s="8" t="s">
        <v>249</v>
      </c>
      <c r="B243" s="9">
        <v>25.0</v>
      </c>
      <c r="C243" s="14" t="s">
        <v>234</v>
      </c>
      <c r="D243" s="9">
        <v>50.0</v>
      </c>
      <c r="E243" s="10">
        <v>0.6</v>
      </c>
      <c r="F243" s="9">
        <v>1.0</v>
      </c>
      <c r="G243" s="9">
        <v>1.0</v>
      </c>
      <c r="H243" s="9">
        <v>0.0</v>
      </c>
      <c r="I243" s="9">
        <v>0.0</v>
      </c>
      <c r="J243" s="17">
        <v>627.0</v>
      </c>
      <c r="K243" s="18">
        <v>614.3</v>
      </c>
      <c r="L243" s="17">
        <v>627.0</v>
      </c>
      <c r="M243" s="18">
        <v>627.0</v>
      </c>
      <c r="N243" s="18">
        <v>0.0</v>
      </c>
      <c r="O243" s="18">
        <v>0.496</v>
      </c>
      <c r="P243" s="4"/>
    </row>
    <row r="244">
      <c r="A244" s="8" t="s">
        <v>250</v>
      </c>
      <c r="B244" s="9">
        <v>25.0</v>
      </c>
      <c r="C244" s="14" t="s">
        <v>234</v>
      </c>
      <c r="D244" s="9">
        <v>50.0</v>
      </c>
      <c r="E244" s="10">
        <v>0.6</v>
      </c>
      <c r="F244" s="9">
        <v>2.0</v>
      </c>
      <c r="G244" s="9">
        <v>1.0</v>
      </c>
      <c r="H244" s="9">
        <v>0.0</v>
      </c>
      <c r="I244" s="9">
        <v>0.0</v>
      </c>
      <c r="J244" s="17">
        <v>788.0</v>
      </c>
      <c r="K244" s="18">
        <v>760.333</v>
      </c>
      <c r="L244" s="17">
        <v>769.0</v>
      </c>
      <c r="M244" s="18">
        <v>769.0</v>
      </c>
      <c r="N244" s="18">
        <v>0.0</v>
      </c>
      <c r="O244" s="18">
        <v>0.339</v>
      </c>
      <c r="P244" s="4"/>
    </row>
    <row r="245">
      <c r="A245" s="8" t="s">
        <v>251</v>
      </c>
      <c r="B245" s="9">
        <v>25.0</v>
      </c>
      <c r="C245" s="14" t="s">
        <v>234</v>
      </c>
      <c r="D245" s="9">
        <v>50.0</v>
      </c>
      <c r="E245" s="10">
        <v>0.6</v>
      </c>
      <c r="F245" s="9">
        <v>3.0</v>
      </c>
      <c r="G245" s="9">
        <v>1.0</v>
      </c>
      <c r="H245" s="9">
        <v>0.0</v>
      </c>
      <c r="I245" s="9">
        <v>0.0</v>
      </c>
      <c r="J245" s="17">
        <v>605.0</v>
      </c>
      <c r="K245" s="18">
        <v>605.0</v>
      </c>
      <c r="L245" s="17">
        <v>605.0</v>
      </c>
      <c r="M245" s="18">
        <v>605.0</v>
      </c>
      <c r="N245" s="18">
        <v>0.0</v>
      </c>
      <c r="O245" s="18">
        <v>0.32</v>
      </c>
      <c r="P245" s="4"/>
    </row>
    <row r="246">
      <c r="A246" s="8" t="s">
        <v>252</v>
      </c>
      <c r="B246" s="9">
        <v>25.0</v>
      </c>
      <c r="C246" s="14" t="s">
        <v>234</v>
      </c>
      <c r="D246" s="9">
        <v>50.0</v>
      </c>
      <c r="E246" s="10">
        <v>0.6</v>
      </c>
      <c r="F246" s="9">
        <v>4.0</v>
      </c>
      <c r="G246" s="9">
        <v>1.0</v>
      </c>
      <c r="H246" s="9">
        <v>0.0</v>
      </c>
      <c r="I246" s="9">
        <v>0.0</v>
      </c>
      <c r="J246" s="17">
        <v>552.0</v>
      </c>
      <c r="K246" s="18">
        <v>552.0</v>
      </c>
      <c r="L246" s="17">
        <v>552.0</v>
      </c>
      <c r="M246" s="18">
        <v>552.0</v>
      </c>
      <c r="N246" s="18">
        <v>0.0</v>
      </c>
      <c r="O246" s="18">
        <v>0.175</v>
      </c>
      <c r="P246" s="4"/>
    </row>
    <row r="247">
      <c r="A247" s="8" t="s">
        <v>253</v>
      </c>
      <c r="B247" s="9">
        <v>25.0</v>
      </c>
      <c r="C247" s="14" t="s">
        <v>234</v>
      </c>
      <c r="D247" s="9">
        <v>50.0</v>
      </c>
      <c r="E247" s="10">
        <v>0.6</v>
      </c>
      <c r="F247" s="9">
        <v>5.0</v>
      </c>
      <c r="G247" s="9">
        <v>1.0</v>
      </c>
      <c r="H247" s="9">
        <v>0.0</v>
      </c>
      <c r="I247" s="9">
        <v>0.0</v>
      </c>
      <c r="J247" s="17">
        <v>553.0</v>
      </c>
      <c r="K247" s="18">
        <v>553.0</v>
      </c>
      <c r="L247" s="17">
        <v>553.0</v>
      </c>
      <c r="M247" s="18">
        <v>553.0</v>
      </c>
      <c r="N247" s="18">
        <v>0.0</v>
      </c>
      <c r="O247" s="18">
        <v>0.151</v>
      </c>
      <c r="P247" s="4"/>
    </row>
    <row r="248">
      <c r="A248" s="8" t="s">
        <v>254</v>
      </c>
      <c r="B248" s="9">
        <v>25.0</v>
      </c>
      <c r="C248" s="14" t="s">
        <v>234</v>
      </c>
      <c r="D248" s="9">
        <v>50.0</v>
      </c>
      <c r="E248" s="10">
        <v>1.0</v>
      </c>
      <c r="F248" s="9">
        <v>1.0</v>
      </c>
      <c r="G248" s="9">
        <v>1.0</v>
      </c>
      <c r="H248" s="9">
        <v>0.0</v>
      </c>
      <c r="I248" s="9">
        <v>0.0</v>
      </c>
      <c r="J248" s="17">
        <v>2953.0</v>
      </c>
      <c r="K248" s="18">
        <v>2576.02</v>
      </c>
      <c r="L248" s="17">
        <v>2726.0</v>
      </c>
      <c r="M248" s="18">
        <v>2726.0</v>
      </c>
      <c r="N248" s="18">
        <v>0.0</v>
      </c>
      <c r="O248" s="18">
        <v>115.342</v>
      </c>
      <c r="P248" s="4"/>
    </row>
    <row r="249">
      <c r="A249" s="8" t="s">
        <v>255</v>
      </c>
      <c r="B249" s="9">
        <v>25.0</v>
      </c>
      <c r="C249" s="14" t="s">
        <v>234</v>
      </c>
      <c r="D249" s="9">
        <v>50.0</v>
      </c>
      <c r="E249" s="10">
        <v>1.0</v>
      </c>
      <c r="F249" s="9">
        <v>2.0</v>
      </c>
      <c r="G249" s="9">
        <v>1.0</v>
      </c>
      <c r="H249" s="9">
        <v>0.0</v>
      </c>
      <c r="I249" s="9">
        <v>0.0</v>
      </c>
      <c r="J249" s="17">
        <v>3241.0</v>
      </c>
      <c r="K249" s="18">
        <v>3004.95</v>
      </c>
      <c r="L249" s="17">
        <v>3074.0</v>
      </c>
      <c r="M249" s="18">
        <v>3074.0</v>
      </c>
      <c r="N249" s="18">
        <v>0.0</v>
      </c>
      <c r="O249" s="18">
        <v>2.194</v>
      </c>
      <c r="P249" s="4"/>
    </row>
    <row r="250">
      <c r="A250" s="8" t="s">
        <v>256</v>
      </c>
      <c r="B250" s="9">
        <v>25.0</v>
      </c>
      <c r="C250" s="14" t="s">
        <v>234</v>
      </c>
      <c r="D250" s="9">
        <v>50.0</v>
      </c>
      <c r="E250" s="10">
        <v>1.0</v>
      </c>
      <c r="F250" s="9">
        <v>3.0</v>
      </c>
      <c r="G250" s="9">
        <v>1.0</v>
      </c>
      <c r="H250" s="9">
        <v>0.0</v>
      </c>
      <c r="I250" s="9">
        <v>0.0</v>
      </c>
      <c r="J250" s="17">
        <v>2555.0</v>
      </c>
      <c r="K250" s="18">
        <v>2475.51</v>
      </c>
      <c r="L250" s="17">
        <v>2505.0</v>
      </c>
      <c r="M250" s="18">
        <v>2505.0</v>
      </c>
      <c r="N250" s="18">
        <v>0.0</v>
      </c>
      <c r="O250" s="18">
        <v>0.81</v>
      </c>
      <c r="P250" s="4"/>
    </row>
    <row r="251">
      <c r="A251" s="8" t="s">
        <v>257</v>
      </c>
      <c r="B251" s="9">
        <v>25.0</v>
      </c>
      <c r="C251" s="14" t="s">
        <v>234</v>
      </c>
      <c r="D251" s="9">
        <v>50.0</v>
      </c>
      <c r="E251" s="10">
        <v>1.0</v>
      </c>
      <c r="F251" s="9">
        <v>4.0</v>
      </c>
      <c r="G251" s="9">
        <v>1.0</v>
      </c>
      <c r="H251" s="9">
        <v>0.0</v>
      </c>
      <c r="I251" s="9">
        <v>0.0</v>
      </c>
      <c r="J251" s="17">
        <v>2792.0</v>
      </c>
      <c r="K251" s="18">
        <v>2436.9</v>
      </c>
      <c r="L251" s="17">
        <v>2475.0</v>
      </c>
      <c r="M251" s="18">
        <v>2475.0</v>
      </c>
      <c r="N251" s="18">
        <v>0.0</v>
      </c>
      <c r="O251" s="18">
        <v>1.837</v>
      </c>
      <c r="P251" s="4"/>
    </row>
    <row r="252">
      <c r="A252" s="8" t="s">
        <v>258</v>
      </c>
      <c r="B252" s="9">
        <v>25.0</v>
      </c>
      <c r="C252" s="14" t="s">
        <v>234</v>
      </c>
      <c r="D252" s="9">
        <v>50.0</v>
      </c>
      <c r="E252" s="10">
        <v>1.0</v>
      </c>
      <c r="F252" s="9">
        <v>5.0</v>
      </c>
      <c r="G252" s="9">
        <v>1.0</v>
      </c>
      <c r="H252" s="9">
        <v>0.0</v>
      </c>
      <c r="I252" s="9">
        <v>0.0</v>
      </c>
      <c r="J252" s="17">
        <v>2693.0</v>
      </c>
      <c r="K252" s="18">
        <v>2375.78</v>
      </c>
      <c r="L252" s="17">
        <v>2419.0</v>
      </c>
      <c r="M252" s="18">
        <v>2419.0</v>
      </c>
      <c r="N252" s="18">
        <v>0.0</v>
      </c>
      <c r="O252" s="18">
        <v>2.016</v>
      </c>
      <c r="P252" s="4"/>
    </row>
    <row r="253">
      <c r="A253" s="8" t="s">
        <v>259</v>
      </c>
      <c r="B253" s="9">
        <v>25.0</v>
      </c>
      <c r="C253" s="14" t="s">
        <v>234</v>
      </c>
      <c r="D253" s="9">
        <v>50.0</v>
      </c>
      <c r="E253" s="10">
        <v>2.0</v>
      </c>
      <c r="F253" s="9">
        <v>1.0</v>
      </c>
      <c r="G253" s="9">
        <v>0.0</v>
      </c>
      <c r="H253" s="9">
        <v>1.0</v>
      </c>
      <c r="I253" s="9">
        <v>0.0</v>
      </c>
      <c r="J253" s="17">
        <v>35976.0</v>
      </c>
      <c r="K253" s="18">
        <v>33077.5</v>
      </c>
      <c r="L253" s="17">
        <v>35948.0</v>
      </c>
      <c r="M253" s="18">
        <v>34468.0</v>
      </c>
      <c r="N253" s="18">
        <v>4.11706</v>
      </c>
      <c r="O253" s="18">
        <v>3600.0</v>
      </c>
      <c r="P253" s="4"/>
    </row>
    <row r="254">
      <c r="A254" s="8" t="s">
        <v>260</v>
      </c>
      <c r="B254" s="9">
        <v>25.0</v>
      </c>
      <c r="C254" s="14" t="s">
        <v>234</v>
      </c>
      <c r="D254" s="9">
        <v>50.0</v>
      </c>
      <c r="E254" s="10">
        <v>2.0</v>
      </c>
      <c r="F254" s="9">
        <v>2.0</v>
      </c>
      <c r="G254" s="9">
        <v>1.0</v>
      </c>
      <c r="H254" s="9">
        <v>0.0</v>
      </c>
      <c r="I254" s="9">
        <v>0.0</v>
      </c>
      <c r="J254" s="17">
        <v>37779.0</v>
      </c>
      <c r="K254" s="18">
        <v>37779.0</v>
      </c>
      <c r="L254" s="17">
        <v>37779.0</v>
      </c>
      <c r="M254" s="18">
        <v>37779.0</v>
      </c>
      <c r="N254" s="18">
        <v>0.0</v>
      </c>
      <c r="O254" s="18">
        <v>0.018</v>
      </c>
      <c r="P254" s="4"/>
    </row>
    <row r="255">
      <c r="A255" s="8" t="s">
        <v>261</v>
      </c>
      <c r="B255" s="9">
        <v>25.0</v>
      </c>
      <c r="C255" s="14" t="s">
        <v>234</v>
      </c>
      <c r="D255" s="9">
        <v>50.0</v>
      </c>
      <c r="E255" s="10">
        <v>2.0</v>
      </c>
      <c r="F255" s="9">
        <v>3.0</v>
      </c>
      <c r="G255" s="9">
        <v>1.0</v>
      </c>
      <c r="H255" s="9">
        <v>0.0</v>
      </c>
      <c r="I255" s="9">
        <v>0.0</v>
      </c>
      <c r="J255" s="17">
        <v>34848.0</v>
      </c>
      <c r="K255" s="18">
        <v>34848.0</v>
      </c>
      <c r="L255" s="17">
        <v>34848.0</v>
      </c>
      <c r="M255" s="18">
        <v>34848.0</v>
      </c>
      <c r="N255" s="18">
        <v>0.0</v>
      </c>
      <c r="O255" s="18">
        <v>0.017</v>
      </c>
      <c r="P255" s="4"/>
    </row>
    <row r="256">
      <c r="A256" s="8" t="s">
        <v>262</v>
      </c>
      <c r="B256" s="9">
        <v>25.0</v>
      </c>
      <c r="C256" s="14" t="s">
        <v>234</v>
      </c>
      <c r="D256" s="9">
        <v>50.0</v>
      </c>
      <c r="E256" s="10">
        <v>2.0</v>
      </c>
      <c r="F256" s="9">
        <v>4.0</v>
      </c>
      <c r="G256" s="9">
        <v>1.0</v>
      </c>
      <c r="H256" s="9">
        <v>0.0</v>
      </c>
      <c r="I256" s="9">
        <v>0.0</v>
      </c>
      <c r="J256" s="17">
        <v>31879.0</v>
      </c>
      <c r="K256" s="18">
        <v>31879.0</v>
      </c>
      <c r="L256" s="17">
        <v>31879.0</v>
      </c>
      <c r="M256" s="18">
        <v>31879.0</v>
      </c>
      <c r="N256" s="18">
        <v>0.0</v>
      </c>
      <c r="O256" s="18">
        <v>0.019</v>
      </c>
      <c r="P256" s="4"/>
    </row>
    <row r="257">
      <c r="A257" s="8" t="s">
        <v>263</v>
      </c>
      <c r="B257" s="9">
        <v>25.0</v>
      </c>
      <c r="C257" s="14" t="s">
        <v>234</v>
      </c>
      <c r="D257" s="9">
        <v>50.0</v>
      </c>
      <c r="E257" s="10">
        <v>2.0</v>
      </c>
      <c r="F257" s="9">
        <v>5.0</v>
      </c>
      <c r="G257" s="9">
        <v>1.0</v>
      </c>
      <c r="H257" s="9">
        <v>0.0</v>
      </c>
      <c r="I257" s="9">
        <v>0.0</v>
      </c>
      <c r="J257" s="17">
        <v>33939.0</v>
      </c>
      <c r="K257" s="18">
        <v>33939.0</v>
      </c>
      <c r="L257" s="17">
        <v>33939.0</v>
      </c>
      <c r="M257" s="18">
        <v>33939.0</v>
      </c>
      <c r="N257" s="18">
        <v>0.0</v>
      </c>
      <c r="O257" s="18">
        <v>0.022</v>
      </c>
      <c r="P257" s="4"/>
    </row>
    <row r="258">
      <c r="A258" s="8" t="s">
        <v>264</v>
      </c>
      <c r="B258" s="9">
        <v>25.0</v>
      </c>
      <c r="C258" s="14" t="s">
        <v>234</v>
      </c>
      <c r="D258" s="9">
        <v>75.0</v>
      </c>
      <c r="E258" s="10">
        <v>0.6</v>
      </c>
      <c r="F258" s="9">
        <v>1.0</v>
      </c>
      <c r="G258" s="9">
        <v>1.0</v>
      </c>
      <c r="H258" s="9">
        <v>0.0</v>
      </c>
      <c r="I258" s="9">
        <v>0.0</v>
      </c>
      <c r="J258" s="17">
        <v>1439.0</v>
      </c>
      <c r="K258" s="18">
        <v>1424.89</v>
      </c>
      <c r="L258" s="17">
        <v>1426.0</v>
      </c>
      <c r="M258" s="18">
        <v>1426.0</v>
      </c>
      <c r="N258" s="18">
        <v>0.0</v>
      </c>
      <c r="O258" s="18">
        <v>0.247</v>
      </c>
      <c r="P258" s="4"/>
    </row>
    <row r="259">
      <c r="A259" s="8" t="s">
        <v>265</v>
      </c>
      <c r="B259" s="9">
        <v>25.0</v>
      </c>
      <c r="C259" s="14" t="s">
        <v>234</v>
      </c>
      <c r="D259" s="9">
        <v>75.0</v>
      </c>
      <c r="E259" s="10">
        <v>0.6</v>
      </c>
      <c r="F259" s="9">
        <v>2.0</v>
      </c>
      <c r="G259" s="9">
        <v>1.0</v>
      </c>
      <c r="H259" s="9">
        <v>0.0</v>
      </c>
      <c r="I259" s="9">
        <v>0.0</v>
      </c>
      <c r="J259" s="17">
        <v>1230.0</v>
      </c>
      <c r="K259" s="18">
        <v>1230.0</v>
      </c>
      <c r="L259" s="17">
        <v>1230.0</v>
      </c>
      <c r="M259" s="18">
        <v>1230.0</v>
      </c>
      <c r="N259" s="18">
        <v>0.0</v>
      </c>
      <c r="O259" s="18">
        <v>0.223</v>
      </c>
      <c r="P259" s="4"/>
    </row>
    <row r="260">
      <c r="A260" s="8" t="s">
        <v>266</v>
      </c>
      <c r="B260" s="9">
        <v>25.0</v>
      </c>
      <c r="C260" s="14" t="s">
        <v>234</v>
      </c>
      <c r="D260" s="9">
        <v>75.0</v>
      </c>
      <c r="E260" s="10">
        <v>0.6</v>
      </c>
      <c r="F260" s="9">
        <v>3.0</v>
      </c>
      <c r="G260" s="9">
        <v>1.0</v>
      </c>
      <c r="H260" s="9">
        <v>0.0</v>
      </c>
      <c r="I260" s="9">
        <v>0.0</v>
      </c>
      <c r="J260" s="17">
        <v>1313.0</v>
      </c>
      <c r="K260" s="18">
        <v>1312.0</v>
      </c>
      <c r="L260" s="17">
        <v>1313.0</v>
      </c>
      <c r="M260" s="18">
        <v>1313.0</v>
      </c>
      <c r="N260" s="18">
        <v>0.0</v>
      </c>
      <c r="O260" s="18">
        <v>0.256</v>
      </c>
      <c r="P260" s="4"/>
    </row>
    <row r="261">
      <c r="A261" s="8" t="s">
        <v>267</v>
      </c>
      <c r="B261" s="9">
        <v>25.0</v>
      </c>
      <c r="C261" s="14" t="s">
        <v>234</v>
      </c>
      <c r="D261" s="9">
        <v>75.0</v>
      </c>
      <c r="E261" s="10">
        <v>0.6</v>
      </c>
      <c r="F261" s="9">
        <v>4.0</v>
      </c>
      <c r="G261" s="9">
        <v>1.0</v>
      </c>
      <c r="H261" s="9">
        <v>0.0</v>
      </c>
      <c r="I261" s="9">
        <v>0.0</v>
      </c>
      <c r="J261" s="17">
        <v>1271.0</v>
      </c>
      <c r="K261" s="18">
        <v>1255.67</v>
      </c>
      <c r="L261" s="17">
        <v>1271.0</v>
      </c>
      <c r="M261" s="18">
        <v>1271.0</v>
      </c>
      <c r="N261" s="18">
        <v>0.0</v>
      </c>
      <c r="O261" s="18">
        <v>0.338</v>
      </c>
      <c r="P261" s="4"/>
    </row>
    <row r="262">
      <c r="A262" s="8" t="s">
        <v>268</v>
      </c>
      <c r="B262" s="9">
        <v>25.0</v>
      </c>
      <c r="C262" s="14" t="s">
        <v>234</v>
      </c>
      <c r="D262" s="9">
        <v>75.0</v>
      </c>
      <c r="E262" s="10">
        <v>0.6</v>
      </c>
      <c r="F262" s="9">
        <v>5.0</v>
      </c>
      <c r="G262" s="9">
        <v>1.0</v>
      </c>
      <c r="H262" s="9">
        <v>0.0</v>
      </c>
      <c r="I262" s="9">
        <v>0.0</v>
      </c>
      <c r="J262" s="17">
        <v>1315.0</v>
      </c>
      <c r="K262" s="18">
        <v>1315.0</v>
      </c>
      <c r="L262" s="17">
        <v>1315.0</v>
      </c>
      <c r="M262" s="18">
        <v>1315.0</v>
      </c>
      <c r="N262" s="18">
        <v>0.0</v>
      </c>
      <c r="O262" s="18">
        <v>0.193</v>
      </c>
      <c r="P262" s="4"/>
    </row>
    <row r="263">
      <c r="A263" s="8" t="s">
        <v>269</v>
      </c>
      <c r="B263" s="9">
        <v>25.0</v>
      </c>
      <c r="C263" s="14" t="s">
        <v>234</v>
      </c>
      <c r="D263" s="9">
        <v>75.0</v>
      </c>
      <c r="E263" s="10">
        <v>1.0</v>
      </c>
      <c r="F263" s="9">
        <v>1.0</v>
      </c>
      <c r="G263" s="9">
        <v>1.0</v>
      </c>
      <c r="H263" s="9">
        <v>0.0</v>
      </c>
      <c r="I263" s="9">
        <v>0.0</v>
      </c>
      <c r="J263" s="17">
        <v>5166.0</v>
      </c>
      <c r="K263" s="18">
        <v>4671.39</v>
      </c>
      <c r="L263" s="17">
        <v>4768.0</v>
      </c>
      <c r="M263" s="18">
        <v>4768.0</v>
      </c>
      <c r="N263" s="18">
        <v>0.0</v>
      </c>
      <c r="O263" s="18">
        <v>10.086</v>
      </c>
      <c r="P263" s="4"/>
    </row>
    <row r="264">
      <c r="A264" s="8" t="s">
        <v>270</v>
      </c>
      <c r="B264" s="9">
        <v>25.0</v>
      </c>
      <c r="C264" s="14" t="s">
        <v>234</v>
      </c>
      <c r="D264" s="9">
        <v>75.0</v>
      </c>
      <c r="E264" s="10">
        <v>1.0</v>
      </c>
      <c r="F264" s="9">
        <v>2.0</v>
      </c>
      <c r="G264" s="9">
        <v>1.0</v>
      </c>
      <c r="H264" s="9">
        <v>0.0</v>
      </c>
      <c r="I264" s="9">
        <v>0.0</v>
      </c>
      <c r="J264" s="17">
        <v>4787.0</v>
      </c>
      <c r="K264" s="18">
        <v>4364.14</v>
      </c>
      <c r="L264" s="17">
        <v>4581.0</v>
      </c>
      <c r="M264" s="18">
        <v>4581.0</v>
      </c>
      <c r="N264" s="18">
        <v>0.0</v>
      </c>
      <c r="O264" s="18">
        <v>378.42</v>
      </c>
      <c r="P264" s="4"/>
    </row>
    <row r="265">
      <c r="A265" s="8" t="s">
        <v>271</v>
      </c>
      <c r="B265" s="9">
        <v>25.0</v>
      </c>
      <c r="C265" s="14" t="s">
        <v>234</v>
      </c>
      <c r="D265" s="9">
        <v>75.0</v>
      </c>
      <c r="E265" s="10">
        <v>1.0</v>
      </c>
      <c r="F265" s="9">
        <v>3.0</v>
      </c>
      <c r="G265" s="9">
        <v>1.0</v>
      </c>
      <c r="H265" s="9">
        <v>0.0</v>
      </c>
      <c r="I265" s="9">
        <v>0.0</v>
      </c>
      <c r="J265" s="17">
        <v>4742.0</v>
      </c>
      <c r="K265" s="18">
        <v>4399.38</v>
      </c>
      <c r="L265" s="17">
        <v>4506.0</v>
      </c>
      <c r="M265" s="18">
        <v>4506.0</v>
      </c>
      <c r="N265" s="18">
        <v>0.0</v>
      </c>
      <c r="O265" s="18">
        <v>5.952</v>
      </c>
      <c r="P265" s="4"/>
    </row>
    <row r="266">
      <c r="A266" s="8" t="s">
        <v>272</v>
      </c>
      <c r="B266" s="9">
        <v>25.0</v>
      </c>
      <c r="C266" s="14" t="s">
        <v>234</v>
      </c>
      <c r="D266" s="9">
        <v>75.0</v>
      </c>
      <c r="E266" s="10">
        <v>1.0</v>
      </c>
      <c r="F266" s="9">
        <v>4.0</v>
      </c>
      <c r="G266" s="9">
        <v>1.0</v>
      </c>
      <c r="H266" s="9">
        <v>0.0</v>
      </c>
      <c r="I266" s="9">
        <v>0.0</v>
      </c>
      <c r="J266" s="17">
        <v>4877.0</v>
      </c>
      <c r="K266" s="18">
        <v>4417.71</v>
      </c>
      <c r="L266" s="17">
        <v>4540.0</v>
      </c>
      <c r="M266" s="18">
        <v>4540.0</v>
      </c>
      <c r="N266" s="18">
        <v>0.0</v>
      </c>
      <c r="O266" s="18">
        <v>6.711</v>
      </c>
      <c r="P266" s="4"/>
    </row>
    <row r="267">
      <c r="A267" s="8" t="s">
        <v>273</v>
      </c>
      <c r="B267" s="9">
        <v>25.0</v>
      </c>
      <c r="C267" s="14" t="s">
        <v>234</v>
      </c>
      <c r="D267" s="9">
        <v>75.0</v>
      </c>
      <c r="E267" s="10">
        <v>1.0</v>
      </c>
      <c r="F267" s="9">
        <v>5.0</v>
      </c>
      <c r="G267" s="9">
        <v>1.0</v>
      </c>
      <c r="H267" s="9">
        <v>0.0</v>
      </c>
      <c r="I267" s="9">
        <v>0.0</v>
      </c>
      <c r="J267" s="17">
        <v>4964.0</v>
      </c>
      <c r="K267" s="18">
        <v>4433.91</v>
      </c>
      <c r="L267" s="17">
        <v>4577.0</v>
      </c>
      <c r="M267" s="18">
        <v>4577.0</v>
      </c>
      <c r="N267" s="18">
        <v>0.0</v>
      </c>
      <c r="O267" s="18">
        <v>18.235</v>
      </c>
      <c r="P267" s="4"/>
    </row>
    <row r="268">
      <c r="A268" s="8" t="s">
        <v>274</v>
      </c>
      <c r="B268" s="9">
        <v>25.0</v>
      </c>
      <c r="C268" s="14" t="s">
        <v>234</v>
      </c>
      <c r="D268" s="9">
        <v>75.0</v>
      </c>
      <c r="E268" s="10">
        <v>2.0</v>
      </c>
      <c r="F268" s="9">
        <v>1.0</v>
      </c>
      <c r="G268" s="9">
        <v>0.0</v>
      </c>
      <c r="H268" s="9">
        <v>1.0</v>
      </c>
      <c r="I268" s="9">
        <v>0.0</v>
      </c>
      <c r="J268" s="17">
        <v>58326.0</v>
      </c>
      <c r="K268" s="18">
        <v>53972.1</v>
      </c>
      <c r="L268" s="17">
        <v>58265.0</v>
      </c>
      <c r="M268" s="18">
        <v>54965.4</v>
      </c>
      <c r="N268" s="18">
        <v>5.66304</v>
      </c>
      <c r="O268" s="18">
        <v>3600.0</v>
      </c>
      <c r="P268" s="4"/>
    </row>
    <row r="269">
      <c r="A269" s="8" t="s">
        <v>275</v>
      </c>
      <c r="B269" s="9">
        <v>25.0</v>
      </c>
      <c r="C269" s="14" t="s">
        <v>234</v>
      </c>
      <c r="D269" s="9">
        <v>75.0</v>
      </c>
      <c r="E269" s="10">
        <v>2.0</v>
      </c>
      <c r="F269" s="9">
        <v>2.0</v>
      </c>
      <c r="G269" s="9">
        <v>0.0</v>
      </c>
      <c r="H269" s="9">
        <v>1.0</v>
      </c>
      <c r="I269" s="9">
        <v>0.0</v>
      </c>
      <c r="J269" s="17">
        <v>55973.0</v>
      </c>
      <c r="K269" s="18">
        <v>52601.6</v>
      </c>
      <c r="L269" s="17">
        <v>55973.0</v>
      </c>
      <c r="M269" s="18">
        <v>53820.0</v>
      </c>
      <c r="N269" s="18">
        <v>3.8465</v>
      </c>
      <c r="O269" s="18">
        <v>3600.0</v>
      </c>
      <c r="P269" s="4"/>
    </row>
    <row r="270">
      <c r="A270" s="8" t="s">
        <v>276</v>
      </c>
      <c r="B270" s="9">
        <v>25.0</v>
      </c>
      <c r="C270" s="14" t="s">
        <v>234</v>
      </c>
      <c r="D270" s="9">
        <v>75.0</v>
      </c>
      <c r="E270" s="10">
        <v>2.0</v>
      </c>
      <c r="F270" s="9">
        <v>3.0</v>
      </c>
      <c r="G270" s="9">
        <v>1.0</v>
      </c>
      <c r="H270" s="9">
        <v>0.0</v>
      </c>
      <c r="I270" s="9">
        <v>0.0</v>
      </c>
      <c r="J270" s="17">
        <v>50997.0</v>
      </c>
      <c r="K270" s="18">
        <v>50997.0</v>
      </c>
      <c r="L270" s="17">
        <v>50997.0</v>
      </c>
      <c r="M270" s="18">
        <v>50997.0</v>
      </c>
      <c r="N270" s="18">
        <v>0.0</v>
      </c>
      <c r="O270" s="18">
        <v>0.022</v>
      </c>
      <c r="P270" s="4"/>
    </row>
    <row r="271">
      <c r="A271" s="8" t="s">
        <v>277</v>
      </c>
      <c r="B271" s="9">
        <v>25.0</v>
      </c>
      <c r="C271" s="14" t="s">
        <v>234</v>
      </c>
      <c r="D271" s="9">
        <v>75.0</v>
      </c>
      <c r="E271" s="10">
        <v>2.0</v>
      </c>
      <c r="F271" s="9">
        <v>4.0</v>
      </c>
      <c r="G271" s="9">
        <v>1.0</v>
      </c>
      <c r="H271" s="9">
        <v>0.0</v>
      </c>
      <c r="I271" s="9">
        <v>0.0</v>
      </c>
      <c r="J271" s="17">
        <v>56934.0</v>
      </c>
      <c r="K271" s="18">
        <v>56934.0</v>
      </c>
      <c r="L271" s="17">
        <v>56934.0</v>
      </c>
      <c r="M271" s="18">
        <v>56934.0</v>
      </c>
      <c r="N271" s="18">
        <v>0.0</v>
      </c>
      <c r="O271" s="18">
        <v>0.018</v>
      </c>
      <c r="P271" s="4"/>
    </row>
    <row r="272">
      <c r="A272" s="8" t="s">
        <v>278</v>
      </c>
      <c r="B272" s="9">
        <v>25.0</v>
      </c>
      <c r="C272" s="14" t="s">
        <v>234</v>
      </c>
      <c r="D272" s="9">
        <v>75.0</v>
      </c>
      <c r="E272" s="10">
        <v>2.0</v>
      </c>
      <c r="F272" s="9">
        <v>5.0</v>
      </c>
      <c r="G272" s="9">
        <v>1.0</v>
      </c>
      <c r="H272" s="9">
        <v>0.0</v>
      </c>
      <c r="I272" s="9">
        <v>0.0</v>
      </c>
      <c r="J272" s="17">
        <v>51591.0</v>
      </c>
      <c r="K272" s="18">
        <v>51591.0</v>
      </c>
      <c r="L272" s="17">
        <v>51591.0</v>
      </c>
      <c r="M272" s="18">
        <v>51591.0</v>
      </c>
      <c r="N272" s="18">
        <v>0.0</v>
      </c>
      <c r="O272" s="18">
        <v>0.024</v>
      </c>
      <c r="P272" s="4"/>
    </row>
    <row r="273">
      <c r="A273" s="8" t="s">
        <v>279</v>
      </c>
      <c r="B273" s="9">
        <v>30.0</v>
      </c>
      <c r="C273" s="14" t="s">
        <v>234</v>
      </c>
      <c r="D273" s="9">
        <v>25.0</v>
      </c>
      <c r="E273" s="10">
        <v>0.6</v>
      </c>
      <c r="F273" s="9">
        <v>1.0</v>
      </c>
      <c r="G273" s="9">
        <v>1.0</v>
      </c>
      <c r="H273" s="9">
        <v>0.0</v>
      </c>
      <c r="I273" s="9">
        <v>0.0</v>
      </c>
      <c r="J273" s="17">
        <v>269.0</v>
      </c>
      <c r="K273" s="18">
        <v>240.0</v>
      </c>
      <c r="L273" s="17">
        <v>240.0</v>
      </c>
      <c r="M273" s="18">
        <v>240.0</v>
      </c>
      <c r="N273" s="18">
        <v>0.0</v>
      </c>
      <c r="O273" s="18">
        <v>0.351</v>
      </c>
      <c r="P273" s="4"/>
    </row>
    <row r="274">
      <c r="A274" s="8" t="s">
        <v>280</v>
      </c>
      <c r="B274" s="9">
        <v>30.0</v>
      </c>
      <c r="C274" s="14" t="s">
        <v>234</v>
      </c>
      <c r="D274" s="9">
        <v>25.0</v>
      </c>
      <c r="E274" s="10">
        <v>0.6</v>
      </c>
      <c r="F274" s="9">
        <v>2.0</v>
      </c>
      <c r="G274" s="9">
        <v>1.0</v>
      </c>
      <c r="H274" s="9">
        <v>0.0</v>
      </c>
      <c r="I274" s="9">
        <v>0.0</v>
      </c>
      <c r="J274" s="17">
        <v>236.0</v>
      </c>
      <c r="K274" s="18">
        <v>235.385</v>
      </c>
      <c r="L274" s="17">
        <v>236.0</v>
      </c>
      <c r="M274" s="18">
        <v>236.0</v>
      </c>
      <c r="N274" s="18">
        <v>0.0</v>
      </c>
      <c r="O274" s="18">
        <v>1.166</v>
      </c>
      <c r="P274" s="4"/>
    </row>
    <row r="275">
      <c r="A275" s="8" t="s">
        <v>281</v>
      </c>
      <c r="B275" s="9">
        <v>30.0</v>
      </c>
      <c r="C275" s="14" t="s">
        <v>234</v>
      </c>
      <c r="D275" s="9">
        <v>25.0</v>
      </c>
      <c r="E275" s="10">
        <v>0.6</v>
      </c>
      <c r="F275" s="9">
        <v>3.0</v>
      </c>
      <c r="G275" s="9">
        <v>1.0</v>
      </c>
      <c r="H275" s="9">
        <v>0.0</v>
      </c>
      <c r="I275" s="9">
        <v>0.0</v>
      </c>
      <c r="J275" s="17">
        <v>325.0</v>
      </c>
      <c r="K275" s="18">
        <v>289.545</v>
      </c>
      <c r="L275" s="17">
        <v>305.0</v>
      </c>
      <c r="M275" s="18">
        <v>305.0</v>
      </c>
      <c r="N275" s="18">
        <v>0.0</v>
      </c>
      <c r="O275" s="18">
        <v>8.78</v>
      </c>
      <c r="P275" s="4"/>
    </row>
    <row r="276">
      <c r="A276" s="8" t="s">
        <v>282</v>
      </c>
      <c r="B276" s="9">
        <v>30.0</v>
      </c>
      <c r="C276" s="14" t="s">
        <v>234</v>
      </c>
      <c r="D276" s="9">
        <v>25.0</v>
      </c>
      <c r="E276" s="10">
        <v>0.6</v>
      </c>
      <c r="F276" s="9">
        <v>4.0</v>
      </c>
      <c r="G276" s="9">
        <v>1.0</v>
      </c>
      <c r="H276" s="9">
        <v>0.0</v>
      </c>
      <c r="I276" s="9">
        <v>0.0</v>
      </c>
      <c r="J276" s="17">
        <v>229.0</v>
      </c>
      <c r="K276" s="18">
        <v>215.333</v>
      </c>
      <c r="L276" s="17">
        <v>228.0</v>
      </c>
      <c r="M276" s="18">
        <v>228.0</v>
      </c>
      <c r="N276" s="18">
        <v>0.0</v>
      </c>
      <c r="O276" s="18">
        <v>5.303</v>
      </c>
      <c r="P276" s="4"/>
    </row>
    <row r="277">
      <c r="A277" s="8" t="s">
        <v>283</v>
      </c>
      <c r="B277" s="9">
        <v>30.0</v>
      </c>
      <c r="C277" s="14" t="s">
        <v>234</v>
      </c>
      <c r="D277" s="9">
        <v>25.0</v>
      </c>
      <c r="E277" s="10">
        <v>0.6</v>
      </c>
      <c r="F277" s="9">
        <v>5.0</v>
      </c>
      <c r="G277" s="9">
        <v>1.0</v>
      </c>
      <c r="H277" s="9">
        <v>0.0</v>
      </c>
      <c r="I277" s="9">
        <v>0.0</v>
      </c>
      <c r="J277" s="17">
        <v>228.0</v>
      </c>
      <c r="K277" s="18">
        <v>211.667</v>
      </c>
      <c r="L277" s="17">
        <v>220.0</v>
      </c>
      <c r="M277" s="18">
        <v>220.0</v>
      </c>
      <c r="N277" s="18">
        <v>0.0</v>
      </c>
      <c r="O277" s="18">
        <v>2.613</v>
      </c>
      <c r="P277" s="4"/>
    </row>
    <row r="278">
      <c r="A278" s="8" t="s">
        <v>284</v>
      </c>
      <c r="B278" s="9">
        <v>30.0</v>
      </c>
      <c r="C278" s="14" t="s">
        <v>234</v>
      </c>
      <c r="D278" s="9">
        <v>25.0</v>
      </c>
      <c r="E278" s="10">
        <v>1.0</v>
      </c>
      <c r="F278" s="9">
        <v>1.0</v>
      </c>
      <c r="G278" s="9">
        <v>1.0</v>
      </c>
      <c r="H278" s="9">
        <v>0.0</v>
      </c>
      <c r="I278" s="9">
        <v>0.0</v>
      </c>
      <c r="J278" s="17">
        <v>1342.0</v>
      </c>
      <c r="K278" s="18">
        <v>1294.88</v>
      </c>
      <c r="L278" s="17">
        <v>1300.0</v>
      </c>
      <c r="M278" s="18">
        <v>1300.0</v>
      </c>
      <c r="N278" s="18">
        <v>0.0</v>
      </c>
      <c r="O278" s="18">
        <v>7.797</v>
      </c>
      <c r="P278" s="4"/>
    </row>
    <row r="279">
      <c r="A279" s="8" t="s">
        <v>285</v>
      </c>
      <c r="B279" s="9">
        <v>30.0</v>
      </c>
      <c r="C279" s="14" t="s">
        <v>234</v>
      </c>
      <c r="D279" s="9">
        <v>25.0</v>
      </c>
      <c r="E279" s="10">
        <v>1.0</v>
      </c>
      <c r="F279" s="9">
        <v>2.0</v>
      </c>
      <c r="G279" s="9">
        <v>1.0</v>
      </c>
      <c r="H279" s="9">
        <v>0.0</v>
      </c>
      <c r="I279" s="9">
        <v>0.0</v>
      </c>
      <c r="J279" s="17">
        <v>1285.0</v>
      </c>
      <c r="K279" s="18">
        <v>1280.16</v>
      </c>
      <c r="L279" s="17">
        <v>1285.0</v>
      </c>
      <c r="M279" s="18">
        <v>1285.0</v>
      </c>
      <c r="N279" s="18">
        <v>0.0</v>
      </c>
      <c r="O279" s="18">
        <v>6.452</v>
      </c>
      <c r="P279" s="4"/>
    </row>
    <row r="280">
      <c r="A280" s="8" t="s">
        <v>286</v>
      </c>
      <c r="B280" s="9">
        <v>30.0</v>
      </c>
      <c r="C280" s="14" t="s">
        <v>234</v>
      </c>
      <c r="D280" s="9">
        <v>25.0</v>
      </c>
      <c r="E280" s="10">
        <v>1.0</v>
      </c>
      <c r="F280" s="9">
        <v>3.0</v>
      </c>
      <c r="G280" s="9">
        <v>1.0</v>
      </c>
      <c r="H280" s="9">
        <v>0.0</v>
      </c>
      <c r="I280" s="9">
        <v>0.0</v>
      </c>
      <c r="J280" s="17">
        <v>1680.0</v>
      </c>
      <c r="K280" s="18">
        <v>1417.25</v>
      </c>
      <c r="L280" s="17">
        <v>1442.0</v>
      </c>
      <c r="M280" s="18">
        <v>1442.0</v>
      </c>
      <c r="N280" s="18">
        <v>0.0</v>
      </c>
      <c r="O280" s="18">
        <v>32.759</v>
      </c>
      <c r="P280" s="4"/>
    </row>
    <row r="281">
      <c r="A281" s="8" t="s">
        <v>287</v>
      </c>
      <c r="B281" s="9">
        <v>30.0</v>
      </c>
      <c r="C281" s="14" t="s">
        <v>234</v>
      </c>
      <c r="D281" s="9">
        <v>25.0</v>
      </c>
      <c r="E281" s="10">
        <v>1.0</v>
      </c>
      <c r="F281" s="9">
        <v>4.0</v>
      </c>
      <c r="G281" s="9">
        <v>1.0</v>
      </c>
      <c r="H281" s="9">
        <v>0.0</v>
      </c>
      <c r="I281" s="9">
        <v>0.0</v>
      </c>
      <c r="J281" s="17">
        <v>1488.0</v>
      </c>
      <c r="K281" s="18">
        <v>1240.33</v>
      </c>
      <c r="L281" s="17">
        <v>1249.0</v>
      </c>
      <c r="M281" s="18">
        <v>1249.0</v>
      </c>
      <c r="N281" s="18">
        <v>0.0</v>
      </c>
      <c r="O281" s="18">
        <v>23.08</v>
      </c>
      <c r="P281" s="4"/>
    </row>
    <row r="282">
      <c r="A282" s="8" t="s">
        <v>288</v>
      </c>
      <c r="B282" s="9">
        <v>30.0</v>
      </c>
      <c r="C282" s="14" t="s">
        <v>234</v>
      </c>
      <c r="D282" s="9">
        <v>25.0</v>
      </c>
      <c r="E282" s="10">
        <v>1.0</v>
      </c>
      <c r="F282" s="9">
        <v>5.0</v>
      </c>
      <c r="G282" s="9">
        <v>1.0</v>
      </c>
      <c r="H282" s="9">
        <v>0.0</v>
      </c>
      <c r="I282" s="9">
        <v>0.0</v>
      </c>
      <c r="J282" s="17">
        <v>1440.0</v>
      </c>
      <c r="K282" s="18">
        <v>1195.14</v>
      </c>
      <c r="L282" s="17">
        <v>1200.0</v>
      </c>
      <c r="M282" s="18">
        <v>1200.0</v>
      </c>
      <c r="N282" s="18">
        <v>0.0</v>
      </c>
      <c r="O282" s="18">
        <v>23.634</v>
      </c>
      <c r="P282" s="4"/>
    </row>
    <row r="283">
      <c r="A283" s="8" t="s">
        <v>289</v>
      </c>
      <c r="B283" s="9">
        <v>30.0</v>
      </c>
      <c r="C283" s="14" t="s">
        <v>234</v>
      </c>
      <c r="D283" s="9">
        <v>25.0</v>
      </c>
      <c r="E283" s="10">
        <v>2.0</v>
      </c>
      <c r="F283" s="9">
        <v>1.0</v>
      </c>
      <c r="G283" s="9">
        <v>0.0</v>
      </c>
      <c r="H283" s="9">
        <v>1.0</v>
      </c>
      <c r="I283" s="9">
        <v>0.0</v>
      </c>
      <c r="J283" s="17">
        <v>19965.0</v>
      </c>
      <c r="K283" s="18">
        <v>19057.5</v>
      </c>
      <c r="L283" s="17">
        <v>19965.0</v>
      </c>
      <c r="M283" s="18">
        <v>19057.5</v>
      </c>
      <c r="N283" s="18">
        <v>4.54545</v>
      </c>
      <c r="O283" s="18">
        <v>3600.0</v>
      </c>
      <c r="P283" s="4"/>
    </row>
    <row r="284">
      <c r="A284" s="8" t="s">
        <v>290</v>
      </c>
      <c r="B284" s="9">
        <v>30.0</v>
      </c>
      <c r="C284" s="14" t="s">
        <v>234</v>
      </c>
      <c r="D284" s="9">
        <v>25.0</v>
      </c>
      <c r="E284" s="10">
        <v>2.0</v>
      </c>
      <c r="F284" s="9">
        <v>2.0</v>
      </c>
      <c r="G284" s="9">
        <v>1.0</v>
      </c>
      <c r="H284" s="9">
        <v>0.0</v>
      </c>
      <c r="I284" s="9">
        <v>0.0</v>
      </c>
      <c r="J284" s="17">
        <v>17980.0</v>
      </c>
      <c r="K284" s="18">
        <v>17945.8</v>
      </c>
      <c r="L284" s="17">
        <v>17980.0</v>
      </c>
      <c r="M284" s="18">
        <v>17980.0</v>
      </c>
      <c r="N284" s="18">
        <v>0.0</v>
      </c>
      <c r="O284" s="18">
        <v>0.417</v>
      </c>
      <c r="P284" s="4"/>
    </row>
    <row r="285">
      <c r="A285" s="8" t="s">
        <v>291</v>
      </c>
      <c r="B285" s="9">
        <v>30.0</v>
      </c>
      <c r="C285" s="14" t="s">
        <v>234</v>
      </c>
      <c r="D285" s="9">
        <v>25.0</v>
      </c>
      <c r="E285" s="10">
        <v>2.0</v>
      </c>
      <c r="F285" s="9">
        <v>3.0</v>
      </c>
      <c r="G285" s="9">
        <v>1.0</v>
      </c>
      <c r="H285" s="9">
        <v>0.0</v>
      </c>
      <c r="I285" s="9">
        <v>0.0</v>
      </c>
      <c r="J285" s="17">
        <v>19580.0</v>
      </c>
      <c r="K285" s="18">
        <v>19468.1</v>
      </c>
      <c r="L285" s="17">
        <v>19580.0</v>
      </c>
      <c r="M285" s="18">
        <v>19580.0</v>
      </c>
      <c r="N285" s="18">
        <v>0.0</v>
      </c>
      <c r="O285" s="18">
        <v>14.191</v>
      </c>
      <c r="P285" s="4"/>
    </row>
    <row r="286">
      <c r="A286" s="8" t="s">
        <v>292</v>
      </c>
      <c r="B286" s="9">
        <v>30.0</v>
      </c>
      <c r="C286" s="14" t="s">
        <v>234</v>
      </c>
      <c r="D286" s="9">
        <v>25.0</v>
      </c>
      <c r="E286" s="10">
        <v>2.0</v>
      </c>
      <c r="F286" s="9">
        <v>4.0</v>
      </c>
      <c r="G286" s="9">
        <v>1.0</v>
      </c>
      <c r="H286" s="9">
        <v>0.0</v>
      </c>
      <c r="I286" s="9">
        <v>0.0</v>
      </c>
      <c r="J286" s="17">
        <v>17310.0</v>
      </c>
      <c r="K286" s="18">
        <v>17235.3</v>
      </c>
      <c r="L286" s="17">
        <v>17310.0</v>
      </c>
      <c r="M286" s="18">
        <v>17310.0</v>
      </c>
      <c r="N286" s="18">
        <v>0.0</v>
      </c>
      <c r="O286" s="18">
        <v>2.601</v>
      </c>
      <c r="P286" s="4"/>
    </row>
    <row r="287">
      <c r="A287" s="8" t="s">
        <v>293</v>
      </c>
      <c r="B287" s="9">
        <v>30.0</v>
      </c>
      <c r="C287" s="14" t="s">
        <v>234</v>
      </c>
      <c r="D287" s="9">
        <v>25.0</v>
      </c>
      <c r="E287" s="10">
        <v>2.0</v>
      </c>
      <c r="F287" s="9">
        <v>5.0</v>
      </c>
      <c r="G287" s="9">
        <v>1.0</v>
      </c>
      <c r="H287" s="9">
        <v>0.0</v>
      </c>
      <c r="I287" s="9">
        <v>0.0</v>
      </c>
      <c r="J287" s="17">
        <v>16800.0</v>
      </c>
      <c r="K287" s="18">
        <v>16758.6</v>
      </c>
      <c r="L287" s="17">
        <v>16800.0</v>
      </c>
      <c r="M287" s="18">
        <v>16800.0</v>
      </c>
      <c r="N287" s="18">
        <v>0.0</v>
      </c>
      <c r="O287" s="18">
        <v>0.999</v>
      </c>
      <c r="P287" s="4"/>
    </row>
    <row r="288">
      <c r="A288" s="8" t="s">
        <v>294</v>
      </c>
      <c r="B288" s="9">
        <v>30.0</v>
      </c>
      <c r="C288" s="14" t="s">
        <v>234</v>
      </c>
      <c r="D288" s="9">
        <v>50.0</v>
      </c>
      <c r="E288" s="10">
        <v>0.6</v>
      </c>
      <c r="F288" s="9">
        <v>1.0</v>
      </c>
      <c r="G288" s="9">
        <v>1.0</v>
      </c>
      <c r="H288" s="9">
        <v>0.0</v>
      </c>
      <c r="I288" s="9">
        <v>0.0</v>
      </c>
      <c r="J288" s="17">
        <v>712.0</v>
      </c>
      <c r="K288" s="18">
        <v>676.083</v>
      </c>
      <c r="L288" s="17">
        <v>704.0</v>
      </c>
      <c r="M288" s="18">
        <v>704.0</v>
      </c>
      <c r="N288" s="18">
        <v>0.0</v>
      </c>
      <c r="O288" s="18">
        <v>7.949</v>
      </c>
      <c r="P288" s="4"/>
    </row>
    <row r="289">
      <c r="A289" s="8" t="s">
        <v>295</v>
      </c>
      <c r="B289" s="9">
        <v>30.0</v>
      </c>
      <c r="C289" s="14" t="s">
        <v>234</v>
      </c>
      <c r="D289" s="9">
        <v>50.0</v>
      </c>
      <c r="E289" s="10">
        <v>0.6</v>
      </c>
      <c r="F289" s="9">
        <v>2.0</v>
      </c>
      <c r="G289" s="9">
        <v>1.0</v>
      </c>
      <c r="H289" s="9">
        <v>0.0</v>
      </c>
      <c r="I289" s="9">
        <v>0.0</v>
      </c>
      <c r="J289" s="17">
        <v>780.0</v>
      </c>
      <c r="K289" s="18">
        <v>746.607</v>
      </c>
      <c r="L289" s="17">
        <v>770.0</v>
      </c>
      <c r="M289" s="18">
        <v>770.0</v>
      </c>
      <c r="N289" s="18">
        <v>0.0</v>
      </c>
      <c r="O289" s="18">
        <v>3.822</v>
      </c>
      <c r="P289" s="4"/>
    </row>
    <row r="290">
      <c r="A290" s="8" t="s">
        <v>296</v>
      </c>
      <c r="B290" s="9">
        <v>30.0</v>
      </c>
      <c r="C290" s="14" t="s">
        <v>234</v>
      </c>
      <c r="D290" s="9">
        <v>50.0</v>
      </c>
      <c r="E290" s="10">
        <v>0.6</v>
      </c>
      <c r="F290" s="9">
        <v>3.0</v>
      </c>
      <c r="G290" s="9">
        <v>1.0</v>
      </c>
      <c r="H290" s="9">
        <v>0.0</v>
      </c>
      <c r="I290" s="9">
        <v>0.0</v>
      </c>
      <c r="J290" s="17">
        <v>704.0</v>
      </c>
      <c r="K290" s="18">
        <v>680.667</v>
      </c>
      <c r="L290" s="17">
        <v>696.0</v>
      </c>
      <c r="M290" s="18">
        <v>696.0</v>
      </c>
      <c r="N290" s="18">
        <v>0.0</v>
      </c>
      <c r="O290" s="18">
        <v>2.338</v>
      </c>
      <c r="P290" s="4"/>
    </row>
    <row r="291">
      <c r="A291" s="8" t="s">
        <v>297</v>
      </c>
      <c r="B291" s="9">
        <v>30.0</v>
      </c>
      <c r="C291" s="14" t="s">
        <v>234</v>
      </c>
      <c r="D291" s="9">
        <v>50.0</v>
      </c>
      <c r="E291" s="10">
        <v>0.6</v>
      </c>
      <c r="F291" s="9">
        <v>4.0</v>
      </c>
      <c r="G291" s="9">
        <v>1.0</v>
      </c>
      <c r="H291" s="9">
        <v>0.0</v>
      </c>
      <c r="I291" s="9">
        <v>0.0</v>
      </c>
      <c r="J291" s="17">
        <v>744.0</v>
      </c>
      <c r="K291" s="18">
        <v>734.0</v>
      </c>
      <c r="L291" s="17">
        <v>743.0</v>
      </c>
      <c r="M291" s="18">
        <v>743.0</v>
      </c>
      <c r="N291" s="18">
        <v>0.0</v>
      </c>
      <c r="O291" s="18">
        <v>2.843</v>
      </c>
      <c r="P291" s="4"/>
    </row>
    <row r="292">
      <c r="A292" s="8" t="s">
        <v>298</v>
      </c>
      <c r="B292" s="9">
        <v>30.0</v>
      </c>
      <c r="C292" s="14" t="s">
        <v>234</v>
      </c>
      <c r="D292" s="9">
        <v>50.0</v>
      </c>
      <c r="E292" s="10">
        <v>0.6</v>
      </c>
      <c r="F292" s="9">
        <v>5.0</v>
      </c>
      <c r="G292" s="9">
        <v>1.0</v>
      </c>
      <c r="H292" s="9">
        <v>0.0</v>
      </c>
      <c r="I292" s="9">
        <v>0.0</v>
      </c>
      <c r="J292" s="17">
        <v>803.0</v>
      </c>
      <c r="K292" s="18">
        <v>782.223</v>
      </c>
      <c r="L292" s="17">
        <v>792.0</v>
      </c>
      <c r="M292" s="18">
        <v>792.0</v>
      </c>
      <c r="N292" s="18">
        <v>0.0</v>
      </c>
      <c r="O292" s="18">
        <v>1.468</v>
      </c>
      <c r="P292" s="4"/>
    </row>
    <row r="293">
      <c r="A293" s="8" t="s">
        <v>299</v>
      </c>
      <c r="B293" s="9">
        <v>30.0</v>
      </c>
      <c r="C293" s="14" t="s">
        <v>234</v>
      </c>
      <c r="D293" s="9">
        <v>50.0</v>
      </c>
      <c r="E293" s="10">
        <v>1.0</v>
      </c>
      <c r="F293" s="9">
        <v>1.0</v>
      </c>
      <c r="G293" s="9">
        <v>1.0</v>
      </c>
      <c r="H293" s="9">
        <v>0.0</v>
      </c>
      <c r="I293" s="9">
        <v>0.0</v>
      </c>
      <c r="J293" s="17">
        <v>3060.0</v>
      </c>
      <c r="K293" s="18">
        <v>2717.23</v>
      </c>
      <c r="L293" s="17">
        <v>2829.0</v>
      </c>
      <c r="M293" s="18">
        <v>2829.0</v>
      </c>
      <c r="N293" s="18">
        <v>0.0</v>
      </c>
      <c r="O293" s="18">
        <v>75.94</v>
      </c>
      <c r="P293" s="4"/>
    </row>
    <row r="294">
      <c r="A294" s="8" t="s">
        <v>300</v>
      </c>
      <c r="B294" s="9">
        <v>30.0</v>
      </c>
      <c r="C294" s="14" t="s">
        <v>234</v>
      </c>
      <c r="D294" s="9">
        <v>50.0</v>
      </c>
      <c r="E294" s="10">
        <v>1.0</v>
      </c>
      <c r="F294" s="9">
        <v>2.0</v>
      </c>
      <c r="G294" s="9">
        <v>1.0</v>
      </c>
      <c r="H294" s="9">
        <v>0.0</v>
      </c>
      <c r="I294" s="9">
        <v>0.0</v>
      </c>
      <c r="J294" s="17">
        <v>3391.0</v>
      </c>
      <c r="K294" s="18">
        <v>3034.2</v>
      </c>
      <c r="L294" s="17">
        <v>3229.0</v>
      </c>
      <c r="M294" s="18">
        <v>3229.0</v>
      </c>
      <c r="N294" s="18">
        <v>0.0</v>
      </c>
      <c r="O294" s="18">
        <v>3434.33</v>
      </c>
      <c r="P294" s="4"/>
    </row>
    <row r="295">
      <c r="A295" s="8" t="s">
        <v>301</v>
      </c>
      <c r="B295" s="9">
        <v>30.0</v>
      </c>
      <c r="C295" s="14" t="s">
        <v>234</v>
      </c>
      <c r="D295" s="9">
        <v>50.0</v>
      </c>
      <c r="E295" s="10">
        <v>1.0</v>
      </c>
      <c r="F295" s="9">
        <v>3.0</v>
      </c>
      <c r="G295" s="9">
        <v>0.0</v>
      </c>
      <c r="H295" s="9">
        <v>1.0</v>
      </c>
      <c r="I295" s="9">
        <v>0.0</v>
      </c>
      <c r="J295" s="17">
        <v>3057.0</v>
      </c>
      <c r="K295" s="18">
        <v>2722.32</v>
      </c>
      <c r="L295" s="17">
        <v>3045.0</v>
      </c>
      <c r="M295" s="18">
        <v>2906.6</v>
      </c>
      <c r="N295" s="18">
        <v>4.54516</v>
      </c>
      <c r="O295" s="18">
        <v>3600.0</v>
      </c>
      <c r="P295" s="4"/>
    </row>
    <row r="296">
      <c r="A296" s="8" t="s">
        <v>302</v>
      </c>
      <c r="B296" s="9">
        <v>30.0</v>
      </c>
      <c r="C296" s="14" t="s">
        <v>234</v>
      </c>
      <c r="D296" s="9">
        <v>50.0</v>
      </c>
      <c r="E296" s="10">
        <v>1.0</v>
      </c>
      <c r="F296" s="9">
        <v>4.0</v>
      </c>
      <c r="G296" s="9">
        <v>1.0</v>
      </c>
      <c r="H296" s="9">
        <v>0.0</v>
      </c>
      <c r="I296" s="9">
        <v>0.0</v>
      </c>
      <c r="J296" s="17">
        <v>3145.0</v>
      </c>
      <c r="K296" s="18">
        <v>2774.02</v>
      </c>
      <c r="L296" s="17">
        <v>2878.0</v>
      </c>
      <c r="M296" s="18">
        <v>2878.0</v>
      </c>
      <c r="N296" s="18">
        <v>0.0</v>
      </c>
      <c r="O296" s="18">
        <v>84.083</v>
      </c>
      <c r="P296" s="4"/>
    </row>
    <row r="297">
      <c r="A297" s="8" t="s">
        <v>303</v>
      </c>
      <c r="B297" s="9">
        <v>30.0</v>
      </c>
      <c r="C297" s="14" t="s">
        <v>234</v>
      </c>
      <c r="D297" s="9">
        <v>50.0</v>
      </c>
      <c r="E297" s="10">
        <v>1.0</v>
      </c>
      <c r="F297" s="9">
        <v>5.0</v>
      </c>
      <c r="G297" s="9">
        <v>1.0</v>
      </c>
      <c r="H297" s="9">
        <v>0.0</v>
      </c>
      <c r="I297" s="9">
        <v>0.0</v>
      </c>
      <c r="J297" s="17">
        <v>3414.0</v>
      </c>
      <c r="K297" s="18">
        <v>3089.0</v>
      </c>
      <c r="L297" s="17">
        <v>3211.0</v>
      </c>
      <c r="M297" s="18">
        <v>3211.0</v>
      </c>
      <c r="N297" s="18">
        <v>0.0</v>
      </c>
      <c r="O297" s="18">
        <v>90.442</v>
      </c>
      <c r="P297" s="4"/>
    </row>
    <row r="298">
      <c r="A298" s="8" t="s">
        <v>304</v>
      </c>
      <c r="B298" s="9">
        <v>30.0</v>
      </c>
      <c r="C298" s="14" t="s">
        <v>234</v>
      </c>
      <c r="D298" s="9">
        <v>50.0</v>
      </c>
      <c r="E298" s="10">
        <v>2.0</v>
      </c>
      <c r="F298" s="9">
        <v>1.0</v>
      </c>
      <c r="G298" s="9">
        <v>1.0</v>
      </c>
      <c r="H298" s="9">
        <v>0.0</v>
      </c>
      <c r="I298" s="9">
        <v>0.0</v>
      </c>
      <c r="J298" s="17">
        <v>34695.0</v>
      </c>
      <c r="K298" s="18">
        <v>34659.1</v>
      </c>
      <c r="L298" s="17">
        <v>34695.0</v>
      </c>
      <c r="M298" s="18">
        <v>34695.0</v>
      </c>
      <c r="N298" s="18">
        <v>0.0</v>
      </c>
      <c r="O298" s="18">
        <v>0.235</v>
      </c>
      <c r="P298" s="4"/>
    </row>
    <row r="299">
      <c r="A299" s="8" t="s">
        <v>305</v>
      </c>
      <c r="B299" s="9">
        <v>30.0</v>
      </c>
      <c r="C299" s="14" t="s">
        <v>234</v>
      </c>
      <c r="D299" s="9">
        <v>50.0</v>
      </c>
      <c r="E299" s="10">
        <v>2.0</v>
      </c>
      <c r="F299" s="9">
        <v>2.0</v>
      </c>
      <c r="G299" s="9">
        <v>1.0</v>
      </c>
      <c r="H299" s="9">
        <v>0.0</v>
      </c>
      <c r="I299" s="9">
        <v>0.0</v>
      </c>
      <c r="J299" s="17">
        <v>37599.0</v>
      </c>
      <c r="K299" s="18">
        <v>37466.7</v>
      </c>
      <c r="L299" s="17">
        <v>37599.0</v>
      </c>
      <c r="M299" s="18">
        <v>37599.0</v>
      </c>
      <c r="N299" s="18">
        <v>0.0</v>
      </c>
      <c r="O299" s="18">
        <v>3.358</v>
      </c>
      <c r="P299" s="4"/>
    </row>
    <row r="300">
      <c r="A300" s="8" t="s">
        <v>306</v>
      </c>
      <c r="B300" s="9">
        <v>30.0</v>
      </c>
      <c r="C300" s="14" t="s">
        <v>234</v>
      </c>
      <c r="D300" s="9">
        <v>50.0</v>
      </c>
      <c r="E300" s="10">
        <v>2.0</v>
      </c>
      <c r="F300" s="9">
        <v>3.0</v>
      </c>
      <c r="G300" s="9">
        <v>1.0</v>
      </c>
      <c r="H300" s="9">
        <v>0.0</v>
      </c>
      <c r="I300" s="9">
        <v>0.0</v>
      </c>
      <c r="J300" s="17">
        <v>34536.0</v>
      </c>
      <c r="K300" s="18">
        <v>34458.9</v>
      </c>
      <c r="L300" s="17">
        <v>34502.0</v>
      </c>
      <c r="M300" s="18">
        <v>34502.0</v>
      </c>
      <c r="N300" s="18">
        <v>0.0</v>
      </c>
      <c r="O300" s="18">
        <v>0.27</v>
      </c>
      <c r="P300" s="4"/>
    </row>
    <row r="301">
      <c r="A301" s="8" t="s">
        <v>307</v>
      </c>
      <c r="B301" s="9">
        <v>30.0</v>
      </c>
      <c r="C301" s="14" t="s">
        <v>234</v>
      </c>
      <c r="D301" s="9">
        <v>50.0</v>
      </c>
      <c r="E301" s="10">
        <v>2.0</v>
      </c>
      <c r="F301" s="9">
        <v>4.0</v>
      </c>
      <c r="G301" s="9">
        <v>1.0</v>
      </c>
      <c r="H301" s="9">
        <v>0.0</v>
      </c>
      <c r="I301" s="9">
        <v>0.0</v>
      </c>
      <c r="J301" s="17">
        <v>34848.0</v>
      </c>
      <c r="K301" s="18">
        <v>34820.0</v>
      </c>
      <c r="L301" s="17">
        <v>34847.0</v>
      </c>
      <c r="M301" s="18">
        <v>34847.0</v>
      </c>
      <c r="N301" s="18">
        <v>0.0</v>
      </c>
      <c r="O301" s="18">
        <v>0.403</v>
      </c>
      <c r="P301" s="4"/>
    </row>
    <row r="302">
      <c r="A302" s="8" t="s">
        <v>308</v>
      </c>
      <c r="B302" s="9">
        <v>30.0</v>
      </c>
      <c r="C302" s="14" t="s">
        <v>234</v>
      </c>
      <c r="D302" s="9">
        <v>50.0</v>
      </c>
      <c r="E302" s="10">
        <v>2.0</v>
      </c>
      <c r="F302" s="9">
        <v>5.0</v>
      </c>
      <c r="G302" s="9">
        <v>1.0</v>
      </c>
      <c r="H302" s="9">
        <v>0.0</v>
      </c>
      <c r="I302" s="9">
        <v>0.0</v>
      </c>
      <c r="J302" s="17">
        <v>37648.0</v>
      </c>
      <c r="K302" s="18">
        <v>37300.9</v>
      </c>
      <c r="L302" s="17">
        <v>37602.0</v>
      </c>
      <c r="M302" s="18">
        <v>37602.0</v>
      </c>
      <c r="N302" s="18">
        <v>0.0</v>
      </c>
      <c r="O302" s="18">
        <v>28.463</v>
      </c>
      <c r="P302" s="4"/>
    </row>
    <row r="303">
      <c r="A303" s="8" t="s">
        <v>309</v>
      </c>
      <c r="B303" s="9">
        <v>30.0</v>
      </c>
      <c r="C303" s="14" t="s">
        <v>234</v>
      </c>
      <c r="D303" s="9">
        <v>75.0</v>
      </c>
      <c r="E303" s="10">
        <v>0.6</v>
      </c>
      <c r="F303" s="9">
        <v>1.0</v>
      </c>
      <c r="G303" s="9">
        <v>1.0</v>
      </c>
      <c r="H303" s="9">
        <v>0.0</v>
      </c>
      <c r="I303" s="9">
        <v>0.0</v>
      </c>
      <c r="J303" s="17">
        <v>1413.0</v>
      </c>
      <c r="K303" s="18">
        <v>1373.4</v>
      </c>
      <c r="L303" s="17">
        <v>1402.0</v>
      </c>
      <c r="M303" s="18">
        <v>1402.0</v>
      </c>
      <c r="N303" s="18">
        <v>0.0</v>
      </c>
      <c r="O303" s="18">
        <v>2.897</v>
      </c>
      <c r="P303" s="4"/>
    </row>
    <row r="304">
      <c r="A304" s="8" t="s">
        <v>310</v>
      </c>
      <c r="B304" s="9">
        <v>30.0</v>
      </c>
      <c r="C304" s="14" t="s">
        <v>234</v>
      </c>
      <c r="D304" s="9">
        <v>75.0</v>
      </c>
      <c r="E304" s="10">
        <v>0.6</v>
      </c>
      <c r="F304" s="9">
        <v>2.0</v>
      </c>
      <c r="G304" s="9">
        <v>1.0</v>
      </c>
      <c r="H304" s="9">
        <v>0.0</v>
      </c>
      <c r="I304" s="9">
        <v>0.0</v>
      </c>
      <c r="J304" s="17">
        <v>1792.0</v>
      </c>
      <c r="K304" s="18">
        <v>1753.67</v>
      </c>
      <c r="L304" s="17">
        <v>1789.0</v>
      </c>
      <c r="M304" s="18">
        <v>1789.0</v>
      </c>
      <c r="N304" s="18">
        <v>0.0</v>
      </c>
      <c r="O304" s="18">
        <v>2.407</v>
      </c>
      <c r="P304" s="4"/>
    </row>
    <row r="305">
      <c r="A305" s="8" t="s">
        <v>311</v>
      </c>
      <c r="B305" s="9">
        <v>30.0</v>
      </c>
      <c r="C305" s="14" t="s">
        <v>234</v>
      </c>
      <c r="D305" s="9">
        <v>75.0</v>
      </c>
      <c r="E305" s="10">
        <v>0.6</v>
      </c>
      <c r="F305" s="9">
        <v>3.0</v>
      </c>
      <c r="G305" s="9">
        <v>1.0</v>
      </c>
      <c r="H305" s="9">
        <v>0.0</v>
      </c>
      <c r="I305" s="9">
        <v>0.0</v>
      </c>
      <c r="J305" s="17">
        <v>1457.0</v>
      </c>
      <c r="K305" s="18">
        <v>1408.67</v>
      </c>
      <c r="L305" s="17">
        <v>1433.0</v>
      </c>
      <c r="M305" s="18">
        <v>1433.0</v>
      </c>
      <c r="N305" s="18">
        <v>0.0</v>
      </c>
      <c r="O305" s="18">
        <v>1.792</v>
      </c>
      <c r="P305" s="4"/>
    </row>
    <row r="306">
      <c r="A306" s="8" t="s">
        <v>312</v>
      </c>
      <c r="B306" s="9">
        <v>30.0</v>
      </c>
      <c r="C306" s="14" t="s">
        <v>234</v>
      </c>
      <c r="D306" s="9">
        <v>75.0</v>
      </c>
      <c r="E306" s="10">
        <v>0.6</v>
      </c>
      <c r="F306" s="9">
        <v>4.0</v>
      </c>
      <c r="G306" s="9">
        <v>1.0</v>
      </c>
      <c r="H306" s="9">
        <v>0.0</v>
      </c>
      <c r="I306" s="9">
        <v>0.0</v>
      </c>
      <c r="J306" s="17">
        <v>1676.0</v>
      </c>
      <c r="K306" s="18">
        <v>1653.5</v>
      </c>
      <c r="L306" s="17">
        <v>1676.0</v>
      </c>
      <c r="M306" s="18">
        <v>1676.0</v>
      </c>
      <c r="N306" s="18">
        <v>0.0</v>
      </c>
      <c r="O306" s="18">
        <v>1.842</v>
      </c>
      <c r="P306" s="4"/>
    </row>
    <row r="307">
      <c r="A307" s="8" t="s">
        <v>313</v>
      </c>
      <c r="B307" s="9">
        <v>30.0</v>
      </c>
      <c r="C307" s="14" t="s">
        <v>234</v>
      </c>
      <c r="D307" s="9">
        <v>75.0</v>
      </c>
      <c r="E307" s="10">
        <v>0.6</v>
      </c>
      <c r="F307" s="9">
        <v>5.0</v>
      </c>
      <c r="G307" s="9">
        <v>1.0</v>
      </c>
      <c r="H307" s="9">
        <v>0.0</v>
      </c>
      <c r="I307" s="9">
        <v>0.0</v>
      </c>
      <c r="J307" s="17">
        <v>1565.0</v>
      </c>
      <c r="K307" s="18">
        <v>1565.0</v>
      </c>
      <c r="L307" s="17">
        <v>1565.0</v>
      </c>
      <c r="M307" s="18">
        <v>1565.0</v>
      </c>
      <c r="N307" s="18">
        <v>0.0</v>
      </c>
      <c r="O307" s="18">
        <v>0.477</v>
      </c>
      <c r="P307" s="4"/>
    </row>
    <row r="308">
      <c r="A308" s="8" t="s">
        <v>314</v>
      </c>
      <c r="B308" s="9">
        <v>30.0</v>
      </c>
      <c r="C308" s="14" t="s">
        <v>234</v>
      </c>
      <c r="D308" s="9">
        <v>75.0</v>
      </c>
      <c r="E308" s="10">
        <v>1.0</v>
      </c>
      <c r="F308" s="9">
        <v>1.0</v>
      </c>
      <c r="G308" s="9">
        <v>1.0</v>
      </c>
      <c r="H308" s="9">
        <v>0.0</v>
      </c>
      <c r="I308" s="9">
        <v>0.0</v>
      </c>
      <c r="J308" s="17">
        <v>5062.0</v>
      </c>
      <c r="K308" s="18">
        <v>4614.73</v>
      </c>
      <c r="L308" s="17">
        <v>4756.0</v>
      </c>
      <c r="M308" s="18">
        <v>4756.0</v>
      </c>
      <c r="N308" s="18">
        <v>0.0</v>
      </c>
      <c r="O308" s="18">
        <v>65.544</v>
      </c>
      <c r="P308" s="4"/>
    </row>
    <row r="309">
      <c r="A309" s="8" t="s">
        <v>315</v>
      </c>
      <c r="B309" s="9">
        <v>30.0</v>
      </c>
      <c r="C309" s="14" t="s">
        <v>234</v>
      </c>
      <c r="D309" s="9">
        <v>75.0</v>
      </c>
      <c r="E309" s="10">
        <v>1.0</v>
      </c>
      <c r="F309" s="9">
        <v>2.0</v>
      </c>
      <c r="G309" s="9">
        <v>0.0</v>
      </c>
      <c r="H309" s="9">
        <v>1.0</v>
      </c>
      <c r="I309" s="9">
        <v>0.0</v>
      </c>
      <c r="J309" s="17">
        <v>6115.0</v>
      </c>
      <c r="K309" s="18">
        <v>5617.21</v>
      </c>
      <c r="L309" s="17">
        <v>5926.0</v>
      </c>
      <c r="M309" s="18">
        <v>5868.58</v>
      </c>
      <c r="N309" s="18">
        <v>0.968894</v>
      </c>
      <c r="O309" s="18">
        <v>3600.0</v>
      </c>
      <c r="P309" s="4"/>
    </row>
    <row r="310">
      <c r="A310" s="8" t="s">
        <v>316</v>
      </c>
      <c r="B310" s="9">
        <v>30.0</v>
      </c>
      <c r="C310" s="14" t="s">
        <v>234</v>
      </c>
      <c r="D310" s="9">
        <v>75.0</v>
      </c>
      <c r="E310" s="10">
        <v>1.0</v>
      </c>
      <c r="F310" s="9">
        <v>3.0</v>
      </c>
      <c r="G310" s="9">
        <v>1.0</v>
      </c>
      <c r="H310" s="9">
        <v>0.0</v>
      </c>
      <c r="I310" s="9">
        <v>0.0</v>
      </c>
      <c r="J310" s="17">
        <v>5273.0</v>
      </c>
      <c r="K310" s="18">
        <v>4807.07</v>
      </c>
      <c r="L310" s="17">
        <v>4895.0</v>
      </c>
      <c r="M310" s="18">
        <v>4895.0</v>
      </c>
      <c r="N310" s="18">
        <v>0.0</v>
      </c>
      <c r="O310" s="18">
        <v>39.834</v>
      </c>
      <c r="P310" s="4"/>
    </row>
    <row r="311">
      <c r="A311" s="8" t="s">
        <v>317</v>
      </c>
      <c r="B311" s="9">
        <v>30.0</v>
      </c>
      <c r="C311" s="14" t="s">
        <v>234</v>
      </c>
      <c r="D311" s="9">
        <v>75.0</v>
      </c>
      <c r="E311" s="10">
        <v>1.0</v>
      </c>
      <c r="F311" s="9">
        <v>4.0</v>
      </c>
      <c r="G311" s="9">
        <v>1.0</v>
      </c>
      <c r="H311" s="9">
        <v>0.0</v>
      </c>
      <c r="I311" s="9">
        <v>0.0</v>
      </c>
      <c r="J311" s="17">
        <v>5878.0</v>
      </c>
      <c r="K311" s="18">
        <v>5387.38</v>
      </c>
      <c r="L311" s="17">
        <v>5619.0</v>
      </c>
      <c r="M311" s="18">
        <v>5619.0</v>
      </c>
      <c r="N311" s="18">
        <v>0.0</v>
      </c>
      <c r="O311" s="18">
        <v>785.281</v>
      </c>
      <c r="P311" s="4"/>
    </row>
    <row r="312">
      <c r="A312" s="8" t="s">
        <v>318</v>
      </c>
      <c r="B312" s="9">
        <v>30.0</v>
      </c>
      <c r="C312" s="14" t="s">
        <v>234</v>
      </c>
      <c r="D312" s="9">
        <v>75.0</v>
      </c>
      <c r="E312" s="10">
        <v>1.0</v>
      </c>
      <c r="F312" s="9">
        <v>5.0</v>
      </c>
      <c r="G312" s="9">
        <v>1.0</v>
      </c>
      <c r="H312" s="9">
        <v>0.0</v>
      </c>
      <c r="I312" s="9">
        <v>0.0</v>
      </c>
      <c r="J312" s="17">
        <v>5634.0</v>
      </c>
      <c r="K312" s="18">
        <v>5126.02</v>
      </c>
      <c r="L312" s="17">
        <v>5289.0</v>
      </c>
      <c r="M312" s="18">
        <v>5289.0</v>
      </c>
      <c r="N312" s="18">
        <v>0.0</v>
      </c>
      <c r="O312" s="18">
        <v>210.805</v>
      </c>
      <c r="P312" s="4"/>
    </row>
    <row r="313">
      <c r="A313" s="8" t="s">
        <v>319</v>
      </c>
      <c r="B313" s="9">
        <v>30.0</v>
      </c>
      <c r="C313" s="14" t="s">
        <v>234</v>
      </c>
      <c r="D313" s="9">
        <v>75.0</v>
      </c>
      <c r="E313" s="10">
        <v>2.0</v>
      </c>
      <c r="F313" s="9">
        <v>1.0</v>
      </c>
      <c r="G313" s="9">
        <v>1.0</v>
      </c>
      <c r="H313" s="9">
        <v>0.0</v>
      </c>
      <c r="I313" s="9">
        <v>0.0</v>
      </c>
      <c r="J313" s="17">
        <v>52062.0</v>
      </c>
      <c r="K313" s="18">
        <v>52047.5</v>
      </c>
      <c r="L313" s="17">
        <v>52062.0</v>
      </c>
      <c r="M313" s="18">
        <v>52062.0</v>
      </c>
      <c r="N313" s="18">
        <v>0.0</v>
      </c>
      <c r="O313" s="18">
        <v>0.092</v>
      </c>
      <c r="P313" s="4"/>
    </row>
    <row r="314">
      <c r="A314" s="8" t="s">
        <v>320</v>
      </c>
      <c r="B314" s="9">
        <v>30.0</v>
      </c>
      <c r="C314" s="14" t="s">
        <v>234</v>
      </c>
      <c r="D314" s="9">
        <v>75.0</v>
      </c>
      <c r="E314" s="10">
        <v>2.0</v>
      </c>
      <c r="F314" s="9">
        <v>2.0</v>
      </c>
      <c r="G314" s="9">
        <v>1.0</v>
      </c>
      <c r="H314" s="9">
        <v>0.0</v>
      </c>
      <c r="I314" s="9">
        <v>0.0</v>
      </c>
      <c r="J314" s="17">
        <v>60370.0</v>
      </c>
      <c r="K314" s="18">
        <v>60263.0</v>
      </c>
      <c r="L314" s="17">
        <v>60343.0</v>
      </c>
      <c r="M314" s="18">
        <v>60343.0</v>
      </c>
      <c r="N314" s="18">
        <v>0.0</v>
      </c>
      <c r="O314" s="18">
        <v>0.548</v>
      </c>
      <c r="P314" s="4"/>
    </row>
    <row r="315">
      <c r="A315" s="8" t="s">
        <v>321</v>
      </c>
      <c r="B315" s="9">
        <v>30.0</v>
      </c>
      <c r="C315" s="14" t="s">
        <v>234</v>
      </c>
      <c r="D315" s="9">
        <v>75.0</v>
      </c>
      <c r="E315" s="10">
        <v>2.0</v>
      </c>
      <c r="F315" s="9">
        <v>3.0</v>
      </c>
      <c r="G315" s="9">
        <v>1.0</v>
      </c>
      <c r="H315" s="9">
        <v>0.0</v>
      </c>
      <c r="I315" s="9">
        <v>0.0</v>
      </c>
      <c r="J315" s="17">
        <v>53247.0</v>
      </c>
      <c r="K315" s="18">
        <v>53077.5</v>
      </c>
      <c r="L315" s="17">
        <v>53178.0</v>
      </c>
      <c r="M315" s="18">
        <v>53178.0</v>
      </c>
      <c r="N315" s="18">
        <v>0.0</v>
      </c>
      <c r="O315" s="18">
        <v>1.235</v>
      </c>
      <c r="P315" s="4"/>
    </row>
    <row r="316">
      <c r="A316" s="8" t="s">
        <v>322</v>
      </c>
      <c r="B316" s="9">
        <v>30.0</v>
      </c>
      <c r="C316" s="14" t="s">
        <v>234</v>
      </c>
      <c r="D316" s="9">
        <v>75.0</v>
      </c>
      <c r="E316" s="10">
        <v>2.0</v>
      </c>
      <c r="F316" s="9">
        <v>4.0</v>
      </c>
      <c r="G316" s="9">
        <v>1.0</v>
      </c>
      <c r="H316" s="9">
        <v>0.0</v>
      </c>
      <c r="I316" s="9">
        <v>0.0</v>
      </c>
      <c r="J316" s="17">
        <v>59057.0</v>
      </c>
      <c r="K316" s="18">
        <v>59057.0</v>
      </c>
      <c r="L316" s="17">
        <v>59057.0</v>
      </c>
      <c r="M316" s="18">
        <v>59057.0</v>
      </c>
      <c r="N316" s="18">
        <v>0.0</v>
      </c>
      <c r="O316" s="18">
        <v>0.097</v>
      </c>
      <c r="P316" s="4"/>
    </row>
    <row r="317">
      <c r="A317" s="8" t="s">
        <v>323</v>
      </c>
      <c r="B317" s="9">
        <v>30.0</v>
      </c>
      <c r="C317" s="14" t="s">
        <v>234</v>
      </c>
      <c r="D317" s="9">
        <v>75.0</v>
      </c>
      <c r="E317" s="10">
        <v>2.0</v>
      </c>
      <c r="F317" s="9">
        <v>5.0</v>
      </c>
      <c r="G317" s="9">
        <v>1.0</v>
      </c>
      <c r="H317" s="9">
        <v>0.0</v>
      </c>
      <c r="I317" s="9">
        <v>0.0</v>
      </c>
      <c r="J317" s="17">
        <v>55982.0</v>
      </c>
      <c r="K317" s="18">
        <v>55644.1</v>
      </c>
      <c r="L317" s="17">
        <v>55967.0</v>
      </c>
      <c r="M317" s="18">
        <v>55967.0</v>
      </c>
      <c r="N317" s="18">
        <v>0.0</v>
      </c>
      <c r="O317" s="18">
        <v>63.465</v>
      </c>
      <c r="P317" s="4"/>
    </row>
    <row r="318">
      <c r="A318" s="8" t="s">
        <v>324</v>
      </c>
      <c r="B318" s="9">
        <v>35.0</v>
      </c>
      <c r="C318" s="14" t="s">
        <v>234</v>
      </c>
      <c r="D318" s="9">
        <v>25.0</v>
      </c>
      <c r="E318" s="10">
        <v>0.6</v>
      </c>
      <c r="F318" s="9">
        <v>1.0</v>
      </c>
      <c r="G318" s="9">
        <v>1.0</v>
      </c>
      <c r="H318" s="9">
        <v>0.0</v>
      </c>
      <c r="I318" s="9">
        <v>0.0</v>
      </c>
      <c r="J318" s="17">
        <v>250.0</v>
      </c>
      <c r="K318" s="18">
        <v>250.0</v>
      </c>
      <c r="L318" s="17">
        <v>250.0</v>
      </c>
      <c r="M318" s="18">
        <v>250.0</v>
      </c>
      <c r="N318" s="18">
        <v>0.0</v>
      </c>
      <c r="O318" s="18">
        <v>1.556</v>
      </c>
      <c r="P318" s="4"/>
    </row>
    <row r="319">
      <c r="A319" s="8" t="s">
        <v>325</v>
      </c>
      <c r="B319" s="9">
        <v>35.0</v>
      </c>
      <c r="C319" s="14" t="s">
        <v>234</v>
      </c>
      <c r="D319" s="9">
        <v>25.0</v>
      </c>
      <c r="E319" s="10">
        <v>0.6</v>
      </c>
      <c r="F319" s="9">
        <v>2.0</v>
      </c>
      <c r="G319" s="9">
        <v>1.0</v>
      </c>
      <c r="H319" s="9">
        <v>0.0</v>
      </c>
      <c r="I319" s="9">
        <v>0.0</v>
      </c>
      <c r="J319" s="17">
        <v>310.0</v>
      </c>
      <c r="K319" s="18">
        <v>262.375</v>
      </c>
      <c r="L319" s="17">
        <v>281.0</v>
      </c>
      <c r="M319" s="18">
        <v>281.0</v>
      </c>
      <c r="N319" s="18">
        <v>0.0</v>
      </c>
      <c r="O319" s="18">
        <v>146.934</v>
      </c>
      <c r="P319" s="4"/>
    </row>
    <row r="320">
      <c r="A320" s="8" t="s">
        <v>326</v>
      </c>
      <c r="B320" s="9">
        <v>35.0</v>
      </c>
      <c r="C320" s="14" t="s">
        <v>234</v>
      </c>
      <c r="D320" s="9">
        <v>25.0</v>
      </c>
      <c r="E320" s="10">
        <v>0.6</v>
      </c>
      <c r="F320" s="9">
        <v>3.0</v>
      </c>
      <c r="G320" s="9">
        <v>1.0</v>
      </c>
      <c r="H320" s="9">
        <v>0.0</v>
      </c>
      <c r="I320" s="9">
        <v>0.0</v>
      </c>
      <c r="J320" s="17">
        <v>176.0</v>
      </c>
      <c r="K320" s="18">
        <v>167.833</v>
      </c>
      <c r="L320" s="17">
        <v>176.0</v>
      </c>
      <c r="M320" s="18">
        <v>176.0</v>
      </c>
      <c r="N320" s="18">
        <v>0.0</v>
      </c>
      <c r="O320" s="18">
        <v>27.979</v>
      </c>
      <c r="P320" s="4"/>
    </row>
    <row r="321">
      <c r="A321" s="8" t="s">
        <v>327</v>
      </c>
      <c r="B321" s="9">
        <v>35.0</v>
      </c>
      <c r="C321" s="14" t="s">
        <v>234</v>
      </c>
      <c r="D321" s="9">
        <v>25.0</v>
      </c>
      <c r="E321" s="10">
        <v>0.6</v>
      </c>
      <c r="F321" s="9">
        <v>4.0</v>
      </c>
      <c r="G321" s="9">
        <v>1.0</v>
      </c>
      <c r="H321" s="9">
        <v>0.0</v>
      </c>
      <c r="I321" s="9">
        <v>0.0</v>
      </c>
      <c r="J321" s="17">
        <v>355.0</v>
      </c>
      <c r="K321" s="18">
        <v>333.667</v>
      </c>
      <c r="L321" s="17">
        <v>355.0</v>
      </c>
      <c r="M321" s="18">
        <v>355.0</v>
      </c>
      <c r="N321" s="18">
        <v>0.0</v>
      </c>
      <c r="O321" s="18">
        <v>153.175</v>
      </c>
      <c r="P321" s="4"/>
    </row>
    <row r="322">
      <c r="A322" s="8" t="s">
        <v>328</v>
      </c>
      <c r="B322" s="9">
        <v>35.0</v>
      </c>
      <c r="C322" s="14" t="s">
        <v>234</v>
      </c>
      <c r="D322" s="9">
        <v>25.0</v>
      </c>
      <c r="E322" s="10">
        <v>0.6</v>
      </c>
      <c r="F322" s="9">
        <v>5.0</v>
      </c>
      <c r="G322" s="9">
        <v>1.0</v>
      </c>
      <c r="H322" s="9">
        <v>0.0</v>
      </c>
      <c r="I322" s="9">
        <v>0.0</v>
      </c>
      <c r="J322" s="17">
        <v>359.0</v>
      </c>
      <c r="K322" s="18">
        <v>326.824</v>
      </c>
      <c r="L322" s="17">
        <v>355.0</v>
      </c>
      <c r="M322" s="18">
        <v>355.0</v>
      </c>
      <c r="N322" s="18">
        <v>0.0</v>
      </c>
      <c r="O322" s="18">
        <v>562.917</v>
      </c>
      <c r="P322" s="4"/>
    </row>
    <row r="323">
      <c r="A323" s="8" t="s">
        <v>329</v>
      </c>
      <c r="B323" s="9">
        <v>35.0</v>
      </c>
      <c r="C323" s="14" t="s">
        <v>234</v>
      </c>
      <c r="D323" s="9">
        <v>25.0</v>
      </c>
      <c r="E323" s="10">
        <v>1.0</v>
      </c>
      <c r="F323" s="9">
        <v>1.0</v>
      </c>
      <c r="G323" s="9">
        <v>1.0</v>
      </c>
      <c r="H323" s="9">
        <v>0.0</v>
      </c>
      <c r="I323" s="9">
        <v>0.0</v>
      </c>
      <c r="J323" s="17">
        <v>1590.0</v>
      </c>
      <c r="K323" s="18">
        <v>1325.0</v>
      </c>
      <c r="L323" s="17">
        <v>1334.0</v>
      </c>
      <c r="M323" s="18">
        <v>1334.0</v>
      </c>
      <c r="N323" s="18">
        <v>0.0</v>
      </c>
      <c r="O323" s="18">
        <v>143.601</v>
      </c>
      <c r="P323" s="4"/>
    </row>
    <row r="324">
      <c r="A324" s="8" t="s">
        <v>330</v>
      </c>
      <c r="B324" s="9">
        <v>35.0</v>
      </c>
      <c r="C324" s="14" t="s">
        <v>234</v>
      </c>
      <c r="D324" s="9">
        <v>25.0</v>
      </c>
      <c r="E324" s="10">
        <v>1.0</v>
      </c>
      <c r="F324" s="9">
        <v>2.0</v>
      </c>
      <c r="G324" s="9">
        <v>1.0</v>
      </c>
      <c r="H324" s="9">
        <v>0.0</v>
      </c>
      <c r="I324" s="9">
        <v>0.0</v>
      </c>
      <c r="J324" s="17">
        <v>1638.0</v>
      </c>
      <c r="K324" s="18">
        <v>1362.52</v>
      </c>
      <c r="L324" s="17">
        <v>1370.0</v>
      </c>
      <c r="M324" s="18">
        <v>1370.0</v>
      </c>
      <c r="N324" s="18">
        <v>0.0</v>
      </c>
      <c r="O324" s="18">
        <v>24.999</v>
      </c>
      <c r="P324" s="4"/>
    </row>
    <row r="325">
      <c r="A325" s="8" t="s">
        <v>331</v>
      </c>
      <c r="B325" s="9">
        <v>35.0</v>
      </c>
      <c r="C325" s="14" t="s">
        <v>234</v>
      </c>
      <c r="D325" s="9">
        <v>25.0</v>
      </c>
      <c r="E325" s="10">
        <v>1.0</v>
      </c>
      <c r="F325" s="9">
        <v>3.0</v>
      </c>
      <c r="G325" s="9">
        <v>1.0</v>
      </c>
      <c r="H325" s="9">
        <v>0.0</v>
      </c>
      <c r="I325" s="9">
        <v>0.0</v>
      </c>
      <c r="J325" s="17">
        <v>1164.0</v>
      </c>
      <c r="K325" s="18">
        <v>966.655</v>
      </c>
      <c r="L325" s="17">
        <v>970.0</v>
      </c>
      <c r="M325" s="18">
        <v>970.0</v>
      </c>
      <c r="N325" s="18">
        <v>0.0</v>
      </c>
      <c r="O325" s="18">
        <v>623.611</v>
      </c>
      <c r="P325" s="4"/>
    </row>
    <row r="326">
      <c r="A326" s="8" t="s">
        <v>332</v>
      </c>
      <c r="B326" s="9">
        <v>35.0</v>
      </c>
      <c r="C326" s="14" t="s">
        <v>234</v>
      </c>
      <c r="D326" s="9">
        <v>25.0</v>
      </c>
      <c r="E326" s="10">
        <v>1.0</v>
      </c>
      <c r="F326" s="9">
        <v>4.0</v>
      </c>
      <c r="G326" s="9">
        <v>1.0</v>
      </c>
      <c r="H326" s="9">
        <v>0.0</v>
      </c>
      <c r="I326" s="9">
        <v>0.0</v>
      </c>
      <c r="J326" s="17">
        <v>1854.0</v>
      </c>
      <c r="K326" s="18">
        <v>1564.38</v>
      </c>
      <c r="L326" s="17">
        <v>1589.0</v>
      </c>
      <c r="M326" s="18">
        <v>1589.0</v>
      </c>
      <c r="N326" s="18">
        <v>0.0</v>
      </c>
      <c r="O326" s="18">
        <v>47.606</v>
      </c>
      <c r="P326" s="4"/>
    </row>
    <row r="327">
      <c r="A327" s="8" t="s">
        <v>333</v>
      </c>
      <c r="B327" s="9">
        <v>35.0</v>
      </c>
      <c r="C327" s="14" t="s">
        <v>234</v>
      </c>
      <c r="D327" s="9">
        <v>25.0</v>
      </c>
      <c r="E327" s="10">
        <v>1.0</v>
      </c>
      <c r="F327" s="9">
        <v>5.0</v>
      </c>
      <c r="G327" s="9">
        <v>1.0</v>
      </c>
      <c r="H327" s="9">
        <v>0.0</v>
      </c>
      <c r="I327" s="9">
        <v>0.0</v>
      </c>
      <c r="J327" s="17">
        <v>1848.0</v>
      </c>
      <c r="K327" s="18">
        <v>1551.58</v>
      </c>
      <c r="L327" s="17">
        <v>1597.0</v>
      </c>
      <c r="M327" s="18">
        <v>1597.0</v>
      </c>
      <c r="N327" s="18">
        <v>0.0</v>
      </c>
      <c r="O327" s="18">
        <v>327.603</v>
      </c>
      <c r="P327" s="4"/>
    </row>
    <row r="328">
      <c r="A328" s="8" t="s">
        <v>334</v>
      </c>
      <c r="B328" s="9">
        <v>35.0</v>
      </c>
      <c r="C328" s="14" t="s">
        <v>234</v>
      </c>
      <c r="D328" s="9">
        <v>25.0</v>
      </c>
      <c r="E328" s="10">
        <v>2.0</v>
      </c>
      <c r="F328" s="9">
        <v>1.0</v>
      </c>
      <c r="G328" s="9">
        <v>1.0</v>
      </c>
      <c r="H328" s="9">
        <v>0.0</v>
      </c>
      <c r="I328" s="9">
        <v>0.0</v>
      </c>
      <c r="J328" s="17">
        <v>18872.0</v>
      </c>
      <c r="K328" s="18">
        <v>18790.0</v>
      </c>
      <c r="L328" s="17">
        <v>18790.0</v>
      </c>
      <c r="M328" s="18">
        <v>18790.0</v>
      </c>
      <c r="N328" s="18">
        <v>0.0</v>
      </c>
      <c r="O328" s="18">
        <v>0.535</v>
      </c>
      <c r="P328" s="4"/>
    </row>
    <row r="329">
      <c r="A329" s="8" t="s">
        <v>335</v>
      </c>
      <c r="B329" s="9">
        <v>35.0</v>
      </c>
      <c r="C329" s="14" t="s">
        <v>234</v>
      </c>
      <c r="D329" s="9">
        <v>25.0</v>
      </c>
      <c r="E329" s="10">
        <v>2.0</v>
      </c>
      <c r="F329" s="9">
        <v>2.0</v>
      </c>
      <c r="G329" s="9">
        <v>0.0</v>
      </c>
      <c r="H329" s="9">
        <v>1.0</v>
      </c>
      <c r="I329" s="9">
        <v>0.0</v>
      </c>
      <c r="J329" s="17">
        <v>19390.0</v>
      </c>
      <c r="K329" s="18">
        <v>19208.2</v>
      </c>
      <c r="L329" s="17">
        <v>19390.0</v>
      </c>
      <c r="M329" s="18">
        <v>19261.3</v>
      </c>
      <c r="N329" s="18">
        <v>0.663963</v>
      </c>
      <c r="O329" s="18">
        <v>3600.0</v>
      </c>
      <c r="P329" s="4"/>
    </row>
    <row r="330">
      <c r="A330" s="8" t="s">
        <v>336</v>
      </c>
      <c r="B330" s="9">
        <v>35.0</v>
      </c>
      <c r="C330" s="14" t="s">
        <v>234</v>
      </c>
      <c r="D330" s="9">
        <v>25.0</v>
      </c>
      <c r="E330" s="10">
        <v>2.0</v>
      </c>
      <c r="F330" s="9">
        <v>3.0</v>
      </c>
      <c r="G330" s="9">
        <v>0.0</v>
      </c>
      <c r="H330" s="9">
        <v>1.0</v>
      </c>
      <c r="I330" s="9">
        <v>0.0</v>
      </c>
      <c r="J330" s="17">
        <v>13750.0</v>
      </c>
      <c r="K330" s="18">
        <v>13702.6</v>
      </c>
      <c r="L330" s="17">
        <v>13750.0</v>
      </c>
      <c r="M330" s="18">
        <v>13719.5</v>
      </c>
      <c r="N330" s="18">
        <v>0.222098</v>
      </c>
      <c r="O330" s="18">
        <v>3600.0</v>
      </c>
      <c r="P330" s="4"/>
    </row>
    <row r="331">
      <c r="A331" s="8" t="s">
        <v>337</v>
      </c>
      <c r="B331" s="9">
        <v>35.0</v>
      </c>
      <c r="C331" s="14" t="s">
        <v>234</v>
      </c>
      <c r="D331" s="9">
        <v>25.0</v>
      </c>
      <c r="E331" s="10">
        <v>2.0</v>
      </c>
      <c r="F331" s="9">
        <v>4.0</v>
      </c>
      <c r="G331" s="9">
        <v>1.0</v>
      </c>
      <c r="H331" s="9">
        <v>0.0</v>
      </c>
      <c r="I331" s="9">
        <v>0.0</v>
      </c>
      <c r="J331" s="17">
        <v>21922.0</v>
      </c>
      <c r="K331" s="18">
        <v>21869.2</v>
      </c>
      <c r="L331" s="17">
        <v>21920.0</v>
      </c>
      <c r="M331" s="18">
        <v>21920.0</v>
      </c>
      <c r="N331" s="18">
        <v>0.0</v>
      </c>
      <c r="O331" s="18">
        <v>34.034</v>
      </c>
      <c r="P331" s="4"/>
    </row>
    <row r="332">
      <c r="A332" s="8" t="s">
        <v>338</v>
      </c>
      <c r="B332" s="9">
        <v>35.0</v>
      </c>
      <c r="C332" s="14" t="s">
        <v>234</v>
      </c>
      <c r="D332" s="9">
        <v>25.0</v>
      </c>
      <c r="E332" s="10">
        <v>2.0</v>
      </c>
      <c r="F332" s="9">
        <v>5.0</v>
      </c>
      <c r="G332" s="9">
        <v>1.0</v>
      </c>
      <c r="H332" s="9">
        <v>0.0</v>
      </c>
      <c r="I332" s="9">
        <v>0.0</v>
      </c>
      <c r="J332" s="17">
        <v>21900.0</v>
      </c>
      <c r="K332" s="18">
        <v>21875.9</v>
      </c>
      <c r="L332" s="17">
        <v>21900.0</v>
      </c>
      <c r="M332" s="18">
        <v>21900.0</v>
      </c>
      <c r="N332" s="18">
        <v>0.0</v>
      </c>
      <c r="O332" s="18">
        <v>30.648</v>
      </c>
      <c r="P332" s="4"/>
    </row>
    <row r="333">
      <c r="A333" s="8" t="s">
        <v>339</v>
      </c>
      <c r="B333" s="9">
        <v>35.0</v>
      </c>
      <c r="C333" s="14" t="s">
        <v>234</v>
      </c>
      <c r="D333" s="9">
        <v>50.0</v>
      </c>
      <c r="E333" s="10">
        <v>0.6</v>
      </c>
      <c r="F333" s="9">
        <v>1.0</v>
      </c>
      <c r="G333" s="9">
        <v>1.0</v>
      </c>
      <c r="H333" s="9">
        <v>0.0</v>
      </c>
      <c r="I333" s="9">
        <v>0.0</v>
      </c>
      <c r="J333" s="17">
        <v>806.0</v>
      </c>
      <c r="K333" s="18">
        <v>744.017</v>
      </c>
      <c r="L333" s="17">
        <v>768.0</v>
      </c>
      <c r="M333" s="18">
        <v>768.0</v>
      </c>
      <c r="N333" s="18">
        <v>0.0</v>
      </c>
      <c r="O333" s="18">
        <v>24.753</v>
      </c>
      <c r="P333" s="4"/>
    </row>
    <row r="334">
      <c r="A334" s="8" t="s">
        <v>340</v>
      </c>
      <c r="B334" s="9">
        <v>35.0</v>
      </c>
      <c r="C334" s="14" t="s">
        <v>234</v>
      </c>
      <c r="D334" s="9">
        <v>50.0</v>
      </c>
      <c r="E334" s="10">
        <v>0.6</v>
      </c>
      <c r="F334" s="9">
        <v>2.0</v>
      </c>
      <c r="G334" s="9">
        <v>1.0</v>
      </c>
      <c r="H334" s="9">
        <v>0.0</v>
      </c>
      <c r="I334" s="9">
        <v>0.0</v>
      </c>
      <c r="J334" s="17">
        <v>826.0</v>
      </c>
      <c r="K334" s="18">
        <v>783.75</v>
      </c>
      <c r="L334" s="17">
        <v>808.0</v>
      </c>
      <c r="M334" s="18">
        <v>808.0</v>
      </c>
      <c r="N334" s="18">
        <v>0.0</v>
      </c>
      <c r="O334" s="18">
        <v>19.358</v>
      </c>
      <c r="P334" s="4"/>
    </row>
    <row r="335">
      <c r="A335" s="8" t="s">
        <v>341</v>
      </c>
      <c r="B335" s="9">
        <v>35.0</v>
      </c>
      <c r="C335" s="14" t="s">
        <v>234</v>
      </c>
      <c r="D335" s="9">
        <v>50.0</v>
      </c>
      <c r="E335" s="10">
        <v>0.6</v>
      </c>
      <c r="F335" s="9">
        <v>3.0</v>
      </c>
      <c r="G335" s="9">
        <v>1.0</v>
      </c>
      <c r="H335" s="9">
        <v>0.0</v>
      </c>
      <c r="I335" s="9">
        <v>0.0</v>
      </c>
      <c r="J335" s="17">
        <v>879.0</v>
      </c>
      <c r="K335" s="18">
        <v>836.081</v>
      </c>
      <c r="L335" s="17">
        <v>867.0</v>
      </c>
      <c r="M335" s="18">
        <v>867.0</v>
      </c>
      <c r="N335" s="18">
        <v>0.0</v>
      </c>
      <c r="O335" s="18">
        <v>21.289</v>
      </c>
      <c r="P335" s="4"/>
    </row>
    <row r="336">
      <c r="A336" s="8" t="s">
        <v>342</v>
      </c>
      <c r="B336" s="9">
        <v>35.0</v>
      </c>
      <c r="C336" s="14" t="s">
        <v>234</v>
      </c>
      <c r="D336" s="9">
        <v>50.0</v>
      </c>
      <c r="E336" s="10">
        <v>0.6</v>
      </c>
      <c r="F336" s="9">
        <v>4.0</v>
      </c>
      <c r="G336" s="9">
        <v>1.0</v>
      </c>
      <c r="H336" s="9">
        <v>0.0</v>
      </c>
      <c r="I336" s="9">
        <v>0.0</v>
      </c>
      <c r="J336" s="17">
        <v>922.0</v>
      </c>
      <c r="K336" s="18">
        <v>880.702</v>
      </c>
      <c r="L336" s="17">
        <v>920.0</v>
      </c>
      <c r="M336" s="18">
        <v>920.0</v>
      </c>
      <c r="N336" s="18">
        <v>0.0</v>
      </c>
      <c r="O336" s="18">
        <v>22.578</v>
      </c>
      <c r="P336" s="4"/>
    </row>
    <row r="337">
      <c r="A337" s="8" t="s">
        <v>343</v>
      </c>
      <c r="B337" s="9">
        <v>35.0</v>
      </c>
      <c r="C337" s="14" t="s">
        <v>234</v>
      </c>
      <c r="D337" s="9">
        <v>50.0</v>
      </c>
      <c r="E337" s="10">
        <v>0.6</v>
      </c>
      <c r="F337" s="9">
        <v>5.0</v>
      </c>
      <c r="G337" s="9">
        <v>1.0</v>
      </c>
      <c r="H337" s="9">
        <v>0.0</v>
      </c>
      <c r="I337" s="9">
        <v>0.0</v>
      </c>
      <c r="J337" s="17">
        <v>794.0</v>
      </c>
      <c r="K337" s="18">
        <v>789.584</v>
      </c>
      <c r="L337" s="17">
        <v>794.0</v>
      </c>
      <c r="M337" s="18">
        <v>794.0</v>
      </c>
      <c r="N337" s="18">
        <v>0.0</v>
      </c>
      <c r="O337" s="18">
        <v>2.699</v>
      </c>
      <c r="P337" s="4"/>
    </row>
    <row r="338">
      <c r="A338" s="8" t="s">
        <v>344</v>
      </c>
      <c r="B338" s="9">
        <v>35.0</v>
      </c>
      <c r="C338" s="14" t="s">
        <v>234</v>
      </c>
      <c r="D338" s="9">
        <v>50.0</v>
      </c>
      <c r="E338" s="10">
        <v>1.0</v>
      </c>
      <c r="F338" s="9">
        <v>1.0</v>
      </c>
      <c r="G338" s="9">
        <v>1.0</v>
      </c>
      <c r="H338" s="9">
        <v>0.0</v>
      </c>
      <c r="I338" s="9">
        <v>0.0</v>
      </c>
      <c r="J338" s="17">
        <v>3203.0</v>
      </c>
      <c r="K338" s="18">
        <v>2892.0</v>
      </c>
      <c r="L338" s="17">
        <v>3036.0</v>
      </c>
      <c r="M338" s="18">
        <v>3036.0</v>
      </c>
      <c r="N338" s="18">
        <v>0.0</v>
      </c>
      <c r="O338" s="18">
        <v>1371.15</v>
      </c>
      <c r="P338" s="4"/>
    </row>
    <row r="339">
      <c r="A339" s="8" t="s">
        <v>345</v>
      </c>
      <c r="B339" s="9">
        <v>35.0</v>
      </c>
      <c r="C339" s="14" t="s">
        <v>234</v>
      </c>
      <c r="D339" s="9">
        <v>50.0</v>
      </c>
      <c r="E339" s="10">
        <v>1.0</v>
      </c>
      <c r="F339" s="9">
        <v>2.0</v>
      </c>
      <c r="G339" s="9">
        <v>1.0</v>
      </c>
      <c r="H339" s="9">
        <v>0.0</v>
      </c>
      <c r="I339" s="9">
        <v>0.0</v>
      </c>
      <c r="J339" s="17">
        <v>3244.0</v>
      </c>
      <c r="K339" s="18">
        <v>2951.73</v>
      </c>
      <c r="L339" s="17">
        <v>3124.0</v>
      </c>
      <c r="M339" s="18">
        <v>3124.0</v>
      </c>
      <c r="N339" s="18">
        <v>0.0</v>
      </c>
      <c r="O339" s="18">
        <v>2928.48</v>
      </c>
      <c r="P339" s="4"/>
    </row>
    <row r="340">
      <c r="A340" s="8" t="s">
        <v>346</v>
      </c>
      <c r="B340" s="9">
        <v>35.0</v>
      </c>
      <c r="C340" s="14" t="s">
        <v>234</v>
      </c>
      <c r="D340" s="9">
        <v>50.0</v>
      </c>
      <c r="E340" s="10">
        <v>1.0</v>
      </c>
      <c r="F340" s="9">
        <v>3.0</v>
      </c>
      <c r="G340" s="9">
        <v>1.0</v>
      </c>
      <c r="H340" s="9">
        <v>0.0</v>
      </c>
      <c r="I340" s="9">
        <v>0.0</v>
      </c>
      <c r="J340" s="17">
        <v>3393.0</v>
      </c>
      <c r="K340" s="18">
        <v>3170.36</v>
      </c>
      <c r="L340" s="17">
        <v>3315.0</v>
      </c>
      <c r="M340" s="18">
        <v>3315.0</v>
      </c>
      <c r="N340" s="18">
        <v>0.0</v>
      </c>
      <c r="O340" s="18">
        <v>1399.71</v>
      </c>
      <c r="P340" s="4"/>
    </row>
    <row r="341">
      <c r="A341" s="8" t="s">
        <v>347</v>
      </c>
      <c r="B341" s="9">
        <v>35.0</v>
      </c>
      <c r="C341" s="14" t="s">
        <v>234</v>
      </c>
      <c r="D341" s="9">
        <v>50.0</v>
      </c>
      <c r="E341" s="10">
        <v>1.0</v>
      </c>
      <c r="F341" s="9">
        <v>4.0</v>
      </c>
      <c r="G341" s="9">
        <v>1.0</v>
      </c>
      <c r="H341" s="9">
        <v>0.0</v>
      </c>
      <c r="I341" s="9">
        <v>0.0</v>
      </c>
      <c r="J341" s="17">
        <v>3660.0</v>
      </c>
      <c r="K341" s="18">
        <v>3395.38</v>
      </c>
      <c r="L341" s="17">
        <v>3566.0</v>
      </c>
      <c r="M341" s="18">
        <v>3566.0</v>
      </c>
      <c r="N341" s="18">
        <v>0.0</v>
      </c>
      <c r="O341" s="18">
        <v>2756.35</v>
      </c>
      <c r="P341" s="4"/>
    </row>
    <row r="342">
      <c r="A342" s="8" t="s">
        <v>348</v>
      </c>
      <c r="B342" s="9">
        <v>35.0</v>
      </c>
      <c r="C342" s="14" t="s">
        <v>234</v>
      </c>
      <c r="D342" s="9">
        <v>50.0</v>
      </c>
      <c r="E342" s="10">
        <v>1.0</v>
      </c>
      <c r="F342" s="9">
        <v>5.0</v>
      </c>
      <c r="G342" s="9">
        <v>1.0</v>
      </c>
      <c r="H342" s="9">
        <v>0.0</v>
      </c>
      <c r="I342" s="9">
        <v>0.0</v>
      </c>
      <c r="J342" s="17">
        <v>3427.0</v>
      </c>
      <c r="K342" s="18">
        <v>3109.0</v>
      </c>
      <c r="L342" s="17">
        <v>3334.0</v>
      </c>
      <c r="M342" s="18">
        <v>3334.0</v>
      </c>
      <c r="N342" s="18">
        <v>0.0</v>
      </c>
      <c r="O342" s="18">
        <v>2491.49</v>
      </c>
      <c r="P342" s="4"/>
    </row>
    <row r="343">
      <c r="A343" s="8" t="s">
        <v>349</v>
      </c>
      <c r="B343" s="9">
        <v>35.0</v>
      </c>
      <c r="C343" s="14" t="s">
        <v>234</v>
      </c>
      <c r="D343" s="9">
        <v>50.0</v>
      </c>
      <c r="E343" s="10">
        <v>2.0</v>
      </c>
      <c r="F343" s="9">
        <v>1.0</v>
      </c>
      <c r="G343" s="9">
        <v>1.0</v>
      </c>
      <c r="H343" s="9">
        <v>0.0</v>
      </c>
      <c r="I343" s="9">
        <v>0.0</v>
      </c>
      <c r="J343" s="17">
        <v>35884.0</v>
      </c>
      <c r="K343" s="18">
        <v>35651.3</v>
      </c>
      <c r="L343" s="17">
        <v>35832.0</v>
      </c>
      <c r="M343" s="18">
        <v>35832.0</v>
      </c>
      <c r="N343" s="18">
        <v>0.0</v>
      </c>
      <c r="O343" s="18">
        <v>577.302</v>
      </c>
      <c r="P343" s="4"/>
    </row>
    <row r="344">
      <c r="A344" s="8" t="s">
        <v>350</v>
      </c>
      <c r="B344" s="9">
        <v>35.0</v>
      </c>
      <c r="C344" s="14" t="s">
        <v>234</v>
      </c>
      <c r="D344" s="9">
        <v>50.0</v>
      </c>
      <c r="E344" s="10">
        <v>2.0</v>
      </c>
      <c r="F344" s="9">
        <v>2.0</v>
      </c>
      <c r="G344" s="9">
        <v>1.0</v>
      </c>
      <c r="H344" s="9">
        <v>0.0</v>
      </c>
      <c r="I344" s="9">
        <v>0.0</v>
      </c>
      <c r="J344" s="17">
        <v>35643.0</v>
      </c>
      <c r="K344" s="18">
        <v>35576.6</v>
      </c>
      <c r="L344" s="17">
        <v>35635.0</v>
      </c>
      <c r="M344" s="18">
        <v>35635.0</v>
      </c>
      <c r="N344" s="18">
        <v>0.0</v>
      </c>
      <c r="O344" s="18">
        <v>2.819</v>
      </c>
      <c r="P344" s="4"/>
    </row>
    <row r="345">
      <c r="A345" s="8" t="s">
        <v>351</v>
      </c>
      <c r="B345" s="9">
        <v>35.0</v>
      </c>
      <c r="C345" s="14" t="s">
        <v>234</v>
      </c>
      <c r="D345" s="9">
        <v>50.0</v>
      </c>
      <c r="E345" s="10">
        <v>2.0</v>
      </c>
      <c r="F345" s="9">
        <v>3.0</v>
      </c>
      <c r="G345" s="9">
        <v>0.0</v>
      </c>
      <c r="H345" s="9">
        <v>1.0</v>
      </c>
      <c r="I345" s="9">
        <v>0.0</v>
      </c>
      <c r="J345" s="17">
        <v>37722.0</v>
      </c>
      <c r="K345" s="18">
        <v>37386.3</v>
      </c>
      <c r="L345" s="17">
        <v>37683.0</v>
      </c>
      <c r="M345" s="18">
        <v>37625.1</v>
      </c>
      <c r="N345" s="18">
        <v>0.153641</v>
      </c>
      <c r="O345" s="18">
        <v>3600.0</v>
      </c>
      <c r="P345" s="4"/>
    </row>
    <row r="346">
      <c r="A346" s="8" t="s">
        <v>352</v>
      </c>
      <c r="B346" s="9">
        <v>35.0</v>
      </c>
      <c r="C346" s="14" t="s">
        <v>234</v>
      </c>
      <c r="D346" s="9">
        <v>50.0</v>
      </c>
      <c r="E346" s="10">
        <v>2.0</v>
      </c>
      <c r="F346" s="9">
        <v>4.0</v>
      </c>
      <c r="G346" s="9">
        <v>0.0</v>
      </c>
      <c r="H346" s="9">
        <v>1.0</v>
      </c>
      <c r="I346" s="9">
        <v>0.0</v>
      </c>
      <c r="J346" s="17">
        <v>40346.0</v>
      </c>
      <c r="K346" s="18">
        <v>39977.0</v>
      </c>
      <c r="L346" s="17">
        <v>40346.0</v>
      </c>
      <c r="M346" s="18">
        <v>40224.7</v>
      </c>
      <c r="N346" s="18">
        <v>0.300668</v>
      </c>
      <c r="O346" s="18">
        <v>3600.0</v>
      </c>
      <c r="P346" s="4"/>
    </row>
    <row r="347">
      <c r="A347" s="8" t="s">
        <v>353</v>
      </c>
      <c r="B347" s="9">
        <v>35.0</v>
      </c>
      <c r="C347" s="14" t="s">
        <v>234</v>
      </c>
      <c r="D347" s="9">
        <v>50.0</v>
      </c>
      <c r="E347" s="10">
        <v>2.0</v>
      </c>
      <c r="F347" s="9">
        <v>5.0</v>
      </c>
      <c r="G347" s="9">
        <v>1.0</v>
      </c>
      <c r="H347" s="9">
        <v>0.0</v>
      </c>
      <c r="I347" s="9">
        <v>0.0</v>
      </c>
      <c r="J347" s="17">
        <v>38716.0</v>
      </c>
      <c r="K347" s="18">
        <v>38437.9</v>
      </c>
      <c r="L347" s="17">
        <v>38673.0</v>
      </c>
      <c r="M347" s="18">
        <v>38673.0</v>
      </c>
      <c r="N347" s="18">
        <v>0.0</v>
      </c>
      <c r="O347" s="18">
        <v>691.03</v>
      </c>
      <c r="P347" s="4"/>
    </row>
    <row r="348">
      <c r="A348" s="8" t="s">
        <v>354</v>
      </c>
      <c r="B348" s="9">
        <v>35.0</v>
      </c>
      <c r="C348" s="14" t="s">
        <v>234</v>
      </c>
      <c r="D348" s="9">
        <v>75.0</v>
      </c>
      <c r="E348" s="10">
        <v>0.6</v>
      </c>
      <c r="F348" s="9">
        <v>1.0</v>
      </c>
      <c r="G348" s="9">
        <v>1.0</v>
      </c>
      <c r="H348" s="9">
        <v>0.0</v>
      </c>
      <c r="I348" s="9">
        <v>0.0</v>
      </c>
      <c r="J348" s="17">
        <v>1742.0</v>
      </c>
      <c r="K348" s="18">
        <v>1675.13</v>
      </c>
      <c r="L348" s="17">
        <v>1700.0</v>
      </c>
      <c r="M348" s="18">
        <v>1700.0</v>
      </c>
      <c r="N348" s="18">
        <v>0.0</v>
      </c>
      <c r="O348" s="18">
        <v>5.672</v>
      </c>
      <c r="P348" s="4"/>
    </row>
    <row r="349">
      <c r="A349" s="8" t="s">
        <v>355</v>
      </c>
      <c r="B349" s="9">
        <v>35.0</v>
      </c>
      <c r="C349" s="14" t="s">
        <v>234</v>
      </c>
      <c r="D349" s="9">
        <v>75.0</v>
      </c>
      <c r="E349" s="10">
        <v>0.6</v>
      </c>
      <c r="F349" s="9">
        <v>2.0</v>
      </c>
      <c r="G349" s="9">
        <v>1.0</v>
      </c>
      <c r="H349" s="9">
        <v>0.0</v>
      </c>
      <c r="I349" s="9">
        <v>0.0</v>
      </c>
      <c r="J349" s="17">
        <v>1601.0</v>
      </c>
      <c r="K349" s="18">
        <v>1571.62</v>
      </c>
      <c r="L349" s="17">
        <v>1591.0</v>
      </c>
      <c r="M349" s="18">
        <v>1591.0</v>
      </c>
      <c r="N349" s="18">
        <v>0.0</v>
      </c>
      <c r="O349" s="18">
        <v>3.698</v>
      </c>
      <c r="P349" s="4"/>
    </row>
    <row r="350">
      <c r="A350" s="8" t="s">
        <v>356</v>
      </c>
      <c r="B350" s="9">
        <v>35.0</v>
      </c>
      <c r="C350" s="14" t="s">
        <v>234</v>
      </c>
      <c r="D350" s="9">
        <v>75.0</v>
      </c>
      <c r="E350" s="10">
        <v>0.6</v>
      </c>
      <c r="F350" s="9">
        <v>3.0</v>
      </c>
      <c r="G350" s="9">
        <v>1.0</v>
      </c>
      <c r="H350" s="9">
        <v>0.0</v>
      </c>
      <c r="I350" s="9">
        <v>0.0</v>
      </c>
      <c r="J350" s="17">
        <v>1730.0</v>
      </c>
      <c r="K350" s="18">
        <v>1684.92</v>
      </c>
      <c r="L350" s="17">
        <v>1705.0</v>
      </c>
      <c r="M350" s="18">
        <v>1705.0</v>
      </c>
      <c r="N350" s="18">
        <v>0.0</v>
      </c>
      <c r="O350" s="18">
        <v>6.718</v>
      </c>
      <c r="P350" s="4"/>
    </row>
    <row r="351">
      <c r="A351" s="8" t="s">
        <v>357</v>
      </c>
      <c r="B351" s="9">
        <v>35.0</v>
      </c>
      <c r="C351" s="14" t="s">
        <v>234</v>
      </c>
      <c r="D351" s="9">
        <v>75.0</v>
      </c>
      <c r="E351" s="10">
        <v>0.6</v>
      </c>
      <c r="F351" s="9">
        <v>4.0</v>
      </c>
      <c r="G351" s="9">
        <v>1.0</v>
      </c>
      <c r="H351" s="9">
        <v>0.0</v>
      </c>
      <c r="I351" s="9">
        <v>0.0</v>
      </c>
      <c r="J351" s="17">
        <v>1908.0</v>
      </c>
      <c r="K351" s="18">
        <v>1870.14</v>
      </c>
      <c r="L351" s="17">
        <v>1894.0</v>
      </c>
      <c r="M351" s="18">
        <v>1894.0</v>
      </c>
      <c r="N351" s="18">
        <v>0.0</v>
      </c>
      <c r="O351" s="18">
        <v>4.929</v>
      </c>
      <c r="P351" s="4"/>
    </row>
    <row r="352">
      <c r="A352" s="8" t="s">
        <v>358</v>
      </c>
      <c r="B352" s="9">
        <v>35.0</v>
      </c>
      <c r="C352" s="14" t="s">
        <v>234</v>
      </c>
      <c r="D352" s="9">
        <v>75.0</v>
      </c>
      <c r="E352" s="10">
        <v>0.6</v>
      </c>
      <c r="F352" s="9">
        <v>5.0</v>
      </c>
      <c r="G352" s="9">
        <v>1.0</v>
      </c>
      <c r="H352" s="9">
        <v>0.0</v>
      </c>
      <c r="I352" s="9">
        <v>0.0</v>
      </c>
      <c r="J352" s="17">
        <v>1690.0</v>
      </c>
      <c r="K352" s="18">
        <v>1673.71</v>
      </c>
      <c r="L352" s="17">
        <v>1690.0</v>
      </c>
      <c r="M352" s="18">
        <v>1690.0</v>
      </c>
      <c r="N352" s="18">
        <v>0.0</v>
      </c>
      <c r="O352" s="18">
        <v>5.41</v>
      </c>
      <c r="P352" s="4"/>
    </row>
    <row r="353">
      <c r="A353" s="8" t="s">
        <v>359</v>
      </c>
      <c r="B353" s="9">
        <v>35.0</v>
      </c>
      <c r="C353" s="14" t="s">
        <v>234</v>
      </c>
      <c r="D353" s="9">
        <v>75.0</v>
      </c>
      <c r="E353" s="10">
        <v>1.0</v>
      </c>
      <c r="F353" s="9">
        <v>1.0</v>
      </c>
      <c r="G353" s="9">
        <v>1.0</v>
      </c>
      <c r="H353" s="9">
        <v>0.0</v>
      </c>
      <c r="I353" s="9">
        <v>0.0</v>
      </c>
      <c r="J353" s="17">
        <v>5884.0</v>
      </c>
      <c r="K353" s="18">
        <v>5586.63</v>
      </c>
      <c r="L353" s="17">
        <v>5701.0</v>
      </c>
      <c r="M353" s="18">
        <v>5701.0</v>
      </c>
      <c r="N353" s="18">
        <v>0.0</v>
      </c>
      <c r="O353" s="18">
        <v>181.033</v>
      </c>
      <c r="P353" s="4"/>
    </row>
    <row r="354">
      <c r="A354" s="8" t="s">
        <v>360</v>
      </c>
      <c r="B354" s="9">
        <v>35.0</v>
      </c>
      <c r="C354" s="14" t="s">
        <v>234</v>
      </c>
      <c r="D354" s="9">
        <v>75.0</v>
      </c>
      <c r="E354" s="10">
        <v>1.0</v>
      </c>
      <c r="F354" s="9">
        <v>2.0</v>
      </c>
      <c r="G354" s="9">
        <v>1.0</v>
      </c>
      <c r="H354" s="9">
        <v>0.0</v>
      </c>
      <c r="I354" s="9">
        <v>0.0</v>
      </c>
      <c r="J354" s="17">
        <v>5576.0</v>
      </c>
      <c r="K354" s="18">
        <v>5196.97</v>
      </c>
      <c r="L354" s="17">
        <v>5358.0</v>
      </c>
      <c r="M354" s="18">
        <v>5358.0</v>
      </c>
      <c r="N354" s="18">
        <v>0.0</v>
      </c>
      <c r="O354" s="18">
        <v>741.101</v>
      </c>
      <c r="P354" s="4"/>
    </row>
    <row r="355">
      <c r="A355" s="8" t="s">
        <v>361</v>
      </c>
      <c r="B355" s="9">
        <v>35.0</v>
      </c>
      <c r="C355" s="14" t="s">
        <v>234</v>
      </c>
      <c r="D355" s="9">
        <v>75.0</v>
      </c>
      <c r="E355" s="10">
        <v>1.0</v>
      </c>
      <c r="F355" s="9">
        <v>3.0</v>
      </c>
      <c r="G355" s="9">
        <v>1.0</v>
      </c>
      <c r="H355" s="9">
        <v>0.0</v>
      </c>
      <c r="I355" s="9">
        <v>0.0</v>
      </c>
      <c r="J355" s="17">
        <v>5825.0</v>
      </c>
      <c r="K355" s="18">
        <v>5519.47</v>
      </c>
      <c r="L355" s="17">
        <v>5657.0</v>
      </c>
      <c r="M355" s="18">
        <v>5657.0</v>
      </c>
      <c r="N355" s="18">
        <v>0.0</v>
      </c>
      <c r="O355" s="18">
        <v>256.078</v>
      </c>
      <c r="P355" s="4"/>
    </row>
    <row r="356">
      <c r="A356" s="8" t="s">
        <v>362</v>
      </c>
      <c r="B356" s="9">
        <v>35.0</v>
      </c>
      <c r="C356" s="14" t="s">
        <v>234</v>
      </c>
      <c r="D356" s="9">
        <v>75.0</v>
      </c>
      <c r="E356" s="10">
        <v>1.0</v>
      </c>
      <c r="F356" s="9">
        <v>4.0</v>
      </c>
      <c r="G356" s="9">
        <v>1.0</v>
      </c>
      <c r="H356" s="9">
        <v>0.0</v>
      </c>
      <c r="I356" s="9">
        <v>0.0</v>
      </c>
      <c r="J356" s="17">
        <v>6275.0</v>
      </c>
      <c r="K356" s="18">
        <v>5944.7</v>
      </c>
      <c r="L356" s="17">
        <v>6098.0</v>
      </c>
      <c r="M356" s="18">
        <v>6098.0</v>
      </c>
      <c r="N356" s="18">
        <v>0.0</v>
      </c>
      <c r="O356" s="18">
        <v>468.152</v>
      </c>
      <c r="P356" s="4"/>
    </row>
    <row r="357">
      <c r="A357" s="8" t="s">
        <v>363</v>
      </c>
      <c r="B357" s="9">
        <v>35.0</v>
      </c>
      <c r="C357" s="14" t="s">
        <v>234</v>
      </c>
      <c r="D357" s="9">
        <v>75.0</v>
      </c>
      <c r="E357" s="10">
        <v>1.0</v>
      </c>
      <c r="F357" s="9">
        <v>5.0</v>
      </c>
      <c r="G357" s="9">
        <v>1.0</v>
      </c>
      <c r="H357" s="9">
        <v>0.0</v>
      </c>
      <c r="I357" s="9">
        <v>0.0</v>
      </c>
      <c r="J357" s="17">
        <v>5843.0</v>
      </c>
      <c r="K357" s="18">
        <v>5415.22</v>
      </c>
      <c r="L357" s="17">
        <v>5579.0</v>
      </c>
      <c r="M357" s="18">
        <v>5579.0</v>
      </c>
      <c r="N357" s="18">
        <v>0.0</v>
      </c>
      <c r="O357" s="18">
        <v>963.73</v>
      </c>
      <c r="P357" s="4"/>
    </row>
    <row r="358">
      <c r="A358" s="8" t="s">
        <v>364</v>
      </c>
      <c r="B358" s="9">
        <v>35.0</v>
      </c>
      <c r="C358" s="14" t="s">
        <v>234</v>
      </c>
      <c r="D358" s="9">
        <v>75.0</v>
      </c>
      <c r="E358" s="10">
        <v>2.0</v>
      </c>
      <c r="F358" s="9">
        <v>1.0</v>
      </c>
      <c r="G358" s="9">
        <v>1.0</v>
      </c>
      <c r="H358" s="9">
        <v>0.0</v>
      </c>
      <c r="I358" s="9">
        <v>0.0</v>
      </c>
      <c r="J358" s="17">
        <v>57793.0</v>
      </c>
      <c r="K358" s="18">
        <v>57432.6</v>
      </c>
      <c r="L358" s="17">
        <v>57720.0</v>
      </c>
      <c r="M358" s="18">
        <v>57720.0</v>
      </c>
      <c r="N358" s="18">
        <v>0.0</v>
      </c>
      <c r="O358" s="18">
        <v>986.891</v>
      </c>
      <c r="P358" s="4"/>
    </row>
    <row r="359">
      <c r="A359" s="8" t="s">
        <v>365</v>
      </c>
      <c r="B359" s="9">
        <v>35.0</v>
      </c>
      <c r="C359" s="14" t="s">
        <v>234</v>
      </c>
      <c r="D359" s="9">
        <v>75.0</v>
      </c>
      <c r="E359" s="10">
        <v>2.0</v>
      </c>
      <c r="F359" s="9">
        <v>2.0</v>
      </c>
      <c r="G359" s="9">
        <v>1.0</v>
      </c>
      <c r="H359" s="9">
        <v>0.0</v>
      </c>
      <c r="I359" s="9">
        <v>0.0</v>
      </c>
      <c r="J359" s="17">
        <v>55237.0</v>
      </c>
      <c r="K359" s="18">
        <v>55120.1</v>
      </c>
      <c r="L359" s="17">
        <v>55225.0</v>
      </c>
      <c r="M359" s="18">
        <v>55225.0</v>
      </c>
      <c r="N359" s="18">
        <v>0.0</v>
      </c>
      <c r="O359" s="18">
        <v>9.242</v>
      </c>
      <c r="P359" s="4"/>
    </row>
    <row r="360">
      <c r="A360" s="8" t="s">
        <v>366</v>
      </c>
      <c r="B360" s="9">
        <v>35.0</v>
      </c>
      <c r="C360" s="14" t="s">
        <v>234</v>
      </c>
      <c r="D360" s="9">
        <v>75.0</v>
      </c>
      <c r="E360" s="10">
        <v>2.0</v>
      </c>
      <c r="F360" s="9">
        <v>3.0</v>
      </c>
      <c r="G360" s="9">
        <v>1.0</v>
      </c>
      <c r="H360" s="9">
        <v>0.0</v>
      </c>
      <c r="I360" s="9">
        <v>0.0</v>
      </c>
      <c r="J360" s="17">
        <v>57559.0</v>
      </c>
      <c r="K360" s="18">
        <v>57236.3</v>
      </c>
      <c r="L360" s="17">
        <v>57403.0</v>
      </c>
      <c r="M360" s="18">
        <v>57403.0</v>
      </c>
      <c r="N360" s="18">
        <v>0.0</v>
      </c>
      <c r="O360" s="18">
        <v>78.549</v>
      </c>
      <c r="P360" s="4"/>
    </row>
    <row r="361">
      <c r="A361" s="8" t="s">
        <v>367</v>
      </c>
      <c r="B361" s="9">
        <v>35.0</v>
      </c>
      <c r="C361" s="14" t="s">
        <v>234</v>
      </c>
      <c r="D361" s="9">
        <v>75.0</v>
      </c>
      <c r="E361" s="10">
        <v>2.0</v>
      </c>
      <c r="F361" s="9">
        <v>4.0</v>
      </c>
      <c r="G361" s="9">
        <v>1.0</v>
      </c>
      <c r="H361" s="9">
        <v>0.0</v>
      </c>
      <c r="I361" s="9">
        <v>0.0</v>
      </c>
      <c r="J361" s="17">
        <v>60646.0</v>
      </c>
      <c r="K361" s="18">
        <v>60534.4</v>
      </c>
      <c r="L361" s="17">
        <v>60627.0</v>
      </c>
      <c r="M361" s="18">
        <v>60627.0</v>
      </c>
      <c r="N361" s="18">
        <v>0.0</v>
      </c>
      <c r="O361" s="18">
        <v>4.497</v>
      </c>
      <c r="P361" s="4"/>
    </row>
    <row r="362">
      <c r="A362" s="8" t="s">
        <v>368</v>
      </c>
      <c r="B362" s="9">
        <v>35.0</v>
      </c>
      <c r="C362" s="14" t="s">
        <v>234</v>
      </c>
      <c r="D362" s="9">
        <v>75.0</v>
      </c>
      <c r="E362" s="10">
        <v>2.0</v>
      </c>
      <c r="F362" s="9">
        <v>5.0</v>
      </c>
      <c r="G362" s="9">
        <v>1.0</v>
      </c>
      <c r="H362" s="9">
        <v>0.0</v>
      </c>
      <c r="I362" s="9">
        <v>0.0</v>
      </c>
      <c r="J362" s="17">
        <v>56014.0</v>
      </c>
      <c r="K362" s="18">
        <v>55850.5</v>
      </c>
      <c r="L362" s="17">
        <v>55960.0</v>
      </c>
      <c r="M362" s="18">
        <v>55960.0</v>
      </c>
      <c r="N362" s="18">
        <v>0.0</v>
      </c>
      <c r="O362" s="18">
        <v>8.63</v>
      </c>
      <c r="P362" s="4"/>
    </row>
    <row r="363">
      <c r="A363" s="8" t="s">
        <v>369</v>
      </c>
      <c r="B363" s="9">
        <v>40.0</v>
      </c>
      <c r="C363" s="14" t="s">
        <v>234</v>
      </c>
      <c r="D363" s="9">
        <v>25.0</v>
      </c>
      <c r="E363" s="10">
        <v>0.6</v>
      </c>
      <c r="F363" s="9">
        <v>1.0</v>
      </c>
      <c r="G363" s="9">
        <v>1.0</v>
      </c>
      <c r="H363" s="9">
        <v>0.0</v>
      </c>
      <c r="I363" s="9">
        <v>0.0</v>
      </c>
      <c r="J363" s="17">
        <v>342.0</v>
      </c>
      <c r="K363" s="18">
        <v>305.717</v>
      </c>
      <c r="L363" s="17">
        <v>315.0</v>
      </c>
      <c r="M363" s="18">
        <v>315.0</v>
      </c>
      <c r="N363" s="18">
        <v>0.0</v>
      </c>
      <c r="O363" s="18">
        <v>153.427</v>
      </c>
      <c r="P363" s="4"/>
    </row>
    <row r="364">
      <c r="A364" s="8" t="s">
        <v>370</v>
      </c>
      <c r="B364" s="9">
        <v>40.0</v>
      </c>
      <c r="C364" s="14" t="s">
        <v>234</v>
      </c>
      <c r="D364" s="9">
        <v>25.0</v>
      </c>
      <c r="E364" s="10">
        <v>0.6</v>
      </c>
      <c r="F364" s="9">
        <v>2.0</v>
      </c>
      <c r="G364" s="9">
        <v>1.0</v>
      </c>
      <c r="H364" s="9">
        <v>0.0</v>
      </c>
      <c r="I364" s="9">
        <v>0.0</v>
      </c>
      <c r="J364" s="17">
        <v>295.0</v>
      </c>
      <c r="K364" s="18">
        <v>260.984</v>
      </c>
      <c r="L364" s="17">
        <v>266.0</v>
      </c>
      <c r="M364" s="18">
        <v>266.0</v>
      </c>
      <c r="N364" s="18">
        <v>0.0</v>
      </c>
      <c r="O364" s="18">
        <v>106.348</v>
      </c>
      <c r="P364" s="4"/>
    </row>
    <row r="365">
      <c r="A365" s="8" t="s">
        <v>371</v>
      </c>
      <c r="B365" s="9">
        <v>40.0</v>
      </c>
      <c r="C365" s="14" t="s">
        <v>234</v>
      </c>
      <c r="D365" s="9">
        <v>25.0</v>
      </c>
      <c r="E365" s="10">
        <v>0.6</v>
      </c>
      <c r="F365" s="9">
        <v>3.0</v>
      </c>
      <c r="G365" s="9">
        <v>0.0</v>
      </c>
      <c r="H365" s="9">
        <v>1.0</v>
      </c>
      <c r="I365" s="9">
        <v>0.0</v>
      </c>
      <c r="J365" s="17">
        <v>285.0</v>
      </c>
      <c r="K365" s="18">
        <v>248.182</v>
      </c>
      <c r="L365" s="17">
        <v>285.0</v>
      </c>
      <c r="M365" s="18">
        <v>270.235</v>
      </c>
      <c r="N365" s="18">
        <v>5.1806</v>
      </c>
      <c r="O365" s="18">
        <v>3600.0</v>
      </c>
      <c r="P365" s="4"/>
    </row>
    <row r="366">
      <c r="A366" s="8" t="s">
        <v>372</v>
      </c>
      <c r="B366" s="9">
        <v>40.0</v>
      </c>
      <c r="C366" s="14" t="s">
        <v>234</v>
      </c>
      <c r="D366" s="9">
        <v>25.0</v>
      </c>
      <c r="E366" s="10">
        <v>0.6</v>
      </c>
      <c r="F366" s="9">
        <v>4.0</v>
      </c>
      <c r="G366" s="9">
        <v>1.0</v>
      </c>
      <c r="H366" s="9">
        <v>0.0</v>
      </c>
      <c r="I366" s="9">
        <v>0.0</v>
      </c>
      <c r="J366" s="17">
        <v>310.0</v>
      </c>
      <c r="K366" s="18">
        <v>292.034</v>
      </c>
      <c r="L366" s="17">
        <v>310.0</v>
      </c>
      <c r="M366" s="18">
        <v>310.0</v>
      </c>
      <c r="N366" s="18">
        <v>0.0</v>
      </c>
      <c r="O366" s="18">
        <v>3557.85</v>
      </c>
      <c r="P366" s="4"/>
    </row>
    <row r="367">
      <c r="A367" s="8" t="s">
        <v>373</v>
      </c>
      <c r="B367" s="9">
        <v>40.0</v>
      </c>
      <c r="C367" s="14" t="s">
        <v>234</v>
      </c>
      <c r="D367" s="9">
        <v>25.0</v>
      </c>
      <c r="E367" s="10">
        <v>0.6</v>
      </c>
      <c r="F367" s="9">
        <v>5.0</v>
      </c>
      <c r="G367" s="9">
        <v>0.0</v>
      </c>
      <c r="H367" s="9">
        <v>1.0</v>
      </c>
      <c r="I367" s="9">
        <v>0.0</v>
      </c>
      <c r="J367" s="17">
        <v>295.0</v>
      </c>
      <c r="K367" s="18">
        <v>258.385</v>
      </c>
      <c r="L367" s="17">
        <v>295.0</v>
      </c>
      <c r="M367" s="18">
        <v>282.476</v>
      </c>
      <c r="N367" s="18">
        <v>4.24536</v>
      </c>
      <c r="O367" s="18">
        <v>3600.0</v>
      </c>
      <c r="P367" s="4"/>
    </row>
    <row r="368">
      <c r="A368" s="8" t="s">
        <v>374</v>
      </c>
      <c r="B368" s="9">
        <v>40.0</v>
      </c>
      <c r="C368" s="14" t="s">
        <v>234</v>
      </c>
      <c r="D368" s="9">
        <v>25.0</v>
      </c>
      <c r="E368" s="10">
        <v>1.0</v>
      </c>
      <c r="F368" s="9">
        <v>1.0</v>
      </c>
      <c r="G368" s="9">
        <v>1.0</v>
      </c>
      <c r="H368" s="9">
        <v>0.0</v>
      </c>
      <c r="I368" s="9">
        <v>0.0</v>
      </c>
      <c r="J368" s="17">
        <v>1670.0</v>
      </c>
      <c r="K368" s="18">
        <v>1403.14</v>
      </c>
      <c r="L368" s="17">
        <v>1456.0</v>
      </c>
      <c r="M368" s="18">
        <v>1456.0</v>
      </c>
      <c r="N368" s="18">
        <v>0.0</v>
      </c>
      <c r="O368" s="18">
        <v>3471.22</v>
      </c>
      <c r="P368" s="4"/>
    </row>
    <row r="369">
      <c r="A369" s="8" t="s">
        <v>375</v>
      </c>
      <c r="B369" s="9">
        <v>40.0</v>
      </c>
      <c r="C369" s="14" t="s">
        <v>234</v>
      </c>
      <c r="D369" s="9">
        <v>25.0</v>
      </c>
      <c r="E369" s="10">
        <v>1.0</v>
      </c>
      <c r="F369" s="9">
        <v>2.0</v>
      </c>
      <c r="G369" s="9">
        <v>1.0</v>
      </c>
      <c r="H369" s="9">
        <v>0.0</v>
      </c>
      <c r="I369" s="9">
        <v>0.0</v>
      </c>
      <c r="J369" s="17">
        <v>1554.0</v>
      </c>
      <c r="K369" s="18">
        <v>1298.03</v>
      </c>
      <c r="L369" s="17">
        <v>1323.0</v>
      </c>
      <c r="M369" s="18">
        <v>1323.0</v>
      </c>
      <c r="N369" s="18">
        <v>0.0</v>
      </c>
      <c r="O369" s="18">
        <v>2081.48</v>
      </c>
      <c r="P369" s="4"/>
    </row>
    <row r="370">
      <c r="A370" s="8" t="s">
        <v>376</v>
      </c>
      <c r="B370" s="9">
        <v>40.0</v>
      </c>
      <c r="C370" s="14" t="s">
        <v>234</v>
      </c>
      <c r="D370" s="9">
        <v>25.0</v>
      </c>
      <c r="E370" s="10">
        <v>1.0</v>
      </c>
      <c r="F370" s="9">
        <v>3.0</v>
      </c>
      <c r="G370" s="9">
        <v>1.0</v>
      </c>
      <c r="H370" s="9">
        <v>0.0</v>
      </c>
      <c r="I370" s="9">
        <v>0.0</v>
      </c>
      <c r="J370" s="17">
        <v>1506.0</v>
      </c>
      <c r="K370" s="18">
        <v>1252.03</v>
      </c>
      <c r="L370" s="17">
        <v>1271.0</v>
      </c>
      <c r="M370" s="18">
        <v>1271.0</v>
      </c>
      <c r="N370" s="18">
        <v>0.0</v>
      </c>
      <c r="O370" s="18">
        <v>1053.01</v>
      </c>
      <c r="P370" s="4"/>
    </row>
    <row r="371">
      <c r="A371" s="8" t="s">
        <v>377</v>
      </c>
      <c r="B371" s="9">
        <v>40.0</v>
      </c>
      <c r="C371" s="14" t="s">
        <v>234</v>
      </c>
      <c r="D371" s="9">
        <v>25.0</v>
      </c>
      <c r="E371" s="10">
        <v>1.0</v>
      </c>
      <c r="F371" s="9">
        <v>4.0</v>
      </c>
      <c r="G371" s="9">
        <v>0.0</v>
      </c>
      <c r="H371" s="9">
        <v>1.0</v>
      </c>
      <c r="I371" s="9">
        <v>0.0</v>
      </c>
      <c r="J371" s="17">
        <v>1632.0</v>
      </c>
      <c r="K371" s="18">
        <v>1369.93</v>
      </c>
      <c r="L371" s="17">
        <v>1632.0</v>
      </c>
      <c r="M371" s="18">
        <v>1405.54</v>
      </c>
      <c r="N371" s="18">
        <v>13.8761</v>
      </c>
      <c r="O371" s="18">
        <v>3600.0</v>
      </c>
      <c r="P371" s="4"/>
    </row>
    <row r="372">
      <c r="A372" s="8" t="s">
        <v>378</v>
      </c>
      <c r="B372" s="9">
        <v>40.0</v>
      </c>
      <c r="C372" s="14" t="s">
        <v>234</v>
      </c>
      <c r="D372" s="9">
        <v>25.0</v>
      </c>
      <c r="E372" s="10">
        <v>1.0</v>
      </c>
      <c r="F372" s="9">
        <v>5.0</v>
      </c>
      <c r="G372" s="9">
        <v>1.0</v>
      </c>
      <c r="H372" s="9">
        <v>0.0</v>
      </c>
      <c r="I372" s="9">
        <v>0.0</v>
      </c>
      <c r="J372" s="17">
        <v>1554.0</v>
      </c>
      <c r="K372" s="18">
        <v>1294.22</v>
      </c>
      <c r="L372" s="17">
        <v>1302.0</v>
      </c>
      <c r="M372" s="18">
        <v>1302.0</v>
      </c>
      <c r="N372" s="18">
        <v>0.0</v>
      </c>
      <c r="O372" s="18">
        <v>143.67</v>
      </c>
      <c r="P372" s="4"/>
    </row>
    <row r="373">
      <c r="A373" s="8" t="s">
        <v>379</v>
      </c>
      <c r="B373" s="9">
        <v>40.0</v>
      </c>
      <c r="C373" s="14" t="s">
        <v>234</v>
      </c>
      <c r="D373" s="9">
        <v>25.0</v>
      </c>
      <c r="E373" s="10">
        <v>2.0</v>
      </c>
      <c r="F373" s="9">
        <v>1.0</v>
      </c>
      <c r="G373" s="9">
        <v>0.0</v>
      </c>
      <c r="H373" s="9">
        <v>1.0</v>
      </c>
      <c r="I373" s="9">
        <v>0.0</v>
      </c>
      <c r="J373" s="17">
        <v>20020.0</v>
      </c>
      <c r="K373" s="18">
        <v>19866.0</v>
      </c>
      <c r="L373" s="17">
        <v>20020.0</v>
      </c>
      <c r="M373" s="18">
        <v>19866.0</v>
      </c>
      <c r="N373" s="18">
        <v>0.769231</v>
      </c>
      <c r="O373" s="18">
        <v>3600.0</v>
      </c>
      <c r="P373" s="4"/>
    </row>
    <row r="374">
      <c r="A374" s="8" t="s">
        <v>380</v>
      </c>
      <c r="B374" s="9">
        <v>40.0</v>
      </c>
      <c r="C374" s="14" t="s">
        <v>234</v>
      </c>
      <c r="D374" s="9">
        <v>25.0</v>
      </c>
      <c r="E374" s="10">
        <v>2.0</v>
      </c>
      <c r="F374" s="9">
        <v>2.0</v>
      </c>
      <c r="G374" s="9">
        <v>0.0</v>
      </c>
      <c r="H374" s="9">
        <v>1.0</v>
      </c>
      <c r="I374" s="9">
        <v>0.0</v>
      </c>
      <c r="J374" s="17">
        <v>18699.0</v>
      </c>
      <c r="K374" s="18">
        <v>18527.0</v>
      </c>
      <c r="L374" s="17">
        <v>18640.0</v>
      </c>
      <c r="M374" s="18">
        <v>18527.0</v>
      </c>
      <c r="N374" s="18">
        <v>0.606061</v>
      </c>
      <c r="O374" s="18">
        <v>3600.0</v>
      </c>
      <c r="P374" s="4"/>
    </row>
    <row r="375">
      <c r="A375" s="8" t="s">
        <v>381</v>
      </c>
      <c r="B375" s="9">
        <v>40.0</v>
      </c>
      <c r="C375" s="14" t="s">
        <v>234</v>
      </c>
      <c r="D375" s="9">
        <v>25.0</v>
      </c>
      <c r="E375" s="10">
        <v>2.0</v>
      </c>
      <c r="F375" s="9">
        <v>3.0</v>
      </c>
      <c r="G375" s="9">
        <v>0.0</v>
      </c>
      <c r="H375" s="9">
        <v>1.0</v>
      </c>
      <c r="I375" s="9">
        <v>0.0</v>
      </c>
      <c r="J375" s="17">
        <v>18026.0</v>
      </c>
      <c r="K375" s="18">
        <v>17948.6</v>
      </c>
      <c r="L375" s="17">
        <v>18010.0</v>
      </c>
      <c r="M375" s="18">
        <v>17948.6</v>
      </c>
      <c r="N375" s="18">
        <v>0.340909</v>
      </c>
      <c r="O375" s="18">
        <v>3600.0</v>
      </c>
      <c r="P375" s="4"/>
    </row>
    <row r="376">
      <c r="A376" s="8" t="s">
        <v>382</v>
      </c>
      <c r="B376" s="9">
        <v>40.0</v>
      </c>
      <c r="C376" s="14" t="s">
        <v>234</v>
      </c>
      <c r="D376" s="9">
        <v>25.0</v>
      </c>
      <c r="E376" s="10">
        <v>2.0</v>
      </c>
      <c r="F376" s="9">
        <v>4.0</v>
      </c>
      <c r="G376" s="9">
        <v>0.0</v>
      </c>
      <c r="H376" s="9">
        <v>1.0</v>
      </c>
      <c r="I376" s="9">
        <v>0.0</v>
      </c>
      <c r="J376" s="17">
        <v>19560.0</v>
      </c>
      <c r="K376" s="18">
        <v>19460.2</v>
      </c>
      <c r="L376" s="17">
        <v>19560.0</v>
      </c>
      <c r="M376" s="18">
        <v>19460.2</v>
      </c>
      <c r="N376" s="18">
        <v>0.510204</v>
      </c>
      <c r="O376" s="18">
        <v>3600.0</v>
      </c>
      <c r="P376" s="4"/>
    </row>
    <row r="377">
      <c r="A377" s="8" t="s">
        <v>383</v>
      </c>
      <c r="B377" s="9">
        <v>40.0</v>
      </c>
      <c r="C377" s="14" t="s">
        <v>234</v>
      </c>
      <c r="D377" s="9">
        <v>25.0</v>
      </c>
      <c r="E377" s="10">
        <v>2.0</v>
      </c>
      <c r="F377" s="9">
        <v>5.0</v>
      </c>
      <c r="G377" s="9">
        <v>0.0</v>
      </c>
      <c r="H377" s="9">
        <v>1.0</v>
      </c>
      <c r="I377" s="9">
        <v>0.0</v>
      </c>
      <c r="J377" s="17">
        <v>18620.0</v>
      </c>
      <c r="K377" s="18">
        <v>18584.9</v>
      </c>
      <c r="L377" s="17">
        <v>18620.0</v>
      </c>
      <c r="M377" s="18">
        <v>18584.9</v>
      </c>
      <c r="N377" s="18">
        <v>0.188679</v>
      </c>
      <c r="O377" s="18">
        <v>3600.0</v>
      </c>
      <c r="P377" s="4"/>
    </row>
    <row r="378">
      <c r="A378" s="8" t="s">
        <v>384</v>
      </c>
      <c r="B378" s="9">
        <v>40.0</v>
      </c>
      <c r="C378" s="14" t="s">
        <v>234</v>
      </c>
      <c r="D378" s="9">
        <v>50.0</v>
      </c>
      <c r="E378" s="10">
        <v>0.6</v>
      </c>
      <c r="F378" s="9">
        <v>1.0</v>
      </c>
      <c r="G378" s="9">
        <v>1.0</v>
      </c>
      <c r="H378" s="9">
        <v>0.0</v>
      </c>
      <c r="I378" s="9">
        <v>0.0</v>
      </c>
      <c r="J378" s="17">
        <v>918.0</v>
      </c>
      <c r="K378" s="18">
        <v>875.303</v>
      </c>
      <c r="L378" s="17">
        <v>901.0</v>
      </c>
      <c r="M378" s="18">
        <v>901.0</v>
      </c>
      <c r="N378" s="18">
        <v>0.0</v>
      </c>
      <c r="O378" s="18">
        <v>80.422</v>
      </c>
      <c r="P378" s="4"/>
    </row>
    <row r="379">
      <c r="A379" s="8" t="s">
        <v>385</v>
      </c>
      <c r="B379" s="9">
        <v>40.0</v>
      </c>
      <c r="C379" s="14" t="s">
        <v>234</v>
      </c>
      <c r="D379" s="9">
        <v>50.0</v>
      </c>
      <c r="E379" s="10">
        <v>0.6</v>
      </c>
      <c r="F379" s="9">
        <v>2.0</v>
      </c>
      <c r="G379" s="9">
        <v>1.0</v>
      </c>
      <c r="H379" s="9">
        <v>0.0</v>
      </c>
      <c r="I379" s="9">
        <v>0.0</v>
      </c>
      <c r="J379" s="17">
        <v>908.0</v>
      </c>
      <c r="K379" s="18">
        <v>890.6</v>
      </c>
      <c r="L379" s="17">
        <v>908.0</v>
      </c>
      <c r="M379" s="18">
        <v>908.0</v>
      </c>
      <c r="N379" s="18">
        <v>0.0</v>
      </c>
      <c r="O379" s="18">
        <v>18.248</v>
      </c>
      <c r="P379" s="4"/>
    </row>
    <row r="380">
      <c r="A380" s="8" t="s">
        <v>386</v>
      </c>
      <c r="B380" s="9">
        <v>40.0</v>
      </c>
      <c r="C380" s="14" t="s">
        <v>234</v>
      </c>
      <c r="D380" s="9">
        <v>50.0</v>
      </c>
      <c r="E380" s="10">
        <v>0.6</v>
      </c>
      <c r="F380" s="9">
        <v>3.0</v>
      </c>
      <c r="G380" s="9">
        <v>1.0</v>
      </c>
      <c r="H380" s="9">
        <v>0.0</v>
      </c>
      <c r="I380" s="9">
        <v>0.0</v>
      </c>
      <c r="J380" s="17">
        <v>985.0</v>
      </c>
      <c r="K380" s="18">
        <v>985.0</v>
      </c>
      <c r="L380" s="17">
        <v>985.0</v>
      </c>
      <c r="M380" s="18">
        <v>985.0</v>
      </c>
      <c r="N380" s="18">
        <v>0.0</v>
      </c>
      <c r="O380" s="18">
        <v>4.599</v>
      </c>
      <c r="P380" s="4"/>
    </row>
    <row r="381">
      <c r="A381" s="8" t="s">
        <v>387</v>
      </c>
      <c r="B381" s="9">
        <v>40.0</v>
      </c>
      <c r="C381" s="14" t="s">
        <v>234</v>
      </c>
      <c r="D381" s="9">
        <v>50.0</v>
      </c>
      <c r="E381" s="10">
        <v>0.6</v>
      </c>
      <c r="F381" s="9">
        <v>4.0</v>
      </c>
      <c r="G381" s="9">
        <v>1.0</v>
      </c>
      <c r="H381" s="9">
        <v>0.0</v>
      </c>
      <c r="I381" s="9">
        <v>0.0</v>
      </c>
      <c r="J381" s="17">
        <v>852.0</v>
      </c>
      <c r="K381" s="18">
        <v>824.833</v>
      </c>
      <c r="L381" s="17">
        <v>850.0</v>
      </c>
      <c r="M381" s="18">
        <v>850.0</v>
      </c>
      <c r="N381" s="18">
        <v>0.0</v>
      </c>
      <c r="O381" s="18">
        <v>62.108</v>
      </c>
      <c r="P381" s="4"/>
    </row>
    <row r="382">
      <c r="A382" s="8" t="s">
        <v>388</v>
      </c>
      <c r="B382" s="9">
        <v>40.0</v>
      </c>
      <c r="C382" s="14" t="s">
        <v>234</v>
      </c>
      <c r="D382" s="9">
        <v>50.0</v>
      </c>
      <c r="E382" s="10">
        <v>0.6</v>
      </c>
      <c r="F382" s="9">
        <v>5.0</v>
      </c>
      <c r="G382" s="9">
        <v>1.0</v>
      </c>
      <c r="H382" s="9">
        <v>0.0</v>
      </c>
      <c r="I382" s="9">
        <v>0.0</v>
      </c>
      <c r="J382" s="17">
        <v>1062.0</v>
      </c>
      <c r="K382" s="18">
        <v>963.27</v>
      </c>
      <c r="L382" s="17">
        <v>996.0</v>
      </c>
      <c r="M382" s="18">
        <v>996.0</v>
      </c>
      <c r="N382" s="18">
        <v>0.0</v>
      </c>
      <c r="O382" s="18">
        <v>57.435</v>
      </c>
      <c r="P382" s="4"/>
    </row>
    <row r="383">
      <c r="A383" s="8" t="s">
        <v>389</v>
      </c>
      <c r="B383" s="9">
        <v>40.0</v>
      </c>
      <c r="C383" s="14" t="s">
        <v>234</v>
      </c>
      <c r="D383" s="9">
        <v>50.0</v>
      </c>
      <c r="E383" s="10">
        <v>1.0</v>
      </c>
      <c r="F383" s="9">
        <v>1.0</v>
      </c>
      <c r="G383" s="9">
        <v>1.0</v>
      </c>
      <c r="H383" s="9">
        <v>0.0</v>
      </c>
      <c r="I383" s="9">
        <v>0.0</v>
      </c>
      <c r="J383" s="17">
        <v>3575.0</v>
      </c>
      <c r="K383" s="18">
        <v>3308.15</v>
      </c>
      <c r="L383" s="17">
        <v>3446.0</v>
      </c>
      <c r="M383" s="18">
        <v>3446.0</v>
      </c>
      <c r="N383" s="18">
        <v>0.0</v>
      </c>
      <c r="O383" s="18">
        <v>1317.17</v>
      </c>
      <c r="P383" s="4"/>
    </row>
    <row r="384">
      <c r="A384" s="8" t="s">
        <v>390</v>
      </c>
      <c r="B384" s="9">
        <v>40.0</v>
      </c>
      <c r="C384" s="14" t="s">
        <v>234</v>
      </c>
      <c r="D384" s="9">
        <v>50.0</v>
      </c>
      <c r="E384" s="10">
        <v>1.0</v>
      </c>
      <c r="F384" s="9">
        <v>2.0</v>
      </c>
      <c r="G384" s="9">
        <v>1.0</v>
      </c>
      <c r="H384" s="9">
        <v>0.0</v>
      </c>
      <c r="I384" s="9">
        <v>0.0</v>
      </c>
      <c r="J384" s="17">
        <v>3718.0</v>
      </c>
      <c r="K384" s="18">
        <v>3410.23</v>
      </c>
      <c r="L384" s="17">
        <v>3535.0</v>
      </c>
      <c r="M384" s="18">
        <v>3535.0</v>
      </c>
      <c r="N384" s="18">
        <v>0.0</v>
      </c>
      <c r="O384" s="18">
        <v>1335.8</v>
      </c>
      <c r="P384" s="4"/>
    </row>
    <row r="385">
      <c r="A385" s="8" t="s">
        <v>391</v>
      </c>
      <c r="B385" s="9">
        <v>40.0</v>
      </c>
      <c r="C385" s="14" t="s">
        <v>234</v>
      </c>
      <c r="D385" s="9">
        <v>50.0</v>
      </c>
      <c r="E385" s="10">
        <v>1.0</v>
      </c>
      <c r="F385" s="9">
        <v>3.0</v>
      </c>
      <c r="G385" s="9">
        <v>1.0</v>
      </c>
      <c r="H385" s="9">
        <v>0.0</v>
      </c>
      <c r="I385" s="9">
        <v>0.0</v>
      </c>
      <c r="J385" s="17">
        <v>4050.0</v>
      </c>
      <c r="K385" s="18">
        <v>3775.18</v>
      </c>
      <c r="L385" s="17">
        <v>3921.0</v>
      </c>
      <c r="M385" s="18">
        <v>3921.0</v>
      </c>
      <c r="N385" s="18">
        <v>0.0</v>
      </c>
      <c r="O385" s="18">
        <v>1980.49</v>
      </c>
      <c r="P385" s="4"/>
    </row>
    <row r="386">
      <c r="A386" s="8" t="s">
        <v>392</v>
      </c>
      <c r="B386" s="9">
        <v>40.0</v>
      </c>
      <c r="C386" s="14" t="s">
        <v>234</v>
      </c>
      <c r="D386" s="9">
        <v>50.0</v>
      </c>
      <c r="E386" s="10">
        <v>1.0</v>
      </c>
      <c r="F386" s="9">
        <v>4.0</v>
      </c>
      <c r="G386" s="9">
        <v>1.0</v>
      </c>
      <c r="H386" s="9">
        <v>0.0</v>
      </c>
      <c r="I386" s="9">
        <v>0.0</v>
      </c>
      <c r="J386" s="17">
        <v>3360.0</v>
      </c>
      <c r="K386" s="18">
        <v>3152.35</v>
      </c>
      <c r="L386" s="17">
        <v>3274.0</v>
      </c>
      <c r="M386" s="18">
        <v>3274.0</v>
      </c>
      <c r="N386" s="18">
        <v>0.0</v>
      </c>
      <c r="O386" s="18">
        <v>1181.49</v>
      </c>
      <c r="P386" s="4"/>
    </row>
    <row r="387">
      <c r="A387" s="8" t="s">
        <v>393</v>
      </c>
      <c r="B387" s="9">
        <v>40.0</v>
      </c>
      <c r="C387" s="14" t="s">
        <v>234</v>
      </c>
      <c r="D387" s="9">
        <v>50.0</v>
      </c>
      <c r="E387" s="10">
        <v>1.0</v>
      </c>
      <c r="F387" s="9">
        <v>5.0</v>
      </c>
      <c r="G387" s="9">
        <v>1.0</v>
      </c>
      <c r="H387" s="9">
        <v>0.0</v>
      </c>
      <c r="I387" s="9">
        <v>0.0</v>
      </c>
      <c r="J387" s="17">
        <v>3880.0</v>
      </c>
      <c r="K387" s="18">
        <v>3594.69</v>
      </c>
      <c r="L387" s="17">
        <v>3744.0</v>
      </c>
      <c r="M387" s="18">
        <v>3744.0</v>
      </c>
      <c r="N387" s="18">
        <v>0.0</v>
      </c>
      <c r="O387" s="18">
        <v>1515.91</v>
      </c>
      <c r="P387" s="4"/>
    </row>
    <row r="388">
      <c r="A388" s="8" t="s">
        <v>394</v>
      </c>
      <c r="B388" s="9">
        <v>40.0</v>
      </c>
      <c r="C388" s="14" t="s">
        <v>234</v>
      </c>
      <c r="D388" s="9">
        <v>50.0</v>
      </c>
      <c r="E388" s="10">
        <v>2.0</v>
      </c>
      <c r="F388" s="9">
        <v>1.0</v>
      </c>
      <c r="G388" s="9">
        <v>1.0</v>
      </c>
      <c r="H388" s="9">
        <v>0.0</v>
      </c>
      <c r="I388" s="9">
        <v>0.0</v>
      </c>
      <c r="J388" s="17">
        <v>38609.0</v>
      </c>
      <c r="K388" s="18">
        <v>38486.0</v>
      </c>
      <c r="L388" s="17">
        <v>38571.0</v>
      </c>
      <c r="M388" s="18">
        <v>38571.0</v>
      </c>
      <c r="N388" s="18">
        <v>0.0</v>
      </c>
      <c r="O388" s="18">
        <v>58.934</v>
      </c>
      <c r="P388" s="4"/>
    </row>
    <row r="389">
      <c r="A389" s="8" t="s">
        <v>395</v>
      </c>
      <c r="B389" s="9">
        <v>40.0</v>
      </c>
      <c r="C389" s="14" t="s">
        <v>234</v>
      </c>
      <c r="D389" s="9">
        <v>50.0</v>
      </c>
      <c r="E389" s="10">
        <v>2.0</v>
      </c>
      <c r="F389" s="9">
        <v>2.0</v>
      </c>
      <c r="G389" s="9">
        <v>1.0</v>
      </c>
      <c r="H389" s="9">
        <v>0.0</v>
      </c>
      <c r="I389" s="9">
        <v>0.0</v>
      </c>
      <c r="J389" s="17">
        <v>39530.0</v>
      </c>
      <c r="K389" s="18">
        <v>39455.0</v>
      </c>
      <c r="L389" s="17">
        <v>39510.0</v>
      </c>
      <c r="M389" s="18">
        <v>39510.0</v>
      </c>
      <c r="N389" s="18">
        <v>0.0</v>
      </c>
      <c r="O389" s="18">
        <v>8.204</v>
      </c>
      <c r="P389" s="4"/>
    </row>
    <row r="390">
      <c r="A390" s="8" t="s">
        <v>396</v>
      </c>
      <c r="B390" s="9">
        <v>40.0</v>
      </c>
      <c r="C390" s="14" t="s">
        <v>234</v>
      </c>
      <c r="D390" s="9">
        <v>50.0</v>
      </c>
      <c r="E390" s="10">
        <v>2.0</v>
      </c>
      <c r="F390" s="9">
        <v>3.0</v>
      </c>
      <c r="G390" s="9">
        <v>1.0</v>
      </c>
      <c r="H390" s="9">
        <v>0.0</v>
      </c>
      <c r="I390" s="9">
        <v>0.0</v>
      </c>
      <c r="J390" s="17">
        <v>42772.0</v>
      </c>
      <c r="K390" s="18">
        <v>42680.6</v>
      </c>
      <c r="L390" s="17">
        <v>42749.0</v>
      </c>
      <c r="M390" s="18">
        <v>42749.0</v>
      </c>
      <c r="N390" s="18">
        <v>0.0</v>
      </c>
      <c r="O390" s="18">
        <v>14.718</v>
      </c>
      <c r="P390" s="4"/>
    </row>
    <row r="391">
      <c r="A391" s="8" t="s">
        <v>397</v>
      </c>
      <c r="B391" s="9">
        <v>40.0</v>
      </c>
      <c r="C391" s="14" t="s">
        <v>234</v>
      </c>
      <c r="D391" s="9">
        <v>50.0</v>
      </c>
      <c r="E391" s="10">
        <v>2.0</v>
      </c>
      <c r="F391" s="9">
        <v>4.0</v>
      </c>
      <c r="G391" s="9">
        <v>1.0</v>
      </c>
      <c r="H391" s="9">
        <v>0.0</v>
      </c>
      <c r="I391" s="9">
        <v>0.0</v>
      </c>
      <c r="J391" s="17">
        <v>36531.0</v>
      </c>
      <c r="K391" s="18">
        <v>36387.2</v>
      </c>
      <c r="L391" s="17">
        <v>36435.0</v>
      </c>
      <c r="M391" s="18">
        <v>36435.0</v>
      </c>
      <c r="N391" s="18">
        <v>0.0</v>
      </c>
      <c r="O391" s="18">
        <v>6.147</v>
      </c>
      <c r="P391" s="4"/>
    </row>
    <row r="392">
      <c r="A392" s="8" t="s">
        <v>398</v>
      </c>
      <c r="B392" s="9">
        <v>40.0</v>
      </c>
      <c r="C392" s="14" t="s">
        <v>234</v>
      </c>
      <c r="D392" s="9">
        <v>50.0</v>
      </c>
      <c r="E392" s="10">
        <v>2.0</v>
      </c>
      <c r="F392" s="9">
        <v>5.0</v>
      </c>
      <c r="G392" s="9">
        <v>1.0</v>
      </c>
      <c r="H392" s="9">
        <v>0.0</v>
      </c>
      <c r="I392" s="9">
        <v>0.0</v>
      </c>
      <c r="J392" s="17">
        <v>41115.0</v>
      </c>
      <c r="K392" s="18">
        <v>40835.0</v>
      </c>
      <c r="L392" s="17">
        <v>40953.0</v>
      </c>
      <c r="M392" s="18">
        <v>40953.0</v>
      </c>
      <c r="N392" s="18">
        <v>0.0</v>
      </c>
      <c r="O392" s="18">
        <v>242.505</v>
      </c>
      <c r="P392" s="4"/>
    </row>
    <row r="393">
      <c r="A393" s="8" t="s">
        <v>399</v>
      </c>
      <c r="B393" s="9">
        <v>40.0</v>
      </c>
      <c r="C393" s="14" t="s">
        <v>234</v>
      </c>
      <c r="D393" s="9">
        <v>75.0</v>
      </c>
      <c r="E393" s="10">
        <v>0.6</v>
      </c>
      <c r="F393" s="9">
        <v>1.0</v>
      </c>
      <c r="G393" s="9">
        <v>1.0</v>
      </c>
      <c r="H393" s="9">
        <v>0.0</v>
      </c>
      <c r="I393" s="9">
        <v>0.0</v>
      </c>
      <c r="J393" s="17">
        <v>2001.0</v>
      </c>
      <c r="K393" s="18">
        <v>1956.89</v>
      </c>
      <c r="L393" s="17">
        <v>1975.0</v>
      </c>
      <c r="M393" s="18">
        <v>1975.0</v>
      </c>
      <c r="N393" s="18">
        <v>0.0</v>
      </c>
      <c r="O393" s="18">
        <v>11.499</v>
      </c>
      <c r="P393" s="4"/>
    </row>
    <row r="394">
      <c r="A394" s="8" t="s">
        <v>400</v>
      </c>
      <c r="B394" s="9">
        <v>40.0</v>
      </c>
      <c r="C394" s="14" t="s">
        <v>234</v>
      </c>
      <c r="D394" s="9">
        <v>75.0</v>
      </c>
      <c r="E394" s="10">
        <v>0.6</v>
      </c>
      <c r="F394" s="9">
        <v>2.0</v>
      </c>
      <c r="G394" s="9">
        <v>1.0</v>
      </c>
      <c r="H394" s="9">
        <v>0.0</v>
      </c>
      <c r="I394" s="9">
        <v>0.0</v>
      </c>
      <c r="J394" s="17">
        <v>1990.0</v>
      </c>
      <c r="K394" s="18">
        <v>1947.23</v>
      </c>
      <c r="L394" s="17">
        <v>1972.0</v>
      </c>
      <c r="M394" s="18">
        <v>1972.0</v>
      </c>
      <c r="N394" s="18">
        <v>0.0</v>
      </c>
      <c r="O394" s="18">
        <v>11.864</v>
      </c>
      <c r="P394" s="4"/>
    </row>
    <row r="395">
      <c r="A395" s="8" t="s">
        <v>401</v>
      </c>
      <c r="B395" s="9">
        <v>40.0</v>
      </c>
      <c r="C395" s="14" t="s">
        <v>234</v>
      </c>
      <c r="D395" s="9">
        <v>75.0</v>
      </c>
      <c r="E395" s="10">
        <v>0.6</v>
      </c>
      <c r="F395" s="9">
        <v>3.0</v>
      </c>
      <c r="G395" s="9">
        <v>1.0</v>
      </c>
      <c r="H395" s="9">
        <v>0.0</v>
      </c>
      <c r="I395" s="9">
        <v>0.0</v>
      </c>
      <c r="J395" s="17">
        <v>2045.0</v>
      </c>
      <c r="K395" s="18">
        <v>1973.82</v>
      </c>
      <c r="L395" s="17">
        <v>1994.0</v>
      </c>
      <c r="M395" s="18">
        <v>1994.0</v>
      </c>
      <c r="N395" s="18">
        <v>0.0</v>
      </c>
      <c r="O395" s="18">
        <v>13.569</v>
      </c>
      <c r="P395" s="4"/>
    </row>
    <row r="396">
      <c r="A396" s="8" t="s">
        <v>402</v>
      </c>
      <c r="B396" s="9">
        <v>40.0</v>
      </c>
      <c r="C396" s="14" t="s">
        <v>234</v>
      </c>
      <c r="D396" s="9">
        <v>75.0</v>
      </c>
      <c r="E396" s="10">
        <v>0.6</v>
      </c>
      <c r="F396" s="9">
        <v>4.0</v>
      </c>
      <c r="G396" s="9">
        <v>1.0</v>
      </c>
      <c r="H396" s="9">
        <v>0.0</v>
      </c>
      <c r="I396" s="9">
        <v>0.0</v>
      </c>
      <c r="J396" s="17">
        <v>2040.0</v>
      </c>
      <c r="K396" s="18">
        <v>1983.33</v>
      </c>
      <c r="L396" s="17">
        <v>2010.0</v>
      </c>
      <c r="M396" s="18">
        <v>2010.0</v>
      </c>
      <c r="N396" s="18">
        <v>0.0</v>
      </c>
      <c r="O396" s="18">
        <v>13.23</v>
      </c>
      <c r="P396" s="4"/>
    </row>
    <row r="397">
      <c r="A397" s="8" t="s">
        <v>403</v>
      </c>
      <c r="B397" s="9">
        <v>40.0</v>
      </c>
      <c r="C397" s="14" t="s">
        <v>234</v>
      </c>
      <c r="D397" s="9">
        <v>75.0</v>
      </c>
      <c r="E397" s="10">
        <v>0.6</v>
      </c>
      <c r="F397" s="9">
        <v>5.0</v>
      </c>
      <c r="G397" s="9">
        <v>1.0</v>
      </c>
      <c r="H397" s="9">
        <v>0.0</v>
      </c>
      <c r="I397" s="9">
        <v>0.0</v>
      </c>
      <c r="J397" s="17">
        <v>1929.0</v>
      </c>
      <c r="K397" s="18">
        <v>1926.4</v>
      </c>
      <c r="L397" s="17">
        <v>1929.0</v>
      </c>
      <c r="M397" s="18">
        <v>1929.0</v>
      </c>
      <c r="N397" s="18">
        <v>0.0</v>
      </c>
      <c r="O397" s="18">
        <v>3.444</v>
      </c>
      <c r="P397" s="4"/>
    </row>
    <row r="398">
      <c r="A398" s="8" t="s">
        <v>404</v>
      </c>
      <c r="B398" s="9">
        <v>40.0</v>
      </c>
      <c r="C398" s="14" t="s">
        <v>234</v>
      </c>
      <c r="D398" s="9">
        <v>75.0</v>
      </c>
      <c r="E398" s="10">
        <v>1.0</v>
      </c>
      <c r="F398" s="9">
        <v>1.0</v>
      </c>
      <c r="G398" s="9">
        <v>1.0</v>
      </c>
      <c r="H398" s="9">
        <v>0.0</v>
      </c>
      <c r="I398" s="9">
        <v>0.0</v>
      </c>
      <c r="J398" s="17">
        <v>6480.0</v>
      </c>
      <c r="K398" s="18">
        <v>6369.58</v>
      </c>
      <c r="L398" s="17">
        <v>6414.0</v>
      </c>
      <c r="M398" s="18">
        <v>6414.0</v>
      </c>
      <c r="N398" s="18">
        <v>0.0</v>
      </c>
      <c r="O398" s="18">
        <v>142.586</v>
      </c>
      <c r="P398" s="4"/>
    </row>
    <row r="399">
      <c r="A399" s="8" t="s">
        <v>405</v>
      </c>
      <c r="B399" s="9">
        <v>40.0</v>
      </c>
      <c r="C399" s="14" t="s">
        <v>234</v>
      </c>
      <c r="D399" s="9">
        <v>75.0</v>
      </c>
      <c r="E399" s="10">
        <v>1.0</v>
      </c>
      <c r="F399" s="9">
        <v>2.0</v>
      </c>
      <c r="G399" s="9">
        <v>1.0</v>
      </c>
      <c r="H399" s="9">
        <v>0.0</v>
      </c>
      <c r="I399" s="9">
        <v>0.0</v>
      </c>
      <c r="J399" s="17">
        <v>6679.0</v>
      </c>
      <c r="K399" s="18">
        <v>6362.22</v>
      </c>
      <c r="L399" s="17">
        <v>6438.0</v>
      </c>
      <c r="M399" s="18">
        <v>6438.0</v>
      </c>
      <c r="N399" s="18">
        <v>0.0</v>
      </c>
      <c r="O399" s="18">
        <v>237.724</v>
      </c>
      <c r="P399" s="4"/>
    </row>
    <row r="400">
      <c r="A400" s="8" t="s">
        <v>406</v>
      </c>
      <c r="B400" s="9">
        <v>40.0</v>
      </c>
      <c r="C400" s="14" t="s">
        <v>234</v>
      </c>
      <c r="D400" s="9">
        <v>75.0</v>
      </c>
      <c r="E400" s="10">
        <v>1.0</v>
      </c>
      <c r="F400" s="9">
        <v>3.0</v>
      </c>
      <c r="G400" s="9">
        <v>1.0</v>
      </c>
      <c r="H400" s="9">
        <v>0.0</v>
      </c>
      <c r="I400" s="9">
        <v>0.0</v>
      </c>
      <c r="J400" s="17">
        <v>6580.0</v>
      </c>
      <c r="K400" s="18">
        <v>6296.07</v>
      </c>
      <c r="L400" s="17">
        <v>6415.0</v>
      </c>
      <c r="M400" s="18">
        <v>6415.0</v>
      </c>
      <c r="N400" s="18">
        <v>0.0</v>
      </c>
      <c r="O400" s="18">
        <v>568.593</v>
      </c>
      <c r="P400" s="4"/>
    </row>
    <row r="401">
      <c r="A401" s="8" t="s">
        <v>407</v>
      </c>
      <c r="B401" s="9">
        <v>40.0</v>
      </c>
      <c r="C401" s="14" t="s">
        <v>234</v>
      </c>
      <c r="D401" s="9">
        <v>75.0</v>
      </c>
      <c r="E401" s="10">
        <v>1.0</v>
      </c>
      <c r="F401" s="9">
        <v>4.0</v>
      </c>
      <c r="G401" s="9">
        <v>1.0</v>
      </c>
      <c r="H401" s="9">
        <v>0.0</v>
      </c>
      <c r="I401" s="9">
        <v>0.0</v>
      </c>
      <c r="J401" s="17">
        <v>6655.0</v>
      </c>
      <c r="K401" s="18">
        <v>6459.5</v>
      </c>
      <c r="L401" s="17">
        <v>6501.0</v>
      </c>
      <c r="M401" s="18">
        <v>6501.0</v>
      </c>
      <c r="N401" s="18">
        <v>0.0</v>
      </c>
      <c r="O401" s="18">
        <v>61.342</v>
      </c>
      <c r="P401" s="4"/>
    </row>
    <row r="402">
      <c r="A402" s="8" t="s">
        <v>408</v>
      </c>
      <c r="B402" s="9">
        <v>40.0</v>
      </c>
      <c r="C402" s="14" t="s">
        <v>234</v>
      </c>
      <c r="D402" s="9">
        <v>75.0</v>
      </c>
      <c r="E402" s="10">
        <v>1.0</v>
      </c>
      <c r="F402" s="9">
        <v>5.0</v>
      </c>
      <c r="G402" s="9">
        <v>1.0</v>
      </c>
      <c r="H402" s="9">
        <v>0.0</v>
      </c>
      <c r="I402" s="9">
        <v>0.0</v>
      </c>
      <c r="J402" s="17">
        <v>6336.0</v>
      </c>
      <c r="K402" s="18">
        <v>6182.53</v>
      </c>
      <c r="L402" s="17">
        <v>6232.0</v>
      </c>
      <c r="M402" s="18">
        <v>6232.0</v>
      </c>
      <c r="N402" s="18">
        <v>0.0</v>
      </c>
      <c r="O402" s="18">
        <v>65.689</v>
      </c>
      <c r="P402" s="4"/>
    </row>
    <row r="403">
      <c r="A403" s="8" t="s">
        <v>409</v>
      </c>
      <c r="B403" s="9">
        <v>40.0</v>
      </c>
      <c r="C403" s="14" t="s">
        <v>234</v>
      </c>
      <c r="D403" s="9">
        <v>75.0</v>
      </c>
      <c r="E403" s="10">
        <v>2.0</v>
      </c>
      <c r="F403" s="9">
        <v>1.0</v>
      </c>
      <c r="G403" s="9">
        <v>1.0</v>
      </c>
      <c r="H403" s="9">
        <v>0.0</v>
      </c>
      <c r="I403" s="9">
        <v>0.0</v>
      </c>
      <c r="J403" s="17">
        <v>60237.0</v>
      </c>
      <c r="K403" s="18">
        <v>59764.2</v>
      </c>
      <c r="L403" s="17">
        <v>59996.0</v>
      </c>
      <c r="M403" s="18">
        <v>59996.0</v>
      </c>
      <c r="N403" s="18">
        <v>0.0</v>
      </c>
      <c r="O403" s="18">
        <v>2117.97</v>
      </c>
      <c r="P403" s="4"/>
    </row>
    <row r="404">
      <c r="A404" s="8" t="s">
        <v>410</v>
      </c>
      <c r="B404" s="9">
        <v>40.0</v>
      </c>
      <c r="C404" s="14" t="s">
        <v>234</v>
      </c>
      <c r="D404" s="9">
        <v>75.0</v>
      </c>
      <c r="E404" s="10">
        <v>2.0</v>
      </c>
      <c r="F404" s="9">
        <v>2.0</v>
      </c>
      <c r="G404" s="9">
        <v>1.0</v>
      </c>
      <c r="H404" s="9">
        <v>0.0</v>
      </c>
      <c r="I404" s="9">
        <v>0.0</v>
      </c>
      <c r="J404" s="17">
        <v>60861.0</v>
      </c>
      <c r="K404" s="18">
        <v>60597.9</v>
      </c>
      <c r="L404" s="17">
        <v>60741.0</v>
      </c>
      <c r="M404" s="18">
        <v>60741.0</v>
      </c>
      <c r="N404" s="18">
        <v>0.0</v>
      </c>
      <c r="O404" s="18">
        <v>61.894</v>
      </c>
      <c r="P404" s="4"/>
    </row>
    <row r="405">
      <c r="A405" s="8" t="s">
        <v>411</v>
      </c>
      <c r="B405" s="9">
        <v>40.0</v>
      </c>
      <c r="C405" s="14" t="s">
        <v>234</v>
      </c>
      <c r="D405" s="9">
        <v>75.0</v>
      </c>
      <c r="E405" s="10">
        <v>2.0</v>
      </c>
      <c r="F405" s="9">
        <v>3.0</v>
      </c>
      <c r="G405" s="9">
        <v>1.0</v>
      </c>
      <c r="H405" s="9">
        <v>0.0</v>
      </c>
      <c r="I405" s="9">
        <v>0.0</v>
      </c>
      <c r="J405" s="17">
        <v>60681.0</v>
      </c>
      <c r="K405" s="18">
        <v>60382.8</v>
      </c>
      <c r="L405" s="17">
        <v>60548.0</v>
      </c>
      <c r="M405" s="18">
        <v>60548.0</v>
      </c>
      <c r="N405" s="18">
        <v>0.0</v>
      </c>
      <c r="O405" s="18">
        <v>150.541</v>
      </c>
      <c r="P405" s="4"/>
    </row>
    <row r="406">
      <c r="A406" s="8" t="s">
        <v>412</v>
      </c>
      <c r="B406" s="9">
        <v>40.0</v>
      </c>
      <c r="C406" s="14" t="s">
        <v>234</v>
      </c>
      <c r="D406" s="9">
        <v>75.0</v>
      </c>
      <c r="E406" s="10">
        <v>2.0</v>
      </c>
      <c r="F406" s="9">
        <v>4.0</v>
      </c>
      <c r="G406" s="9">
        <v>1.0</v>
      </c>
      <c r="H406" s="9">
        <v>0.0</v>
      </c>
      <c r="I406" s="9">
        <v>0.0</v>
      </c>
      <c r="J406" s="17">
        <v>61851.0</v>
      </c>
      <c r="K406" s="18">
        <v>61452.0</v>
      </c>
      <c r="L406" s="17">
        <v>61680.0</v>
      </c>
      <c r="M406" s="18">
        <v>61680.0</v>
      </c>
      <c r="N406" s="18">
        <v>0.0</v>
      </c>
      <c r="O406" s="18">
        <v>292.65</v>
      </c>
      <c r="P406" s="4"/>
    </row>
    <row r="407">
      <c r="A407" s="8" t="s">
        <v>413</v>
      </c>
      <c r="B407" s="9">
        <v>40.0</v>
      </c>
      <c r="C407" s="14" t="s">
        <v>234</v>
      </c>
      <c r="D407" s="9">
        <v>75.0</v>
      </c>
      <c r="E407" s="10">
        <v>2.0</v>
      </c>
      <c r="F407" s="9">
        <v>5.0</v>
      </c>
      <c r="G407" s="9">
        <v>0.0</v>
      </c>
      <c r="H407" s="9">
        <v>1.0</v>
      </c>
      <c r="I407" s="9">
        <v>0.0</v>
      </c>
      <c r="J407" s="17">
        <v>60428.0</v>
      </c>
      <c r="K407" s="18">
        <v>59963.1</v>
      </c>
      <c r="L407" s="17">
        <v>60415.0</v>
      </c>
      <c r="M407" s="18">
        <v>60232.1</v>
      </c>
      <c r="N407" s="18">
        <v>0.302682</v>
      </c>
      <c r="O407" s="18">
        <v>3600.0</v>
      </c>
      <c r="P407" s="4"/>
    </row>
    <row r="408">
      <c r="A408" s="8" t="s">
        <v>414</v>
      </c>
      <c r="B408" s="9">
        <v>45.0</v>
      </c>
      <c r="C408" s="14" t="s">
        <v>234</v>
      </c>
      <c r="D408" s="9">
        <v>25.0</v>
      </c>
      <c r="E408" s="10">
        <v>0.6</v>
      </c>
      <c r="F408" s="9">
        <v>1.0</v>
      </c>
      <c r="G408" s="9">
        <v>1.0</v>
      </c>
      <c r="H408" s="9">
        <v>0.0</v>
      </c>
      <c r="I408" s="9">
        <v>0.0</v>
      </c>
      <c r="J408" s="17">
        <v>319.0</v>
      </c>
      <c r="K408" s="18">
        <v>295.457</v>
      </c>
      <c r="L408" s="17">
        <v>316.0</v>
      </c>
      <c r="M408" s="18">
        <v>316.0</v>
      </c>
      <c r="N408" s="18">
        <v>0.0</v>
      </c>
      <c r="O408" s="18">
        <v>2512.07</v>
      </c>
      <c r="P408" s="4"/>
    </row>
    <row r="409">
      <c r="A409" s="8" t="s">
        <v>415</v>
      </c>
      <c r="B409" s="9">
        <v>45.0</v>
      </c>
      <c r="C409" s="14" t="s">
        <v>234</v>
      </c>
      <c r="D409" s="9">
        <v>25.0</v>
      </c>
      <c r="E409" s="10">
        <v>0.6</v>
      </c>
      <c r="F409" s="9">
        <v>2.0</v>
      </c>
      <c r="G409" s="9">
        <v>0.0</v>
      </c>
      <c r="H409" s="9">
        <v>1.0</v>
      </c>
      <c r="I409" s="9">
        <v>0.0</v>
      </c>
      <c r="J409" s="17">
        <v>414.0</v>
      </c>
      <c r="K409" s="18">
        <v>358.155</v>
      </c>
      <c r="L409" s="17">
        <v>414.0</v>
      </c>
      <c r="M409" s="18">
        <v>379.546</v>
      </c>
      <c r="N409" s="18">
        <v>8.32229</v>
      </c>
      <c r="O409" s="18">
        <v>3600.0</v>
      </c>
      <c r="P409" s="4"/>
    </row>
    <row r="410">
      <c r="A410" s="8" t="s">
        <v>416</v>
      </c>
      <c r="B410" s="9">
        <v>45.0</v>
      </c>
      <c r="C410" s="14" t="s">
        <v>234</v>
      </c>
      <c r="D410" s="9">
        <v>25.0</v>
      </c>
      <c r="E410" s="10">
        <v>0.6</v>
      </c>
      <c r="F410" s="9">
        <v>3.0</v>
      </c>
      <c r="G410" s="9">
        <v>0.0</v>
      </c>
      <c r="H410" s="9">
        <v>1.0</v>
      </c>
      <c r="I410" s="9">
        <v>0.0</v>
      </c>
      <c r="J410" s="17">
        <v>324.0</v>
      </c>
      <c r="K410" s="18">
        <v>297.666</v>
      </c>
      <c r="L410" s="17">
        <v>320.0</v>
      </c>
      <c r="M410" s="18">
        <v>318.381</v>
      </c>
      <c r="N410" s="18">
        <v>0.506005</v>
      </c>
      <c r="O410" s="18">
        <v>3600.0</v>
      </c>
      <c r="P410" s="4"/>
    </row>
    <row r="411">
      <c r="A411" s="8" t="s">
        <v>417</v>
      </c>
      <c r="B411" s="9">
        <v>45.0</v>
      </c>
      <c r="C411" s="14" t="s">
        <v>234</v>
      </c>
      <c r="D411" s="9">
        <v>25.0</v>
      </c>
      <c r="E411" s="10">
        <v>0.6</v>
      </c>
      <c r="F411" s="9">
        <v>4.0</v>
      </c>
      <c r="G411" s="9">
        <v>0.0</v>
      </c>
      <c r="H411" s="9">
        <v>1.0</v>
      </c>
      <c r="I411" s="9">
        <v>0.0</v>
      </c>
      <c r="J411" s="17">
        <v>287.0</v>
      </c>
      <c r="K411" s="18">
        <v>261.647</v>
      </c>
      <c r="L411" s="17">
        <v>285.0</v>
      </c>
      <c r="M411" s="18">
        <v>278.055</v>
      </c>
      <c r="N411" s="18">
        <v>2.43686</v>
      </c>
      <c r="O411" s="18">
        <v>3600.0</v>
      </c>
      <c r="P411" s="4"/>
    </row>
    <row r="412">
      <c r="A412" s="8" t="s">
        <v>418</v>
      </c>
      <c r="B412" s="9">
        <v>45.0</v>
      </c>
      <c r="C412" s="14" t="s">
        <v>234</v>
      </c>
      <c r="D412" s="9">
        <v>25.0</v>
      </c>
      <c r="E412" s="10">
        <v>0.6</v>
      </c>
      <c r="F412" s="9">
        <v>5.0</v>
      </c>
      <c r="G412" s="9">
        <v>1.0</v>
      </c>
      <c r="H412" s="9">
        <v>0.0</v>
      </c>
      <c r="I412" s="9">
        <v>0.0</v>
      </c>
      <c r="J412" s="17">
        <v>307.0</v>
      </c>
      <c r="K412" s="18">
        <v>287.422</v>
      </c>
      <c r="L412" s="17">
        <v>303.0</v>
      </c>
      <c r="M412" s="18">
        <v>303.0</v>
      </c>
      <c r="N412" s="18">
        <v>0.0</v>
      </c>
      <c r="O412" s="18">
        <v>3312.93</v>
      </c>
      <c r="P412" s="4"/>
    </row>
    <row r="413">
      <c r="A413" s="8" t="s">
        <v>419</v>
      </c>
      <c r="B413" s="9">
        <v>45.0</v>
      </c>
      <c r="C413" s="14" t="s">
        <v>234</v>
      </c>
      <c r="D413" s="9">
        <v>25.0</v>
      </c>
      <c r="E413" s="10">
        <v>1.0</v>
      </c>
      <c r="F413" s="9">
        <v>1.0</v>
      </c>
      <c r="G413" s="9">
        <v>0.0</v>
      </c>
      <c r="H413" s="9">
        <v>1.0</v>
      </c>
      <c r="I413" s="9">
        <v>0.0</v>
      </c>
      <c r="J413" s="17">
        <v>1665.0</v>
      </c>
      <c r="K413" s="18">
        <v>1401.97</v>
      </c>
      <c r="L413" s="17">
        <v>1662.0</v>
      </c>
      <c r="M413" s="18">
        <v>1439.75</v>
      </c>
      <c r="N413" s="18">
        <v>13.3724</v>
      </c>
      <c r="O413" s="18">
        <v>3600.0</v>
      </c>
      <c r="P413" s="4"/>
    </row>
    <row r="414">
      <c r="A414" s="8" t="s">
        <v>420</v>
      </c>
      <c r="B414" s="9">
        <v>45.0</v>
      </c>
      <c r="C414" s="14" t="s">
        <v>234</v>
      </c>
      <c r="D414" s="9">
        <v>25.0</v>
      </c>
      <c r="E414" s="10">
        <v>1.0</v>
      </c>
      <c r="F414" s="9">
        <v>2.0</v>
      </c>
      <c r="G414" s="9">
        <v>0.0</v>
      </c>
      <c r="H414" s="9">
        <v>1.0</v>
      </c>
      <c r="I414" s="9">
        <v>0.0</v>
      </c>
      <c r="J414" s="17">
        <v>1848.0</v>
      </c>
      <c r="K414" s="18">
        <v>1568.74</v>
      </c>
      <c r="L414" s="17">
        <v>1838.0</v>
      </c>
      <c r="M414" s="18">
        <v>1627.33</v>
      </c>
      <c r="N414" s="18">
        <v>11.4618</v>
      </c>
      <c r="O414" s="18">
        <v>3600.0</v>
      </c>
      <c r="P414" s="4"/>
    </row>
    <row r="415">
      <c r="A415" s="8" t="s">
        <v>421</v>
      </c>
      <c r="B415" s="9">
        <v>45.0</v>
      </c>
      <c r="C415" s="14" t="s">
        <v>234</v>
      </c>
      <c r="D415" s="9">
        <v>25.0</v>
      </c>
      <c r="E415" s="10">
        <v>1.0</v>
      </c>
      <c r="F415" s="9">
        <v>3.0</v>
      </c>
      <c r="G415" s="9">
        <v>0.0</v>
      </c>
      <c r="H415" s="9">
        <v>1.0</v>
      </c>
      <c r="I415" s="9">
        <v>0.0</v>
      </c>
      <c r="J415" s="17">
        <v>1704.0</v>
      </c>
      <c r="K415" s="18">
        <v>1427.18</v>
      </c>
      <c r="L415" s="17">
        <v>1704.0</v>
      </c>
      <c r="M415" s="18">
        <v>1457.31</v>
      </c>
      <c r="N415" s="18">
        <v>14.4774</v>
      </c>
      <c r="O415" s="18">
        <v>3600.0</v>
      </c>
      <c r="P415" s="4"/>
    </row>
    <row r="416">
      <c r="A416" s="8" t="s">
        <v>422</v>
      </c>
      <c r="B416" s="9">
        <v>45.0</v>
      </c>
      <c r="C416" s="14" t="s">
        <v>234</v>
      </c>
      <c r="D416" s="9">
        <v>25.0</v>
      </c>
      <c r="E416" s="10">
        <v>1.0</v>
      </c>
      <c r="F416" s="9">
        <v>4.0</v>
      </c>
      <c r="G416" s="9">
        <v>0.0</v>
      </c>
      <c r="H416" s="9">
        <v>1.0</v>
      </c>
      <c r="I416" s="9">
        <v>0.0</v>
      </c>
      <c r="J416" s="17">
        <v>1524.0</v>
      </c>
      <c r="K416" s="18">
        <v>1272.34</v>
      </c>
      <c r="L416" s="17">
        <v>1524.0</v>
      </c>
      <c r="M416" s="18">
        <v>1293.27</v>
      </c>
      <c r="N416" s="18">
        <v>15.1401</v>
      </c>
      <c r="O416" s="18">
        <v>3600.0</v>
      </c>
      <c r="P416" s="4"/>
    </row>
    <row r="417">
      <c r="A417" s="8" t="s">
        <v>423</v>
      </c>
      <c r="B417" s="9">
        <v>45.0</v>
      </c>
      <c r="C417" s="14" t="s">
        <v>234</v>
      </c>
      <c r="D417" s="9">
        <v>25.0</v>
      </c>
      <c r="E417" s="10">
        <v>1.0</v>
      </c>
      <c r="F417" s="9">
        <v>5.0</v>
      </c>
      <c r="G417" s="9">
        <v>0.0</v>
      </c>
      <c r="H417" s="9">
        <v>1.0</v>
      </c>
      <c r="I417" s="9">
        <v>0.0</v>
      </c>
      <c r="J417" s="17">
        <v>1578.0</v>
      </c>
      <c r="K417" s="18">
        <v>1319.98</v>
      </c>
      <c r="L417" s="17">
        <v>1578.0</v>
      </c>
      <c r="M417" s="18">
        <v>1353.57</v>
      </c>
      <c r="N417" s="18">
        <v>14.2225</v>
      </c>
      <c r="O417" s="18">
        <v>3600.0</v>
      </c>
      <c r="P417" s="4"/>
    </row>
    <row r="418">
      <c r="A418" s="8" t="s">
        <v>424</v>
      </c>
      <c r="B418" s="9">
        <v>45.0</v>
      </c>
      <c r="C418" s="14" t="s">
        <v>234</v>
      </c>
      <c r="D418" s="9">
        <v>25.0</v>
      </c>
      <c r="E418" s="10">
        <v>2.0</v>
      </c>
      <c r="F418" s="9">
        <v>1.0</v>
      </c>
      <c r="G418" s="9">
        <v>1.0</v>
      </c>
      <c r="H418" s="9">
        <v>0.0</v>
      </c>
      <c r="I418" s="9">
        <v>0.0</v>
      </c>
      <c r="J418" s="17">
        <v>22121.0</v>
      </c>
      <c r="K418" s="18">
        <v>20110.0</v>
      </c>
      <c r="L418" s="17">
        <v>20110.0</v>
      </c>
      <c r="M418" s="18">
        <v>20110.0</v>
      </c>
      <c r="N418" s="18">
        <v>0.0</v>
      </c>
      <c r="O418" s="18">
        <v>2.433</v>
      </c>
      <c r="P418" s="4"/>
    </row>
    <row r="419">
      <c r="A419" s="8" t="s">
        <v>425</v>
      </c>
      <c r="B419" s="9">
        <v>45.0</v>
      </c>
      <c r="C419" s="14" t="s">
        <v>234</v>
      </c>
      <c r="D419" s="9">
        <v>25.0</v>
      </c>
      <c r="E419" s="10">
        <v>2.0</v>
      </c>
      <c r="F419" s="9">
        <v>2.0</v>
      </c>
      <c r="G419" s="9">
        <v>0.0</v>
      </c>
      <c r="H419" s="9">
        <v>1.0</v>
      </c>
      <c r="I419" s="9">
        <v>0.0</v>
      </c>
      <c r="J419" s="17">
        <v>24442.0</v>
      </c>
      <c r="K419" s="18">
        <v>22043.0</v>
      </c>
      <c r="L419" s="17">
        <v>22220.0</v>
      </c>
      <c r="M419" s="18">
        <v>22043.0</v>
      </c>
      <c r="N419" s="18">
        <v>0.79646</v>
      </c>
      <c r="O419" s="18">
        <v>3600.0</v>
      </c>
      <c r="P419" s="4"/>
    </row>
    <row r="420">
      <c r="A420" s="8" t="s">
        <v>426</v>
      </c>
      <c r="B420" s="9">
        <v>45.0</v>
      </c>
      <c r="C420" s="14" t="s">
        <v>234</v>
      </c>
      <c r="D420" s="9">
        <v>25.0</v>
      </c>
      <c r="E420" s="10">
        <v>2.0</v>
      </c>
      <c r="F420" s="9">
        <v>3.0</v>
      </c>
      <c r="G420" s="9">
        <v>0.0</v>
      </c>
      <c r="H420" s="9">
        <v>1.0</v>
      </c>
      <c r="I420" s="9">
        <v>0.0</v>
      </c>
      <c r="J420" s="17">
        <v>22704.0</v>
      </c>
      <c r="K420" s="18">
        <v>20513.3</v>
      </c>
      <c r="L420" s="17">
        <v>20640.0</v>
      </c>
      <c r="M420" s="18">
        <v>20513.3</v>
      </c>
      <c r="N420" s="18">
        <v>0.614035</v>
      </c>
      <c r="O420" s="18">
        <v>3600.0</v>
      </c>
      <c r="P420" s="4"/>
    </row>
    <row r="421">
      <c r="A421" s="8" t="s">
        <v>427</v>
      </c>
      <c r="B421" s="9">
        <v>45.0</v>
      </c>
      <c r="C421" s="14" t="s">
        <v>234</v>
      </c>
      <c r="D421" s="9">
        <v>25.0</v>
      </c>
      <c r="E421" s="10">
        <v>2.0</v>
      </c>
      <c r="F421" s="9">
        <v>4.0</v>
      </c>
      <c r="G421" s="9">
        <v>0.0</v>
      </c>
      <c r="H421" s="9">
        <v>1.0</v>
      </c>
      <c r="I421" s="9">
        <v>0.0</v>
      </c>
      <c r="J421" s="17">
        <v>20262.0</v>
      </c>
      <c r="K421" s="18">
        <v>18377.2</v>
      </c>
      <c r="L421" s="17">
        <v>18420.0</v>
      </c>
      <c r="M421" s="18">
        <v>18377.2</v>
      </c>
      <c r="N421" s="18">
        <v>0.232558</v>
      </c>
      <c r="O421" s="18">
        <v>3600.0</v>
      </c>
      <c r="P421" s="4"/>
    </row>
    <row r="422">
      <c r="A422" s="8" t="s">
        <v>428</v>
      </c>
      <c r="B422" s="9">
        <v>45.0</v>
      </c>
      <c r="C422" s="14" t="s">
        <v>234</v>
      </c>
      <c r="D422" s="9">
        <v>25.0</v>
      </c>
      <c r="E422" s="10">
        <v>2.0</v>
      </c>
      <c r="F422" s="9">
        <v>5.0</v>
      </c>
      <c r="G422" s="9">
        <v>0.0</v>
      </c>
      <c r="H422" s="9">
        <v>1.0</v>
      </c>
      <c r="I422" s="9">
        <v>0.0</v>
      </c>
      <c r="J422" s="17">
        <v>20999.0</v>
      </c>
      <c r="K422" s="18">
        <v>19010.5</v>
      </c>
      <c r="L422" s="17">
        <v>19090.0</v>
      </c>
      <c r="M422" s="18">
        <v>19010.5</v>
      </c>
      <c r="N422" s="18">
        <v>0.416667</v>
      </c>
      <c r="O422" s="18">
        <v>3600.0</v>
      </c>
      <c r="P422" s="4"/>
    </row>
    <row r="423">
      <c r="A423" s="8" t="s">
        <v>429</v>
      </c>
      <c r="B423" s="9">
        <v>45.0</v>
      </c>
      <c r="C423" s="14" t="s">
        <v>234</v>
      </c>
      <c r="D423" s="9">
        <v>50.0</v>
      </c>
      <c r="E423" s="10">
        <v>0.6</v>
      </c>
      <c r="F423" s="9">
        <v>1.0</v>
      </c>
      <c r="G423" s="9">
        <v>1.0</v>
      </c>
      <c r="H423" s="9">
        <v>0.0</v>
      </c>
      <c r="I423" s="9">
        <v>0.0</v>
      </c>
      <c r="J423" s="17">
        <v>1076.0</v>
      </c>
      <c r="K423" s="18">
        <v>1017.07</v>
      </c>
      <c r="L423" s="17">
        <v>1071.0</v>
      </c>
      <c r="M423" s="18">
        <v>1071.0</v>
      </c>
      <c r="N423" s="18">
        <v>0.0</v>
      </c>
      <c r="O423" s="18">
        <v>994.291</v>
      </c>
      <c r="P423" s="4"/>
    </row>
    <row r="424">
      <c r="A424" s="8" t="s">
        <v>430</v>
      </c>
      <c r="B424" s="9">
        <v>45.0</v>
      </c>
      <c r="C424" s="14" t="s">
        <v>234</v>
      </c>
      <c r="D424" s="9">
        <v>50.0</v>
      </c>
      <c r="E424" s="10">
        <v>0.6</v>
      </c>
      <c r="F424" s="9">
        <v>2.0</v>
      </c>
      <c r="G424" s="9">
        <v>1.0</v>
      </c>
      <c r="H424" s="9">
        <v>0.0</v>
      </c>
      <c r="I424" s="9">
        <v>0.0</v>
      </c>
      <c r="J424" s="17">
        <v>1061.0</v>
      </c>
      <c r="K424" s="18">
        <v>1001.43</v>
      </c>
      <c r="L424" s="17">
        <v>1043.0</v>
      </c>
      <c r="M424" s="18">
        <v>1043.0</v>
      </c>
      <c r="N424" s="18">
        <v>0.0</v>
      </c>
      <c r="O424" s="18">
        <v>433.609</v>
      </c>
      <c r="P424" s="4"/>
    </row>
    <row r="425">
      <c r="A425" s="8" t="s">
        <v>431</v>
      </c>
      <c r="B425" s="9">
        <v>45.0</v>
      </c>
      <c r="C425" s="14" t="s">
        <v>234</v>
      </c>
      <c r="D425" s="9">
        <v>50.0</v>
      </c>
      <c r="E425" s="10">
        <v>0.6</v>
      </c>
      <c r="F425" s="9">
        <v>3.0</v>
      </c>
      <c r="G425" s="9">
        <v>1.0</v>
      </c>
      <c r="H425" s="9">
        <v>0.0</v>
      </c>
      <c r="I425" s="9">
        <v>0.0</v>
      </c>
      <c r="J425" s="17">
        <v>983.0</v>
      </c>
      <c r="K425" s="18">
        <v>891.884</v>
      </c>
      <c r="L425" s="17">
        <v>929.0</v>
      </c>
      <c r="M425" s="18">
        <v>929.0</v>
      </c>
      <c r="N425" s="18">
        <v>0.0</v>
      </c>
      <c r="O425" s="18">
        <v>527.982</v>
      </c>
      <c r="P425" s="4"/>
    </row>
    <row r="426">
      <c r="A426" s="8" t="s">
        <v>432</v>
      </c>
      <c r="B426" s="9">
        <v>45.0</v>
      </c>
      <c r="C426" s="14" t="s">
        <v>234</v>
      </c>
      <c r="D426" s="9">
        <v>50.0</v>
      </c>
      <c r="E426" s="10">
        <v>0.6</v>
      </c>
      <c r="F426" s="9">
        <v>4.0</v>
      </c>
      <c r="G426" s="9">
        <v>1.0</v>
      </c>
      <c r="H426" s="9">
        <v>0.0</v>
      </c>
      <c r="I426" s="9">
        <v>0.0</v>
      </c>
      <c r="J426" s="17">
        <v>1026.0</v>
      </c>
      <c r="K426" s="18">
        <v>950.194</v>
      </c>
      <c r="L426" s="17">
        <v>989.0</v>
      </c>
      <c r="M426" s="18">
        <v>989.0</v>
      </c>
      <c r="N426" s="18">
        <v>0.0</v>
      </c>
      <c r="O426" s="18">
        <v>419.739</v>
      </c>
      <c r="P426" s="4"/>
    </row>
    <row r="427">
      <c r="A427" s="8" t="s">
        <v>433</v>
      </c>
      <c r="B427" s="9">
        <v>45.0</v>
      </c>
      <c r="C427" s="14" t="s">
        <v>234</v>
      </c>
      <c r="D427" s="9">
        <v>50.0</v>
      </c>
      <c r="E427" s="10">
        <v>0.6</v>
      </c>
      <c r="F427" s="9">
        <v>5.0</v>
      </c>
      <c r="G427" s="9">
        <v>1.0</v>
      </c>
      <c r="H427" s="9">
        <v>0.0</v>
      </c>
      <c r="I427" s="9">
        <v>0.0</v>
      </c>
      <c r="J427" s="17">
        <v>1135.0</v>
      </c>
      <c r="K427" s="18">
        <v>1088.86</v>
      </c>
      <c r="L427" s="17">
        <v>1122.0</v>
      </c>
      <c r="M427" s="18">
        <v>1122.0</v>
      </c>
      <c r="N427" s="18">
        <v>0.0</v>
      </c>
      <c r="O427" s="18">
        <v>116.655</v>
      </c>
      <c r="P427" s="4"/>
    </row>
    <row r="428">
      <c r="A428" s="8" t="s">
        <v>434</v>
      </c>
      <c r="B428" s="9">
        <v>45.0</v>
      </c>
      <c r="C428" s="14" t="s">
        <v>234</v>
      </c>
      <c r="D428" s="9">
        <v>50.0</v>
      </c>
      <c r="E428" s="10">
        <v>1.0</v>
      </c>
      <c r="F428" s="9">
        <v>1.0</v>
      </c>
      <c r="G428" s="9">
        <v>1.0</v>
      </c>
      <c r="H428" s="9">
        <v>0.0</v>
      </c>
      <c r="I428" s="9">
        <v>0.0</v>
      </c>
      <c r="J428" s="17">
        <v>4119.0</v>
      </c>
      <c r="K428" s="18">
        <v>3879.17</v>
      </c>
      <c r="L428" s="17">
        <v>3950.0</v>
      </c>
      <c r="M428" s="18">
        <v>3950.0</v>
      </c>
      <c r="N428" s="18">
        <v>0.0</v>
      </c>
      <c r="O428" s="18">
        <v>345.642</v>
      </c>
      <c r="P428" s="4"/>
    </row>
    <row r="429">
      <c r="A429" s="8" t="s">
        <v>435</v>
      </c>
      <c r="B429" s="9">
        <v>45.0</v>
      </c>
      <c r="C429" s="14" t="s">
        <v>234</v>
      </c>
      <c r="D429" s="9">
        <v>50.0</v>
      </c>
      <c r="E429" s="10">
        <v>1.0</v>
      </c>
      <c r="F429" s="9">
        <v>2.0</v>
      </c>
      <c r="G429" s="9">
        <v>1.0</v>
      </c>
      <c r="H429" s="9">
        <v>0.0</v>
      </c>
      <c r="I429" s="9">
        <v>0.0</v>
      </c>
      <c r="J429" s="17">
        <v>4002.0</v>
      </c>
      <c r="K429" s="18">
        <v>3805.24</v>
      </c>
      <c r="L429" s="17">
        <v>3904.0</v>
      </c>
      <c r="M429" s="18">
        <v>3904.0</v>
      </c>
      <c r="N429" s="18">
        <v>0.0</v>
      </c>
      <c r="O429" s="18">
        <v>829.849</v>
      </c>
      <c r="P429" s="4"/>
    </row>
    <row r="430">
      <c r="A430" s="8" t="s">
        <v>436</v>
      </c>
      <c r="B430" s="9">
        <v>45.0</v>
      </c>
      <c r="C430" s="14" t="s">
        <v>234</v>
      </c>
      <c r="D430" s="9">
        <v>50.0</v>
      </c>
      <c r="E430" s="10">
        <v>1.0</v>
      </c>
      <c r="F430" s="9">
        <v>3.0</v>
      </c>
      <c r="G430" s="9">
        <v>1.0</v>
      </c>
      <c r="H430" s="9">
        <v>0.0</v>
      </c>
      <c r="I430" s="9">
        <v>0.0</v>
      </c>
      <c r="J430" s="17">
        <v>3622.0</v>
      </c>
      <c r="K430" s="18">
        <v>3448.95</v>
      </c>
      <c r="L430" s="17">
        <v>3541.0</v>
      </c>
      <c r="M430" s="18">
        <v>3541.0</v>
      </c>
      <c r="N430" s="18">
        <v>0.0</v>
      </c>
      <c r="O430" s="18">
        <v>1019.01</v>
      </c>
      <c r="P430" s="4"/>
    </row>
    <row r="431">
      <c r="A431" s="8" t="s">
        <v>437</v>
      </c>
      <c r="B431" s="9">
        <v>45.0</v>
      </c>
      <c r="C431" s="14" t="s">
        <v>234</v>
      </c>
      <c r="D431" s="9">
        <v>50.0</v>
      </c>
      <c r="E431" s="10">
        <v>1.0</v>
      </c>
      <c r="F431" s="9">
        <v>4.0</v>
      </c>
      <c r="G431" s="9">
        <v>1.0</v>
      </c>
      <c r="H431" s="9">
        <v>0.0</v>
      </c>
      <c r="I431" s="9">
        <v>0.0</v>
      </c>
      <c r="J431" s="17">
        <v>3880.0</v>
      </c>
      <c r="K431" s="18">
        <v>3641.71</v>
      </c>
      <c r="L431" s="17">
        <v>3703.0</v>
      </c>
      <c r="M431" s="18">
        <v>3703.0</v>
      </c>
      <c r="N431" s="18">
        <v>0.0</v>
      </c>
      <c r="O431" s="18">
        <v>380.298</v>
      </c>
      <c r="P431" s="4"/>
    </row>
    <row r="432">
      <c r="A432" s="8" t="s">
        <v>438</v>
      </c>
      <c r="B432" s="9">
        <v>45.0</v>
      </c>
      <c r="C432" s="14" t="s">
        <v>234</v>
      </c>
      <c r="D432" s="9">
        <v>50.0</v>
      </c>
      <c r="E432" s="10">
        <v>1.0</v>
      </c>
      <c r="F432" s="9">
        <v>5.0</v>
      </c>
      <c r="G432" s="9">
        <v>1.0</v>
      </c>
      <c r="H432" s="9">
        <v>0.0</v>
      </c>
      <c r="I432" s="9">
        <v>0.0</v>
      </c>
      <c r="J432" s="17">
        <v>4218.0</v>
      </c>
      <c r="K432" s="18">
        <v>4100.0</v>
      </c>
      <c r="L432" s="17">
        <v>4169.0</v>
      </c>
      <c r="M432" s="18">
        <v>4169.0</v>
      </c>
      <c r="N432" s="18">
        <v>0.0</v>
      </c>
      <c r="O432" s="18">
        <v>249.126</v>
      </c>
      <c r="P432" s="4"/>
    </row>
    <row r="433">
      <c r="A433" s="8" t="s">
        <v>439</v>
      </c>
      <c r="B433" s="9">
        <v>45.0</v>
      </c>
      <c r="C433" s="14" t="s">
        <v>234</v>
      </c>
      <c r="D433" s="9">
        <v>50.0</v>
      </c>
      <c r="E433" s="10">
        <v>2.0</v>
      </c>
      <c r="F433" s="9">
        <v>1.0</v>
      </c>
      <c r="G433" s="9">
        <v>1.0</v>
      </c>
      <c r="H433" s="9">
        <v>0.0</v>
      </c>
      <c r="I433" s="9">
        <v>0.0</v>
      </c>
      <c r="J433" s="17">
        <v>45972.0</v>
      </c>
      <c r="K433" s="18">
        <v>41740.5</v>
      </c>
      <c r="L433" s="17">
        <v>41843.0</v>
      </c>
      <c r="M433" s="18">
        <v>41843.0</v>
      </c>
      <c r="N433" s="18">
        <v>0.0</v>
      </c>
      <c r="O433" s="18">
        <v>444.152</v>
      </c>
      <c r="P433" s="4"/>
    </row>
    <row r="434">
      <c r="A434" s="8" t="s">
        <v>440</v>
      </c>
      <c r="B434" s="9">
        <v>45.0</v>
      </c>
      <c r="C434" s="14" t="s">
        <v>234</v>
      </c>
      <c r="D434" s="9">
        <v>50.0</v>
      </c>
      <c r="E434" s="10">
        <v>2.0</v>
      </c>
      <c r="F434" s="9">
        <v>2.0</v>
      </c>
      <c r="G434" s="9">
        <v>1.0</v>
      </c>
      <c r="H434" s="9">
        <v>0.0</v>
      </c>
      <c r="I434" s="9">
        <v>0.0</v>
      </c>
      <c r="J434" s="17">
        <v>41323.0</v>
      </c>
      <c r="K434" s="18">
        <v>41244.6</v>
      </c>
      <c r="L434" s="17">
        <v>41316.0</v>
      </c>
      <c r="M434" s="18">
        <v>41316.0</v>
      </c>
      <c r="N434" s="18">
        <v>0.0</v>
      </c>
      <c r="O434" s="18">
        <v>138.353</v>
      </c>
      <c r="P434" s="4"/>
    </row>
    <row r="435">
      <c r="A435" s="8" t="s">
        <v>441</v>
      </c>
      <c r="B435" s="9">
        <v>45.0</v>
      </c>
      <c r="C435" s="14" t="s">
        <v>234</v>
      </c>
      <c r="D435" s="9">
        <v>50.0</v>
      </c>
      <c r="E435" s="10">
        <v>2.0</v>
      </c>
      <c r="F435" s="9">
        <v>3.0</v>
      </c>
      <c r="G435" s="9">
        <v>0.0</v>
      </c>
      <c r="H435" s="9">
        <v>1.0</v>
      </c>
      <c r="I435" s="9">
        <v>0.0</v>
      </c>
      <c r="J435" s="17">
        <v>42404.0</v>
      </c>
      <c r="K435" s="18">
        <v>38300.1</v>
      </c>
      <c r="L435" s="17">
        <v>38619.0</v>
      </c>
      <c r="M435" s="18">
        <v>38429.3</v>
      </c>
      <c r="N435" s="18">
        <v>0.491283</v>
      </c>
      <c r="O435" s="18">
        <v>3600.0</v>
      </c>
      <c r="P435" s="4"/>
    </row>
    <row r="436">
      <c r="A436" s="8" t="s">
        <v>442</v>
      </c>
      <c r="B436" s="9">
        <v>45.0</v>
      </c>
      <c r="C436" s="14" t="s">
        <v>234</v>
      </c>
      <c r="D436" s="9">
        <v>50.0</v>
      </c>
      <c r="E436" s="10">
        <v>2.0</v>
      </c>
      <c r="F436" s="9">
        <v>4.0</v>
      </c>
      <c r="G436" s="9">
        <v>0.0</v>
      </c>
      <c r="H436" s="9">
        <v>1.0</v>
      </c>
      <c r="I436" s="9">
        <v>0.0</v>
      </c>
      <c r="J436" s="17">
        <v>44014.0</v>
      </c>
      <c r="K436" s="18">
        <v>39856.7</v>
      </c>
      <c r="L436" s="17">
        <v>40045.0</v>
      </c>
      <c r="M436" s="18">
        <v>39990.5</v>
      </c>
      <c r="N436" s="18">
        <v>0.136206</v>
      </c>
      <c r="O436" s="18">
        <v>3600.0</v>
      </c>
      <c r="P436" s="4"/>
    </row>
    <row r="437">
      <c r="A437" s="8" t="s">
        <v>443</v>
      </c>
      <c r="B437" s="9">
        <v>45.0</v>
      </c>
      <c r="C437" s="14" t="s">
        <v>234</v>
      </c>
      <c r="D437" s="9">
        <v>50.0</v>
      </c>
      <c r="E437" s="10">
        <v>2.0</v>
      </c>
      <c r="F437" s="9">
        <v>5.0</v>
      </c>
      <c r="G437" s="9">
        <v>1.0</v>
      </c>
      <c r="H437" s="9">
        <v>0.0</v>
      </c>
      <c r="I437" s="9">
        <v>0.0</v>
      </c>
      <c r="J437" s="17">
        <v>43693.0</v>
      </c>
      <c r="K437" s="18">
        <v>43523.3</v>
      </c>
      <c r="L437" s="17">
        <v>43601.0</v>
      </c>
      <c r="M437" s="18">
        <v>43601.0</v>
      </c>
      <c r="N437" s="18">
        <v>0.0</v>
      </c>
      <c r="O437" s="18">
        <v>49.873</v>
      </c>
      <c r="P437" s="4"/>
    </row>
    <row r="438">
      <c r="A438" s="8" t="s">
        <v>444</v>
      </c>
      <c r="B438" s="9">
        <v>45.0</v>
      </c>
      <c r="C438" s="14" t="s">
        <v>234</v>
      </c>
      <c r="D438" s="9">
        <v>75.0</v>
      </c>
      <c r="E438" s="10">
        <v>0.6</v>
      </c>
      <c r="F438" s="9">
        <v>1.0</v>
      </c>
      <c r="G438" s="9">
        <v>1.0</v>
      </c>
      <c r="H438" s="9">
        <v>0.0</v>
      </c>
      <c r="I438" s="9">
        <v>0.0</v>
      </c>
      <c r="J438" s="17">
        <v>2214.0</v>
      </c>
      <c r="K438" s="18">
        <v>2137.0</v>
      </c>
      <c r="L438" s="17">
        <v>2184.0</v>
      </c>
      <c r="M438" s="18">
        <v>2184.0</v>
      </c>
      <c r="N438" s="18">
        <v>0.0</v>
      </c>
      <c r="O438" s="18">
        <v>136.971</v>
      </c>
      <c r="P438" s="4"/>
    </row>
    <row r="439">
      <c r="A439" s="8" t="s">
        <v>445</v>
      </c>
      <c r="B439" s="9">
        <v>45.0</v>
      </c>
      <c r="C439" s="14" t="s">
        <v>234</v>
      </c>
      <c r="D439" s="9">
        <v>75.0</v>
      </c>
      <c r="E439" s="10">
        <v>0.6</v>
      </c>
      <c r="F439" s="9">
        <v>2.0</v>
      </c>
      <c r="G439" s="9">
        <v>1.0</v>
      </c>
      <c r="H439" s="9">
        <v>0.0</v>
      </c>
      <c r="I439" s="9">
        <v>0.0</v>
      </c>
      <c r="J439" s="17">
        <v>2219.0</v>
      </c>
      <c r="K439" s="18">
        <v>2185.13</v>
      </c>
      <c r="L439" s="17">
        <v>2219.0</v>
      </c>
      <c r="M439" s="18">
        <v>2219.0</v>
      </c>
      <c r="N439" s="18">
        <v>0.0</v>
      </c>
      <c r="O439" s="18">
        <v>28.718</v>
      </c>
      <c r="P439" s="4"/>
    </row>
    <row r="440">
      <c r="A440" s="8" t="s">
        <v>446</v>
      </c>
      <c r="B440" s="9">
        <v>45.0</v>
      </c>
      <c r="C440" s="14" t="s">
        <v>234</v>
      </c>
      <c r="D440" s="9">
        <v>75.0</v>
      </c>
      <c r="E440" s="10">
        <v>0.6</v>
      </c>
      <c r="F440" s="9">
        <v>3.0</v>
      </c>
      <c r="G440" s="9">
        <v>1.0</v>
      </c>
      <c r="H440" s="9">
        <v>0.0</v>
      </c>
      <c r="I440" s="9">
        <v>0.0</v>
      </c>
      <c r="J440" s="17">
        <v>2246.0</v>
      </c>
      <c r="K440" s="18">
        <v>2161.71</v>
      </c>
      <c r="L440" s="17">
        <v>2207.0</v>
      </c>
      <c r="M440" s="18">
        <v>2207.0</v>
      </c>
      <c r="N440" s="18">
        <v>0.0</v>
      </c>
      <c r="O440" s="18">
        <v>70.761</v>
      </c>
      <c r="P440" s="4"/>
    </row>
    <row r="441">
      <c r="A441" s="8" t="s">
        <v>447</v>
      </c>
      <c r="B441" s="9">
        <v>45.0</v>
      </c>
      <c r="C441" s="14" t="s">
        <v>234</v>
      </c>
      <c r="D441" s="9">
        <v>75.0</v>
      </c>
      <c r="E441" s="10">
        <v>0.6</v>
      </c>
      <c r="F441" s="9">
        <v>4.0</v>
      </c>
      <c r="G441" s="9">
        <v>1.0</v>
      </c>
      <c r="H441" s="9">
        <v>0.0</v>
      </c>
      <c r="I441" s="9">
        <v>0.0</v>
      </c>
      <c r="J441" s="17">
        <v>2062.0</v>
      </c>
      <c r="K441" s="18">
        <v>1980.04</v>
      </c>
      <c r="L441" s="17">
        <v>2025.0</v>
      </c>
      <c r="M441" s="18">
        <v>2025.0</v>
      </c>
      <c r="N441" s="18">
        <v>0.0</v>
      </c>
      <c r="O441" s="18">
        <v>73.413</v>
      </c>
      <c r="P441" s="4"/>
    </row>
    <row r="442">
      <c r="A442" s="8" t="s">
        <v>448</v>
      </c>
      <c r="B442" s="9">
        <v>45.0</v>
      </c>
      <c r="C442" s="14" t="s">
        <v>234</v>
      </c>
      <c r="D442" s="9">
        <v>75.0</v>
      </c>
      <c r="E442" s="10">
        <v>0.6</v>
      </c>
      <c r="F442" s="9">
        <v>5.0</v>
      </c>
      <c r="G442" s="9">
        <v>1.0</v>
      </c>
      <c r="H442" s="9">
        <v>0.0</v>
      </c>
      <c r="I442" s="9">
        <v>0.0</v>
      </c>
      <c r="J442" s="17">
        <v>2001.0</v>
      </c>
      <c r="K442" s="18">
        <v>1919.39</v>
      </c>
      <c r="L442" s="17">
        <v>1963.0</v>
      </c>
      <c r="M442" s="18">
        <v>1963.0</v>
      </c>
      <c r="N442" s="18">
        <v>0.0</v>
      </c>
      <c r="O442" s="18">
        <v>127.194</v>
      </c>
      <c r="P442" s="4"/>
    </row>
    <row r="443">
      <c r="A443" s="8" t="s">
        <v>449</v>
      </c>
      <c r="B443" s="9">
        <v>45.0</v>
      </c>
      <c r="C443" s="14" t="s">
        <v>234</v>
      </c>
      <c r="D443" s="9">
        <v>75.0</v>
      </c>
      <c r="E443" s="10">
        <v>1.0</v>
      </c>
      <c r="F443" s="9">
        <v>1.0</v>
      </c>
      <c r="G443" s="9">
        <v>1.0</v>
      </c>
      <c r="H443" s="9">
        <v>0.0</v>
      </c>
      <c r="I443" s="9">
        <v>0.0</v>
      </c>
      <c r="J443" s="17">
        <v>7607.0</v>
      </c>
      <c r="K443" s="18">
        <v>6882.64</v>
      </c>
      <c r="L443" s="17">
        <v>6946.0</v>
      </c>
      <c r="M443" s="18">
        <v>6946.0</v>
      </c>
      <c r="N443" s="18">
        <v>0.0</v>
      </c>
      <c r="O443" s="18">
        <v>421.285</v>
      </c>
      <c r="P443" s="4"/>
    </row>
    <row r="444">
      <c r="A444" s="8" t="s">
        <v>450</v>
      </c>
      <c r="B444" s="9">
        <v>45.0</v>
      </c>
      <c r="C444" s="14" t="s">
        <v>234</v>
      </c>
      <c r="D444" s="9">
        <v>75.0</v>
      </c>
      <c r="E444" s="10">
        <v>1.0</v>
      </c>
      <c r="F444" s="9">
        <v>2.0</v>
      </c>
      <c r="G444" s="9">
        <v>1.0</v>
      </c>
      <c r="H444" s="9">
        <v>0.0</v>
      </c>
      <c r="I444" s="9">
        <v>0.0</v>
      </c>
      <c r="J444" s="17">
        <v>7694.0</v>
      </c>
      <c r="K444" s="18">
        <v>7099.12</v>
      </c>
      <c r="L444" s="17">
        <v>7128.0</v>
      </c>
      <c r="M444" s="18">
        <v>7128.0</v>
      </c>
      <c r="N444" s="18">
        <v>0.0</v>
      </c>
      <c r="O444" s="18">
        <v>248.74</v>
      </c>
      <c r="P444" s="4"/>
    </row>
    <row r="445">
      <c r="A445" s="8" t="s">
        <v>451</v>
      </c>
      <c r="B445" s="9">
        <v>45.0</v>
      </c>
      <c r="C445" s="14" t="s">
        <v>234</v>
      </c>
      <c r="D445" s="9">
        <v>75.0</v>
      </c>
      <c r="E445" s="10">
        <v>1.0</v>
      </c>
      <c r="F445" s="9">
        <v>3.0</v>
      </c>
      <c r="G445" s="9">
        <v>1.0</v>
      </c>
      <c r="H445" s="9">
        <v>0.0</v>
      </c>
      <c r="I445" s="9">
        <v>0.0</v>
      </c>
      <c r="J445" s="17">
        <v>7443.0</v>
      </c>
      <c r="K445" s="18">
        <v>7017.31</v>
      </c>
      <c r="L445" s="17">
        <v>7098.0</v>
      </c>
      <c r="M445" s="18">
        <v>7098.0</v>
      </c>
      <c r="N445" s="18">
        <v>0.0</v>
      </c>
      <c r="O445" s="18">
        <v>1381.0</v>
      </c>
      <c r="P445" s="4"/>
    </row>
    <row r="446">
      <c r="A446" s="8" t="s">
        <v>452</v>
      </c>
      <c r="B446" s="9">
        <v>45.0</v>
      </c>
      <c r="C446" s="14" t="s">
        <v>234</v>
      </c>
      <c r="D446" s="9">
        <v>75.0</v>
      </c>
      <c r="E446" s="10">
        <v>1.0</v>
      </c>
      <c r="F446" s="9">
        <v>4.0</v>
      </c>
      <c r="G446" s="9">
        <v>1.0</v>
      </c>
      <c r="H446" s="9">
        <v>0.0</v>
      </c>
      <c r="I446" s="9">
        <v>0.0</v>
      </c>
      <c r="J446" s="17">
        <v>6625.0</v>
      </c>
      <c r="K446" s="18">
        <v>6575.56</v>
      </c>
      <c r="L446" s="17">
        <v>6604.0</v>
      </c>
      <c r="M446" s="18">
        <v>6604.0</v>
      </c>
      <c r="N446" s="18">
        <v>0.0</v>
      </c>
      <c r="O446" s="18">
        <v>93.062</v>
      </c>
      <c r="P446" s="4"/>
    </row>
    <row r="447">
      <c r="A447" s="8" t="s">
        <v>453</v>
      </c>
      <c r="B447" s="9">
        <v>45.0</v>
      </c>
      <c r="C447" s="14" t="s">
        <v>234</v>
      </c>
      <c r="D447" s="9">
        <v>75.0</v>
      </c>
      <c r="E447" s="10">
        <v>1.0</v>
      </c>
      <c r="F447" s="9">
        <v>5.0</v>
      </c>
      <c r="G447" s="9">
        <v>1.0</v>
      </c>
      <c r="H447" s="9">
        <v>0.0</v>
      </c>
      <c r="I447" s="9">
        <v>0.0</v>
      </c>
      <c r="J447" s="17">
        <v>6581.0</v>
      </c>
      <c r="K447" s="18">
        <v>6359.18</v>
      </c>
      <c r="L447" s="17">
        <v>6441.0</v>
      </c>
      <c r="M447" s="18">
        <v>6441.0</v>
      </c>
      <c r="N447" s="18">
        <v>0.0</v>
      </c>
      <c r="O447" s="18">
        <v>650.494</v>
      </c>
      <c r="P447" s="4"/>
    </row>
    <row r="448">
      <c r="A448" s="8" t="s">
        <v>454</v>
      </c>
      <c r="B448" s="9">
        <v>45.0</v>
      </c>
      <c r="C448" s="14" t="s">
        <v>234</v>
      </c>
      <c r="D448" s="9">
        <v>75.0</v>
      </c>
      <c r="E448" s="10">
        <v>2.0</v>
      </c>
      <c r="F448" s="9">
        <v>1.0</v>
      </c>
      <c r="G448" s="9">
        <v>1.0</v>
      </c>
      <c r="H448" s="9">
        <v>0.0</v>
      </c>
      <c r="I448" s="9">
        <v>0.0</v>
      </c>
      <c r="J448" s="17">
        <v>62236.0</v>
      </c>
      <c r="K448" s="18">
        <v>61784.2</v>
      </c>
      <c r="L448" s="17">
        <v>61962.0</v>
      </c>
      <c r="M448" s="18">
        <v>61962.0</v>
      </c>
      <c r="N448" s="18">
        <v>0.0</v>
      </c>
      <c r="O448" s="18">
        <v>813.001</v>
      </c>
      <c r="P448" s="4"/>
    </row>
    <row r="449">
      <c r="A449" s="8" t="s">
        <v>455</v>
      </c>
      <c r="B449" s="9">
        <v>45.0</v>
      </c>
      <c r="C449" s="14" t="s">
        <v>234</v>
      </c>
      <c r="D449" s="9">
        <v>75.0</v>
      </c>
      <c r="E449" s="10">
        <v>2.0</v>
      </c>
      <c r="F449" s="9">
        <v>2.0</v>
      </c>
      <c r="G449" s="9">
        <v>1.0</v>
      </c>
      <c r="H449" s="9">
        <v>0.0</v>
      </c>
      <c r="I449" s="9">
        <v>0.0</v>
      </c>
      <c r="J449" s="17">
        <v>69117.0</v>
      </c>
      <c r="K449" s="18">
        <v>62871.5</v>
      </c>
      <c r="L449" s="17">
        <v>62915.0</v>
      </c>
      <c r="M449" s="18">
        <v>62915.0</v>
      </c>
      <c r="N449" s="18">
        <v>0.0</v>
      </c>
      <c r="O449" s="18">
        <v>13.079</v>
      </c>
      <c r="P449" s="4"/>
    </row>
    <row r="450">
      <c r="A450" s="8" t="s">
        <v>456</v>
      </c>
      <c r="B450" s="9">
        <v>45.0</v>
      </c>
      <c r="C450" s="14" t="s">
        <v>234</v>
      </c>
      <c r="D450" s="9">
        <v>75.0</v>
      </c>
      <c r="E450" s="10">
        <v>2.0</v>
      </c>
      <c r="F450" s="9">
        <v>3.0</v>
      </c>
      <c r="G450" s="9">
        <v>1.0</v>
      </c>
      <c r="H450" s="9">
        <v>0.0</v>
      </c>
      <c r="I450" s="9">
        <v>0.0</v>
      </c>
      <c r="J450" s="17">
        <v>62045.0</v>
      </c>
      <c r="K450" s="18">
        <v>61728.7</v>
      </c>
      <c r="L450" s="17">
        <v>61793.0</v>
      </c>
      <c r="M450" s="18">
        <v>61793.0</v>
      </c>
      <c r="N450" s="18">
        <v>0.0</v>
      </c>
      <c r="O450" s="18">
        <v>29.711</v>
      </c>
      <c r="P450" s="4"/>
    </row>
    <row r="451">
      <c r="A451" s="8" t="s">
        <v>457</v>
      </c>
      <c r="B451" s="9">
        <v>45.0</v>
      </c>
      <c r="C451" s="14" t="s">
        <v>234</v>
      </c>
      <c r="D451" s="9">
        <v>75.0</v>
      </c>
      <c r="E451" s="10">
        <v>2.0</v>
      </c>
      <c r="F451" s="9">
        <v>4.0</v>
      </c>
      <c r="G451" s="9">
        <v>1.0</v>
      </c>
      <c r="H451" s="9">
        <v>0.0</v>
      </c>
      <c r="I451" s="9">
        <v>0.0</v>
      </c>
      <c r="J451" s="17">
        <v>61346.0</v>
      </c>
      <c r="K451" s="18">
        <v>60800.9</v>
      </c>
      <c r="L451" s="17">
        <v>60998.0</v>
      </c>
      <c r="M451" s="18">
        <v>60998.0</v>
      </c>
      <c r="N451" s="18">
        <v>0.0</v>
      </c>
      <c r="O451" s="18">
        <v>1128.31</v>
      </c>
      <c r="P451" s="4"/>
    </row>
    <row r="452">
      <c r="A452" s="8" t="s">
        <v>458</v>
      </c>
      <c r="B452" s="9">
        <v>45.0</v>
      </c>
      <c r="C452" s="14" t="s">
        <v>234</v>
      </c>
      <c r="D452" s="9">
        <v>75.0</v>
      </c>
      <c r="E452" s="10">
        <v>2.0</v>
      </c>
      <c r="F452" s="9">
        <v>5.0</v>
      </c>
      <c r="G452" s="9">
        <v>0.0</v>
      </c>
      <c r="H452" s="9">
        <v>1.0</v>
      </c>
      <c r="I452" s="9">
        <v>0.0</v>
      </c>
      <c r="J452" s="17">
        <v>59316.0</v>
      </c>
      <c r="K452" s="18">
        <v>58317.5</v>
      </c>
      <c r="L452" s="17">
        <v>58625.0</v>
      </c>
      <c r="M452" s="18">
        <v>58528.5</v>
      </c>
      <c r="N452" s="18">
        <v>0.164602</v>
      </c>
      <c r="O452" s="18">
        <v>3600.0</v>
      </c>
      <c r="P452" s="4"/>
    </row>
    <row r="453">
      <c r="A453" s="8" t="s">
        <v>459</v>
      </c>
      <c r="B453" s="9">
        <v>25.0</v>
      </c>
      <c r="C453" s="9" t="s">
        <v>460</v>
      </c>
      <c r="D453" s="9">
        <v>25.0</v>
      </c>
      <c r="E453" s="10">
        <v>0.6</v>
      </c>
      <c r="F453" s="9">
        <v>1.0</v>
      </c>
      <c r="G453" s="9">
        <v>1.0</v>
      </c>
      <c r="H453" s="9">
        <v>0.0</v>
      </c>
      <c r="I453" s="9">
        <v>0.0</v>
      </c>
      <c r="J453" s="17">
        <v>-2193.0</v>
      </c>
      <c r="K453" s="18">
        <v>-2270.9</v>
      </c>
      <c r="L453" s="17">
        <v>-2193.0</v>
      </c>
      <c r="M453" s="18">
        <v>-2193.0</v>
      </c>
      <c r="N453" s="18">
        <v>0.0</v>
      </c>
      <c r="O453" s="18">
        <v>6.333</v>
      </c>
      <c r="P453" s="4"/>
    </row>
    <row r="454">
      <c r="A454" s="8" t="s">
        <v>461</v>
      </c>
      <c r="B454" s="9">
        <v>25.0</v>
      </c>
      <c r="C454" s="9" t="s">
        <v>460</v>
      </c>
      <c r="D454" s="9">
        <v>25.0</v>
      </c>
      <c r="E454" s="10">
        <v>0.6</v>
      </c>
      <c r="F454" s="9">
        <v>2.0</v>
      </c>
      <c r="G454" s="9">
        <v>1.0</v>
      </c>
      <c r="H454" s="9">
        <v>0.0</v>
      </c>
      <c r="I454" s="9">
        <v>0.0</v>
      </c>
      <c r="J454" s="17">
        <v>-2078.0</v>
      </c>
      <c r="K454" s="18">
        <v>-2149.57</v>
      </c>
      <c r="L454" s="17">
        <v>-2087.0</v>
      </c>
      <c r="M454" s="18">
        <v>-2087.0</v>
      </c>
      <c r="N454" s="18">
        <v>0.0</v>
      </c>
      <c r="O454" s="18">
        <v>8.173</v>
      </c>
      <c r="P454" s="4"/>
    </row>
    <row r="455">
      <c r="A455" s="8" t="s">
        <v>462</v>
      </c>
      <c r="B455" s="9">
        <v>25.0</v>
      </c>
      <c r="C455" s="9" t="s">
        <v>460</v>
      </c>
      <c r="D455" s="9">
        <v>25.0</v>
      </c>
      <c r="E455" s="10">
        <v>0.6</v>
      </c>
      <c r="F455" s="9">
        <v>3.0</v>
      </c>
      <c r="G455" s="9">
        <v>1.0</v>
      </c>
      <c r="H455" s="9">
        <v>0.0</v>
      </c>
      <c r="I455" s="9">
        <v>0.0</v>
      </c>
      <c r="J455" s="17">
        <v>-2016.0</v>
      </c>
      <c r="K455" s="18">
        <v>-2079.0</v>
      </c>
      <c r="L455" s="17">
        <v>-2022.0</v>
      </c>
      <c r="M455" s="18">
        <v>-2022.0</v>
      </c>
      <c r="N455" s="18">
        <v>0.0</v>
      </c>
      <c r="O455" s="18">
        <v>8.04</v>
      </c>
      <c r="P455" s="4"/>
    </row>
    <row r="456">
      <c r="A456" s="8" t="s">
        <v>463</v>
      </c>
      <c r="B456" s="9">
        <v>25.0</v>
      </c>
      <c r="C456" s="9" t="s">
        <v>460</v>
      </c>
      <c r="D456" s="9">
        <v>25.0</v>
      </c>
      <c r="E456" s="10">
        <v>0.6</v>
      </c>
      <c r="F456" s="9">
        <v>4.0</v>
      </c>
      <c r="G456" s="9">
        <v>1.0</v>
      </c>
      <c r="H456" s="9">
        <v>0.0</v>
      </c>
      <c r="I456" s="9">
        <v>0.0</v>
      </c>
      <c r="J456" s="17">
        <v>-2079.0</v>
      </c>
      <c r="K456" s="18">
        <v>-2145.12</v>
      </c>
      <c r="L456" s="17">
        <v>-2079.0</v>
      </c>
      <c r="M456" s="18">
        <v>-2079.0</v>
      </c>
      <c r="N456" s="18">
        <v>0.0</v>
      </c>
      <c r="O456" s="18">
        <v>8.147</v>
      </c>
      <c r="P456" s="4"/>
    </row>
    <row r="457">
      <c r="A457" s="8" t="s">
        <v>464</v>
      </c>
      <c r="B457" s="9">
        <v>25.0</v>
      </c>
      <c r="C457" s="9" t="s">
        <v>460</v>
      </c>
      <c r="D457" s="9">
        <v>25.0</v>
      </c>
      <c r="E457" s="10">
        <v>0.6</v>
      </c>
      <c r="F457" s="9">
        <v>5.0</v>
      </c>
      <c r="G457" s="9">
        <v>1.0</v>
      </c>
      <c r="H457" s="9">
        <v>0.0</v>
      </c>
      <c r="I457" s="9">
        <v>0.0</v>
      </c>
      <c r="J457" s="17">
        <v>-2409.0</v>
      </c>
      <c r="K457" s="18">
        <v>-2442.64</v>
      </c>
      <c r="L457" s="17">
        <v>-2427.0</v>
      </c>
      <c r="M457" s="18">
        <v>-2427.0</v>
      </c>
      <c r="N457" s="18">
        <v>0.0</v>
      </c>
      <c r="O457" s="18">
        <v>2.825</v>
      </c>
      <c r="P457" s="4"/>
    </row>
    <row r="458">
      <c r="A458" s="8" t="s">
        <v>465</v>
      </c>
      <c r="B458" s="9">
        <v>25.0</v>
      </c>
      <c r="C458" s="9" t="s">
        <v>460</v>
      </c>
      <c r="D458" s="9">
        <v>25.0</v>
      </c>
      <c r="E458" s="10">
        <v>1.0</v>
      </c>
      <c r="F458" s="9">
        <v>1.0</v>
      </c>
      <c r="G458" s="9">
        <v>1.0</v>
      </c>
      <c r="H458" s="9">
        <v>0.0</v>
      </c>
      <c r="I458" s="9">
        <v>0.0</v>
      </c>
      <c r="J458" s="17">
        <v>-219.0</v>
      </c>
      <c r="K458" s="18">
        <v>-463.0</v>
      </c>
      <c r="L458" s="17">
        <v>-307.0</v>
      </c>
      <c r="M458" s="18">
        <v>-307.0</v>
      </c>
      <c r="N458" s="18">
        <v>0.0</v>
      </c>
      <c r="O458" s="18">
        <v>73.707</v>
      </c>
      <c r="P458" s="4"/>
    </row>
    <row r="459">
      <c r="A459" s="8" t="s">
        <v>466</v>
      </c>
      <c r="B459" s="9">
        <v>25.0</v>
      </c>
      <c r="C459" s="9" t="s">
        <v>460</v>
      </c>
      <c r="D459" s="9">
        <v>25.0</v>
      </c>
      <c r="E459" s="10">
        <v>1.0</v>
      </c>
      <c r="F459" s="9">
        <v>2.0</v>
      </c>
      <c r="G459" s="9">
        <v>1.0</v>
      </c>
      <c r="H459" s="9">
        <v>0.0</v>
      </c>
      <c r="I459" s="9">
        <v>0.0</v>
      </c>
      <c r="J459" s="17">
        <v>-476.0</v>
      </c>
      <c r="K459" s="18">
        <v>-646.174</v>
      </c>
      <c r="L459" s="17">
        <v>-532.0</v>
      </c>
      <c r="M459" s="18">
        <v>-532.0</v>
      </c>
      <c r="N459" s="18">
        <v>0.0</v>
      </c>
      <c r="O459" s="18">
        <v>15.13</v>
      </c>
      <c r="P459" s="4"/>
    </row>
    <row r="460">
      <c r="A460" s="8" t="s">
        <v>467</v>
      </c>
      <c r="B460" s="9">
        <v>25.0</v>
      </c>
      <c r="C460" s="9" t="s">
        <v>460</v>
      </c>
      <c r="D460" s="9">
        <v>25.0</v>
      </c>
      <c r="E460" s="10">
        <v>1.0</v>
      </c>
      <c r="F460" s="9">
        <v>3.0</v>
      </c>
      <c r="G460" s="9">
        <v>1.0</v>
      </c>
      <c r="H460" s="9">
        <v>0.0</v>
      </c>
      <c r="I460" s="9">
        <v>0.0</v>
      </c>
      <c r="J460" s="17">
        <v>-507.0</v>
      </c>
      <c r="K460" s="18">
        <v>-649.5</v>
      </c>
      <c r="L460" s="17">
        <v>-516.0</v>
      </c>
      <c r="M460" s="18">
        <v>-516.0</v>
      </c>
      <c r="N460" s="18">
        <v>0.0</v>
      </c>
      <c r="O460" s="18">
        <v>13.106</v>
      </c>
      <c r="P460" s="4"/>
    </row>
    <row r="461">
      <c r="A461" s="8" t="s">
        <v>468</v>
      </c>
      <c r="B461" s="9">
        <v>25.0</v>
      </c>
      <c r="C461" s="9" t="s">
        <v>460</v>
      </c>
      <c r="D461" s="9">
        <v>25.0</v>
      </c>
      <c r="E461" s="10">
        <v>1.0</v>
      </c>
      <c r="F461" s="9">
        <v>4.0</v>
      </c>
      <c r="G461" s="9">
        <v>1.0</v>
      </c>
      <c r="H461" s="9">
        <v>0.0</v>
      </c>
      <c r="I461" s="9">
        <v>0.0</v>
      </c>
      <c r="J461" s="17">
        <v>-280.0</v>
      </c>
      <c r="K461" s="18">
        <v>-524.143</v>
      </c>
      <c r="L461" s="17">
        <v>-375.0</v>
      </c>
      <c r="M461" s="18">
        <v>-375.0</v>
      </c>
      <c r="N461" s="18">
        <v>0.0</v>
      </c>
      <c r="O461" s="18">
        <v>46.741</v>
      </c>
      <c r="P461" s="4"/>
    </row>
    <row r="462">
      <c r="A462" s="8" t="s">
        <v>469</v>
      </c>
      <c r="B462" s="9">
        <v>25.0</v>
      </c>
      <c r="C462" s="9" t="s">
        <v>460</v>
      </c>
      <c r="D462" s="9">
        <v>25.0</v>
      </c>
      <c r="E462" s="10">
        <v>1.0</v>
      </c>
      <c r="F462" s="9">
        <v>5.0</v>
      </c>
      <c r="G462" s="9">
        <v>1.0</v>
      </c>
      <c r="H462" s="9">
        <v>0.0</v>
      </c>
      <c r="I462" s="9">
        <v>0.0</v>
      </c>
      <c r="J462" s="17">
        <v>-255.0</v>
      </c>
      <c r="K462" s="18">
        <v>-547.5</v>
      </c>
      <c r="L462" s="17">
        <v>-350.0</v>
      </c>
      <c r="M462" s="18">
        <v>-350.0</v>
      </c>
      <c r="N462" s="18">
        <v>0.0</v>
      </c>
      <c r="O462" s="18">
        <v>65.663</v>
      </c>
      <c r="P462" s="4"/>
    </row>
    <row r="463">
      <c r="A463" s="8" t="s">
        <v>470</v>
      </c>
      <c r="B463" s="9">
        <v>25.0</v>
      </c>
      <c r="C463" s="9" t="s">
        <v>460</v>
      </c>
      <c r="D463" s="9">
        <v>25.0</v>
      </c>
      <c r="E463" s="10">
        <v>2.0</v>
      </c>
      <c r="F463" s="9">
        <v>1.0</v>
      </c>
      <c r="G463" s="9">
        <v>1.0</v>
      </c>
      <c r="H463" s="9">
        <v>0.0</v>
      </c>
      <c r="I463" s="9">
        <v>0.0</v>
      </c>
      <c r="J463" s="17">
        <v>18888.0</v>
      </c>
      <c r="K463" s="18">
        <v>18035.5</v>
      </c>
      <c r="L463" s="17">
        <v>18775.0</v>
      </c>
      <c r="M463" s="18">
        <v>18775.0</v>
      </c>
      <c r="N463" s="18">
        <v>0.0</v>
      </c>
      <c r="O463" s="18">
        <v>0.068</v>
      </c>
      <c r="P463" s="4"/>
    </row>
    <row r="464">
      <c r="A464" s="8" t="s">
        <v>471</v>
      </c>
      <c r="B464" s="9">
        <v>25.0</v>
      </c>
      <c r="C464" s="9" t="s">
        <v>460</v>
      </c>
      <c r="D464" s="9">
        <v>25.0</v>
      </c>
      <c r="E464" s="10">
        <v>2.0</v>
      </c>
      <c r="F464" s="9">
        <v>2.0</v>
      </c>
      <c r="G464" s="9">
        <v>1.0</v>
      </c>
      <c r="H464" s="9">
        <v>0.0</v>
      </c>
      <c r="I464" s="9">
        <v>0.0</v>
      </c>
      <c r="J464" s="17">
        <v>17134.0</v>
      </c>
      <c r="K464" s="18">
        <v>17134.0</v>
      </c>
      <c r="L464" s="17">
        <v>17134.0</v>
      </c>
      <c r="M464" s="18">
        <v>17134.0</v>
      </c>
      <c r="N464" s="18">
        <v>0.0</v>
      </c>
      <c r="O464" s="18">
        <v>0.026</v>
      </c>
      <c r="P464" s="4"/>
    </row>
    <row r="465">
      <c r="A465" s="8" t="s">
        <v>472</v>
      </c>
      <c r="B465" s="9">
        <v>25.0</v>
      </c>
      <c r="C465" s="9" t="s">
        <v>460</v>
      </c>
      <c r="D465" s="9">
        <v>25.0</v>
      </c>
      <c r="E465" s="10">
        <v>2.0</v>
      </c>
      <c r="F465" s="9">
        <v>3.0</v>
      </c>
      <c r="G465" s="9">
        <v>1.0</v>
      </c>
      <c r="H465" s="9">
        <v>0.0</v>
      </c>
      <c r="I465" s="9">
        <v>0.0</v>
      </c>
      <c r="J465" s="17">
        <v>15104.0</v>
      </c>
      <c r="K465" s="18">
        <v>15057.9</v>
      </c>
      <c r="L465" s="17">
        <v>15104.0</v>
      </c>
      <c r="M465" s="18">
        <v>15104.0</v>
      </c>
      <c r="N465" s="18">
        <v>0.0</v>
      </c>
      <c r="O465" s="18">
        <v>0.146</v>
      </c>
      <c r="P465" s="4"/>
    </row>
    <row r="466">
      <c r="A466" s="8" t="s">
        <v>473</v>
      </c>
      <c r="B466" s="9">
        <v>25.0</v>
      </c>
      <c r="C466" s="9" t="s">
        <v>460</v>
      </c>
      <c r="D466" s="9">
        <v>25.0</v>
      </c>
      <c r="E466" s="10">
        <v>2.0</v>
      </c>
      <c r="F466" s="9">
        <v>4.0</v>
      </c>
      <c r="G466" s="9">
        <v>1.0</v>
      </c>
      <c r="H466" s="9">
        <v>0.0</v>
      </c>
      <c r="I466" s="9">
        <v>0.0</v>
      </c>
      <c r="J466" s="17">
        <v>16247.0</v>
      </c>
      <c r="K466" s="18">
        <v>16239.5</v>
      </c>
      <c r="L466" s="17">
        <v>16247.0</v>
      </c>
      <c r="M466" s="18">
        <v>16247.0</v>
      </c>
      <c r="N466" s="18">
        <v>0.0</v>
      </c>
      <c r="O466" s="18">
        <v>0.048</v>
      </c>
      <c r="P466" s="4"/>
    </row>
    <row r="467">
      <c r="A467" s="8" t="s">
        <v>474</v>
      </c>
      <c r="B467" s="9">
        <v>25.0</v>
      </c>
      <c r="C467" s="9" t="s">
        <v>460</v>
      </c>
      <c r="D467" s="9">
        <v>25.0</v>
      </c>
      <c r="E467" s="10">
        <v>2.0</v>
      </c>
      <c r="F467" s="9">
        <v>5.0</v>
      </c>
      <c r="G467" s="9">
        <v>1.0</v>
      </c>
      <c r="H467" s="9">
        <v>0.0</v>
      </c>
      <c r="I467" s="9">
        <v>0.0</v>
      </c>
      <c r="J467" s="17">
        <v>19127.0</v>
      </c>
      <c r="K467" s="18">
        <v>19127.0</v>
      </c>
      <c r="L467" s="17">
        <v>19127.0</v>
      </c>
      <c r="M467" s="18">
        <v>19127.0</v>
      </c>
      <c r="N467" s="18">
        <v>0.0</v>
      </c>
      <c r="O467" s="18">
        <v>0.032</v>
      </c>
      <c r="P467" s="4"/>
    </row>
    <row r="468">
      <c r="A468" s="8" t="s">
        <v>475</v>
      </c>
      <c r="B468" s="9">
        <v>25.0</v>
      </c>
      <c r="C468" s="9" t="s">
        <v>460</v>
      </c>
      <c r="D468" s="9">
        <v>50.0</v>
      </c>
      <c r="E468" s="10">
        <v>0.6</v>
      </c>
      <c r="F468" s="9">
        <v>1.0</v>
      </c>
      <c r="G468" s="9">
        <v>1.0</v>
      </c>
      <c r="H468" s="9">
        <v>0.0</v>
      </c>
      <c r="I468" s="9">
        <v>0.0</v>
      </c>
      <c r="J468" s="17">
        <v>-3520.0</v>
      </c>
      <c r="K468" s="18">
        <v>-3724.69</v>
      </c>
      <c r="L468" s="17">
        <v>-3641.0</v>
      </c>
      <c r="M468" s="18">
        <v>-3641.0</v>
      </c>
      <c r="N468" s="18">
        <v>0.0</v>
      </c>
      <c r="O468" s="18">
        <v>33.136</v>
      </c>
      <c r="P468" s="4"/>
    </row>
    <row r="469">
      <c r="A469" s="8" t="s">
        <v>476</v>
      </c>
      <c r="B469" s="9">
        <v>25.0</v>
      </c>
      <c r="C469" s="9" t="s">
        <v>460</v>
      </c>
      <c r="D469" s="9">
        <v>50.0</v>
      </c>
      <c r="E469" s="10">
        <v>0.6</v>
      </c>
      <c r="F469" s="9">
        <v>2.0</v>
      </c>
      <c r="G469" s="9">
        <v>1.0</v>
      </c>
      <c r="H469" s="9">
        <v>0.0</v>
      </c>
      <c r="I469" s="9">
        <v>0.0</v>
      </c>
      <c r="J469" s="17">
        <v>-3384.0</v>
      </c>
      <c r="K469" s="18">
        <v>-3583.5</v>
      </c>
      <c r="L469" s="17">
        <v>-3462.0</v>
      </c>
      <c r="M469" s="18">
        <v>-3462.0</v>
      </c>
      <c r="N469" s="18">
        <v>0.0</v>
      </c>
      <c r="O469" s="18">
        <v>21.881</v>
      </c>
      <c r="P469" s="4"/>
    </row>
    <row r="470">
      <c r="A470" s="8" t="s">
        <v>477</v>
      </c>
      <c r="B470" s="9">
        <v>25.0</v>
      </c>
      <c r="C470" s="9" t="s">
        <v>460</v>
      </c>
      <c r="D470" s="9">
        <v>50.0</v>
      </c>
      <c r="E470" s="10">
        <v>0.6</v>
      </c>
      <c r="F470" s="9">
        <v>3.0</v>
      </c>
      <c r="G470" s="9">
        <v>1.0</v>
      </c>
      <c r="H470" s="9">
        <v>0.0</v>
      </c>
      <c r="I470" s="9">
        <v>0.0</v>
      </c>
      <c r="J470" s="17">
        <v>-3379.0</v>
      </c>
      <c r="K470" s="18">
        <v>-3391.09</v>
      </c>
      <c r="L470" s="17">
        <v>-3379.0</v>
      </c>
      <c r="M470" s="18">
        <v>-3379.0</v>
      </c>
      <c r="N470" s="18">
        <v>0.0</v>
      </c>
      <c r="O470" s="18">
        <v>2.009</v>
      </c>
      <c r="P470" s="4"/>
    </row>
    <row r="471">
      <c r="A471" s="8" t="s">
        <v>478</v>
      </c>
      <c r="B471" s="9">
        <v>25.0</v>
      </c>
      <c r="C471" s="9" t="s">
        <v>460</v>
      </c>
      <c r="D471" s="9">
        <v>50.0</v>
      </c>
      <c r="E471" s="10">
        <v>0.6</v>
      </c>
      <c r="F471" s="9">
        <v>4.0</v>
      </c>
      <c r="G471" s="9">
        <v>1.0</v>
      </c>
      <c r="H471" s="9">
        <v>0.0</v>
      </c>
      <c r="I471" s="9">
        <v>0.0</v>
      </c>
      <c r="J471" s="17">
        <v>-3528.0</v>
      </c>
      <c r="K471" s="18">
        <v>-3649.61</v>
      </c>
      <c r="L471" s="17">
        <v>-3528.0</v>
      </c>
      <c r="M471" s="18">
        <v>-3528.0</v>
      </c>
      <c r="N471" s="18">
        <v>0.0</v>
      </c>
      <c r="O471" s="18">
        <v>41.94</v>
      </c>
      <c r="P471" s="4"/>
    </row>
    <row r="472">
      <c r="A472" s="8" t="s">
        <v>479</v>
      </c>
      <c r="B472" s="9">
        <v>25.0</v>
      </c>
      <c r="C472" s="9" t="s">
        <v>460</v>
      </c>
      <c r="D472" s="9">
        <v>50.0</v>
      </c>
      <c r="E472" s="10">
        <v>0.6</v>
      </c>
      <c r="F472" s="9">
        <v>5.0</v>
      </c>
      <c r="G472" s="9">
        <v>1.0</v>
      </c>
      <c r="H472" s="9">
        <v>0.0</v>
      </c>
      <c r="I472" s="9">
        <v>0.0</v>
      </c>
      <c r="J472" s="17">
        <v>-3527.0</v>
      </c>
      <c r="K472" s="18">
        <v>-3698.82</v>
      </c>
      <c r="L472" s="17">
        <v>-3548.0</v>
      </c>
      <c r="M472" s="18">
        <v>-3548.0</v>
      </c>
      <c r="N472" s="18">
        <v>0.0</v>
      </c>
      <c r="O472" s="18">
        <v>38.127</v>
      </c>
      <c r="P472" s="4"/>
    </row>
    <row r="473">
      <c r="A473" s="8" t="s">
        <v>480</v>
      </c>
      <c r="B473" s="9">
        <v>25.0</v>
      </c>
      <c r="C473" s="9" t="s">
        <v>460</v>
      </c>
      <c r="D473" s="9">
        <v>50.0</v>
      </c>
      <c r="E473" s="10">
        <v>1.0</v>
      </c>
      <c r="F473" s="9">
        <v>1.0</v>
      </c>
      <c r="G473" s="9">
        <v>1.0</v>
      </c>
      <c r="H473" s="9">
        <v>0.0</v>
      </c>
      <c r="I473" s="9">
        <v>0.0</v>
      </c>
      <c r="J473" s="17">
        <v>34.0</v>
      </c>
      <c r="K473" s="18">
        <v>-105.368</v>
      </c>
      <c r="L473" s="17">
        <v>34.0</v>
      </c>
      <c r="M473" s="18">
        <v>34.0</v>
      </c>
      <c r="N473" s="18">
        <v>0.0</v>
      </c>
      <c r="O473" s="18">
        <v>16.029</v>
      </c>
      <c r="P473" s="4"/>
    </row>
    <row r="474">
      <c r="A474" s="8" t="s">
        <v>481</v>
      </c>
      <c r="B474" s="9">
        <v>25.0</v>
      </c>
      <c r="C474" s="9" t="s">
        <v>460</v>
      </c>
      <c r="D474" s="9">
        <v>50.0</v>
      </c>
      <c r="E474" s="10">
        <v>1.0</v>
      </c>
      <c r="F474" s="9">
        <v>2.0</v>
      </c>
      <c r="G474" s="9">
        <v>1.0</v>
      </c>
      <c r="H474" s="9">
        <v>0.0</v>
      </c>
      <c r="I474" s="9">
        <v>0.0</v>
      </c>
      <c r="J474" s="17">
        <v>11.0</v>
      </c>
      <c r="K474" s="18">
        <v>3.52941</v>
      </c>
      <c r="L474" s="17">
        <v>11.0</v>
      </c>
      <c r="M474" s="18">
        <v>11.0</v>
      </c>
      <c r="N474" s="18">
        <v>0.0</v>
      </c>
      <c r="O474" s="18">
        <v>0.726</v>
      </c>
      <c r="P474" s="4"/>
    </row>
    <row r="475">
      <c r="A475" s="8" t="s">
        <v>482</v>
      </c>
      <c r="B475" s="9">
        <v>25.0</v>
      </c>
      <c r="C475" s="9" t="s">
        <v>460</v>
      </c>
      <c r="D475" s="9">
        <v>50.0</v>
      </c>
      <c r="E475" s="10">
        <v>1.0</v>
      </c>
      <c r="F475" s="9">
        <v>3.0</v>
      </c>
      <c r="G475" s="9">
        <v>1.0</v>
      </c>
      <c r="H475" s="9">
        <v>0.0</v>
      </c>
      <c r="I475" s="9">
        <v>0.0</v>
      </c>
      <c r="J475" s="17">
        <v>359.0</v>
      </c>
      <c r="K475" s="18">
        <v>-137.7</v>
      </c>
      <c r="L475" s="17">
        <v>-19.0</v>
      </c>
      <c r="M475" s="18">
        <v>-19.0</v>
      </c>
      <c r="N475" s="18">
        <v>0.0</v>
      </c>
      <c r="O475" s="18">
        <v>9.258</v>
      </c>
      <c r="P475" s="4"/>
    </row>
    <row r="476">
      <c r="A476" s="8" t="s">
        <v>483</v>
      </c>
      <c r="B476" s="9">
        <v>25.0</v>
      </c>
      <c r="C476" s="9" t="s">
        <v>460</v>
      </c>
      <c r="D476" s="9">
        <v>50.0</v>
      </c>
      <c r="E476" s="10">
        <v>1.0</v>
      </c>
      <c r="F476" s="9">
        <v>4.0</v>
      </c>
      <c r="G476" s="9">
        <v>1.0</v>
      </c>
      <c r="H476" s="9">
        <v>0.0</v>
      </c>
      <c r="I476" s="9">
        <v>0.0</v>
      </c>
      <c r="J476" s="17">
        <v>440.0</v>
      </c>
      <c r="K476" s="18">
        <v>-170.714</v>
      </c>
      <c r="L476" s="17">
        <v>79.0</v>
      </c>
      <c r="M476" s="18">
        <v>79.0</v>
      </c>
      <c r="N476" s="18">
        <v>0.0</v>
      </c>
      <c r="O476" s="18">
        <v>92.242</v>
      </c>
      <c r="P476" s="4"/>
    </row>
    <row r="477">
      <c r="A477" s="8" t="s">
        <v>484</v>
      </c>
      <c r="B477" s="9">
        <v>25.0</v>
      </c>
      <c r="C477" s="9" t="s">
        <v>460</v>
      </c>
      <c r="D477" s="9">
        <v>50.0</v>
      </c>
      <c r="E477" s="10">
        <v>1.0</v>
      </c>
      <c r="F477" s="9">
        <v>5.0</v>
      </c>
      <c r="G477" s="9">
        <v>1.0</v>
      </c>
      <c r="H477" s="9">
        <v>0.0</v>
      </c>
      <c r="I477" s="9">
        <v>0.0</v>
      </c>
      <c r="J477" s="17">
        <v>14.0</v>
      </c>
      <c r="K477" s="18">
        <v>-117.143</v>
      </c>
      <c r="L477" s="17">
        <v>-76.0</v>
      </c>
      <c r="M477" s="18">
        <v>-76.0</v>
      </c>
      <c r="N477" s="18">
        <v>0.0</v>
      </c>
      <c r="O477" s="18">
        <v>1.001</v>
      </c>
      <c r="P477" s="4"/>
    </row>
    <row r="478">
      <c r="A478" s="8" t="s">
        <v>485</v>
      </c>
      <c r="B478" s="9">
        <v>25.0</v>
      </c>
      <c r="C478" s="9" t="s">
        <v>460</v>
      </c>
      <c r="D478" s="9">
        <v>50.0</v>
      </c>
      <c r="E478" s="10">
        <v>2.0</v>
      </c>
      <c r="F478" s="9">
        <v>1.0</v>
      </c>
      <c r="G478" s="9">
        <v>1.0</v>
      </c>
      <c r="H478" s="9">
        <v>0.0</v>
      </c>
      <c r="I478" s="9">
        <v>0.0</v>
      </c>
      <c r="J478" s="17">
        <v>36116.0</v>
      </c>
      <c r="K478" s="18">
        <v>36116.0</v>
      </c>
      <c r="L478" s="17">
        <v>36116.0</v>
      </c>
      <c r="M478" s="18">
        <v>36116.0</v>
      </c>
      <c r="N478" s="18">
        <v>0.0</v>
      </c>
      <c r="O478" s="18">
        <v>0.037</v>
      </c>
      <c r="P478" s="4"/>
    </row>
    <row r="479">
      <c r="A479" s="8" t="s">
        <v>486</v>
      </c>
      <c r="B479" s="9">
        <v>25.0</v>
      </c>
      <c r="C479" s="9" t="s">
        <v>460</v>
      </c>
      <c r="D479" s="9">
        <v>50.0</v>
      </c>
      <c r="E479" s="10">
        <v>2.0</v>
      </c>
      <c r="F479" s="9">
        <v>2.0</v>
      </c>
      <c r="G479" s="9">
        <v>1.0</v>
      </c>
      <c r="H479" s="9">
        <v>0.0</v>
      </c>
      <c r="I479" s="9">
        <v>0.0</v>
      </c>
      <c r="J479" s="17">
        <v>37996.0</v>
      </c>
      <c r="K479" s="18">
        <v>37996.0</v>
      </c>
      <c r="L479" s="17">
        <v>37996.0</v>
      </c>
      <c r="M479" s="18">
        <v>37996.0</v>
      </c>
      <c r="N479" s="18">
        <v>0.0</v>
      </c>
      <c r="O479" s="18">
        <v>0.041</v>
      </c>
      <c r="P479" s="4"/>
    </row>
    <row r="480">
      <c r="A480" s="8" t="s">
        <v>487</v>
      </c>
      <c r="B480" s="9">
        <v>25.0</v>
      </c>
      <c r="C480" s="9" t="s">
        <v>460</v>
      </c>
      <c r="D480" s="9">
        <v>50.0</v>
      </c>
      <c r="E480" s="10">
        <v>2.0</v>
      </c>
      <c r="F480" s="9">
        <v>3.0</v>
      </c>
      <c r="G480" s="9">
        <v>0.0</v>
      </c>
      <c r="H480" s="9">
        <v>1.0</v>
      </c>
      <c r="I480" s="9">
        <v>0.0</v>
      </c>
      <c r="J480" s="17">
        <v>35467.0</v>
      </c>
      <c r="K480" s="18">
        <v>33010.7</v>
      </c>
      <c r="L480" s="17">
        <v>35467.0</v>
      </c>
      <c r="M480" s="18">
        <v>33843.0</v>
      </c>
      <c r="N480" s="18">
        <v>4.5789</v>
      </c>
      <c r="O480" s="18">
        <v>3600.0</v>
      </c>
      <c r="P480" s="4"/>
    </row>
    <row r="481">
      <c r="A481" s="8" t="s">
        <v>488</v>
      </c>
      <c r="B481" s="9">
        <v>25.0</v>
      </c>
      <c r="C481" s="9" t="s">
        <v>460</v>
      </c>
      <c r="D481" s="9">
        <v>50.0</v>
      </c>
      <c r="E481" s="10">
        <v>2.0</v>
      </c>
      <c r="F481" s="9">
        <v>4.0</v>
      </c>
      <c r="G481" s="9">
        <v>0.0</v>
      </c>
      <c r="H481" s="9">
        <v>1.0</v>
      </c>
      <c r="I481" s="9">
        <v>0.0</v>
      </c>
      <c r="J481" s="17">
        <v>38656.0</v>
      </c>
      <c r="K481" s="18">
        <v>36015.1</v>
      </c>
      <c r="L481" s="17">
        <v>38656.0</v>
      </c>
      <c r="M481" s="18">
        <v>37230.7</v>
      </c>
      <c r="N481" s="18">
        <v>3.6871</v>
      </c>
      <c r="O481" s="18">
        <v>3600.0</v>
      </c>
      <c r="P481" s="4"/>
    </row>
    <row r="482">
      <c r="A482" s="8" t="s">
        <v>489</v>
      </c>
      <c r="B482" s="9">
        <v>25.0</v>
      </c>
      <c r="C482" s="9" t="s">
        <v>460</v>
      </c>
      <c r="D482" s="9">
        <v>50.0</v>
      </c>
      <c r="E482" s="10">
        <v>2.0</v>
      </c>
      <c r="F482" s="9">
        <v>5.0</v>
      </c>
      <c r="G482" s="9">
        <v>1.0</v>
      </c>
      <c r="H482" s="9">
        <v>0.0</v>
      </c>
      <c r="I482" s="9">
        <v>0.0</v>
      </c>
      <c r="J482" s="17">
        <v>35714.0</v>
      </c>
      <c r="K482" s="18">
        <v>35660.4</v>
      </c>
      <c r="L482" s="17">
        <v>35714.0</v>
      </c>
      <c r="M482" s="18">
        <v>35714.0</v>
      </c>
      <c r="N482" s="18">
        <v>0.0</v>
      </c>
      <c r="O482" s="18">
        <v>0.098</v>
      </c>
      <c r="P482" s="4"/>
    </row>
    <row r="483">
      <c r="A483" s="8" t="s">
        <v>490</v>
      </c>
      <c r="B483" s="9">
        <v>25.0</v>
      </c>
      <c r="C483" s="9" t="s">
        <v>460</v>
      </c>
      <c r="D483" s="9">
        <v>75.0</v>
      </c>
      <c r="E483" s="10">
        <v>0.6</v>
      </c>
      <c r="F483" s="9">
        <v>1.0</v>
      </c>
      <c r="G483" s="9">
        <v>1.0</v>
      </c>
      <c r="H483" s="9">
        <v>0.0</v>
      </c>
      <c r="I483" s="9">
        <v>0.0</v>
      </c>
      <c r="J483" s="17">
        <v>-4243.0</v>
      </c>
      <c r="K483" s="18">
        <v>-4410.46</v>
      </c>
      <c r="L483" s="17">
        <v>-4328.0</v>
      </c>
      <c r="M483" s="18">
        <v>-4328.0</v>
      </c>
      <c r="N483" s="18">
        <v>0.0</v>
      </c>
      <c r="O483" s="18">
        <v>31.378</v>
      </c>
      <c r="P483" s="4"/>
    </row>
    <row r="484">
      <c r="A484" s="8" t="s">
        <v>491</v>
      </c>
      <c r="B484" s="9">
        <v>25.0</v>
      </c>
      <c r="C484" s="9" t="s">
        <v>460</v>
      </c>
      <c r="D484" s="9">
        <v>75.0</v>
      </c>
      <c r="E484" s="10">
        <v>0.6</v>
      </c>
      <c r="F484" s="9">
        <v>2.0</v>
      </c>
      <c r="G484" s="9">
        <v>1.0</v>
      </c>
      <c r="H484" s="9">
        <v>0.0</v>
      </c>
      <c r="I484" s="9">
        <v>0.0</v>
      </c>
      <c r="J484" s="17">
        <v>-4666.0</v>
      </c>
      <c r="K484" s="18">
        <v>-4666.0</v>
      </c>
      <c r="L484" s="17">
        <v>-4666.0</v>
      </c>
      <c r="M484" s="18">
        <v>-4666.0</v>
      </c>
      <c r="N484" s="18">
        <v>0.0</v>
      </c>
      <c r="O484" s="18">
        <v>0.844</v>
      </c>
      <c r="P484" s="4"/>
    </row>
    <row r="485">
      <c r="A485" s="8" t="s">
        <v>492</v>
      </c>
      <c r="B485" s="9">
        <v>25.0</v>
      </c>
      <c r="C485" s="9" t="s">
        <v>460</v>
      </c>
      <c r="D485" s="9">
        <v>75.0</v>
      </c>
      <c r="E485" s="10">
        <v>0.6</v>
      </c>
      <c r="F485" s="9">
        <v>3.0</v>
      </c>
      <c r="G485" s="9">
        <v>1.0</v>
      </c>
      <c r="H485" s="9">
        <v>0.0</v>
      </c>
      <c r="I485" s="9">
        <v>0.0</v>
      </c>
      <c r="J485" s="17">
        <v>-4395.0</v>
      </c>
      <c r="K485" s="18">
        <v>-4439.5</v>
      </c>
      <c r="L485" s="17">
        <v>-4395.0</v>
      </c>
      <c r="M485" s="18">
        <v>-4395.0</v>
      </c>
      <c r="N485" s="18">
        <v>0.0</v>
      </c>
      <c r="O485" s="18">
        <v>13.33</v>
      </c>
      <c r="P485" s="4"/>
    </row>
    <row r="486">
      <c r="A486" s="8" t="s">
        <v>493</v>
      </c>
      <c r="B486" s="9">
        <v>25.0</v>
      </c>
      <c r="C486" s="9" t="s">
        <v>460</v>
      </c>
      <c r="D486" s="9">
        <v>75.0</v>
      </c>
      <c r="E486" s="10">
        <v>0.6</v>
      </c>
      <c r="F486" s="9">
        <v>4.0</v>
      </c>
      <c r="G486" s="9">
        <v>1.0</v>
      </c>
      <c r="H486" s="9">
        <v>0.0</v>
      </c>
      <c r="I486" s="9">
        <v>0.0</v>
      </c>
      <c r="J486" s="17">
        <v>-4935.0</v>
      </c>
      <c r="K486" s="18">
        <v>-4935.0</v>
      </c>
      <c r="L486" s="17">
        <v>-4935.0</v>
      </c>
      <c r="M486" s="18">
        <v>-4935.0</v>
      </c>
      <c r="N486" s="18">
        <v>0.0</v>
      </c>
      <c r="O486" s="18">
        <v>1.376</v>
      </c>
      <c r="P486" s="4"/>
    </row>
    <row r="487">
      <c r="A487" s="8" t="s">
        <v>494</v>
      </c>
      <c r="B487" s="9">
        <v>25.0</v>
      </c>
      <c r="C487" s="9" t="s">
        <v>460</v>
      </c>
      <c r="D487" s="9">
        <v>75.0</v>
      </c>
      <c r="E487" s="10">
        <v>0.6</v>
      </c>
      <c r="F487" s="9">
        <v>5.0</v>
      </c>
      <c r="G487" s="9">
        <v>1.0</v>
      </c>
      <c r="H487" s="9">
        <v>0.0</v>
      </c>
      <c r="I487" s="9">
        <v>0.0</v>
      </c>
      <c r="J487" s="17">
        <v>-4326.0</v>
      </c>
      <c r="K487" s="18">
        <v>-4589.24</v>
      </c>
      <c r="L487" s="17">
        <v>-4548.0</v>
      </c>
      <c r="M487" s="18">
        <v>-4548.0</v>
      </c>
      <c r="N487" s="18">
        <v>0.0</v>
      </c>
      <c r="O487" s="18">
        <v>10.899</v>
      </c>
      <c r="P487" s="4"/>
    </row>
    <row r="488">
      <c r="A488" s="8" t="s">
        <v>495</v>
      </c>
      <c r="B488" s="9">
        <v>25.0</v>
      </c>
      <c r="C488" s="9" t="s">
        <v>460</v>
      </c>
      <c r="D488" s="9">
        <v>75.0</v>
      </c>
      <c r="E488" s="10">
        <v>1.0</v>
      </c>
      <c r="F488" s="9">
        <v>1.0</v>
      </c>
      <c r="G488" s="9">
        <v>1.0</v>
      </c>
      <c r="H488" s="9">
        <v>0.0</v>
      </c>
      <c r="I488" s="9">
        <v>0.0</v>
      </c>
      <c r="J488" s="17">
        <v>605.0</v>
      </c>
      <c r="K488" s="18">
        <v>521.902</v>
      </c>
      <c r="L488" s="17">
        <v>605.0</v>
      </c>
      <c r="M488" s="18">
        <v>605.0</v>
      </c>
      <c r="N488" s="18">
        <v>0.0</v>
      </c>
      <c r="O488" s="18">
        <v>5.519</v>
      </c>
      <c r="P488" s="4"/>
    </row>
    <row r="489">
      <c r="A489" s="8" t="s">
        <v>496</v>
      </c>
      <c r="B489" s="9">
        <v>25.0</v>
      </c>
      <c r="C489" s="9" t="s">
        <v>460</v>
      </c>
      <c r="D489" s="9">
        <v>75.0</v>
      </c>
      <c r="E489" s="10">
        <v>1.0</v>
      </c>
      <c r="F489" s="9">
        <v>2.0</v>
      </c>
      <c r="G489" s="9">
        <v>1.0</v>
      </c>
      <c r="H489" s="9">
        <v>0.0</v>
      </c>
      <c r="I489" s="9">
        <v>0.0</v>
      </c>
      <c r="J489" s="17">
        <v>1377.0</v>
      </c>
      <c r="K489" s="18">
        <v>423.884</v>
      </c>
      <c r="L489" s="17">
        <v>532.0</v>
      </c>
      <c r="M489" s="18">
        <v>532.0</v>
      </c>
      <c r="N489" s="18">
        <v>0.0</v>
      </c>
      <c r="O489" s="18">
        <v>10.722</v>
      </c>
      <c r="P489" s="4"/>
    </row>
    <row r="490">
      <c r="A490" s="8" t="s">
        <v>497</v>
      </c>
      <c r="B490" s="9">
        <v>25.0</v>
      </c>
      <c r="C490" s="9" t="s">
        <v>460</v>
      </c>
      <c r="D490" s="9">
        <v>75.0</v>
      </c>
      <c r="E490" s="10">
        <v>1.0</v>
      </c>
      <c r="F490" s="9">
        <v>3.0</v>
      </c>
      <c r="G490" s="9">
        <v>1.0</v>
      </c>
      <c r="H490" s="9">
        <v>0.0</v>
      </c>
      <c r="I490" s="9">
        <v>0.0</v>
      </c>
      <c r="J490" s="17">
        <v>557.0</v>
      </c>
      <c r="K490" s="18">
        <v>534.983</v>
      </c>
      <c r="L490" s="17">
        <v>557.0</v>
      </c>
      <c r="M490" s="18">
        <v>557.0</v>
      </c>
      <c r="N490" s="18">
        <v>0.0</v>
      </c>
      <c r="O490" s="18">
        <v>0.715</v>
      </c>
      <c r="P490" s="4"/>
    </row>
    <row r="491">
      <c r="A491" s="8" t="s">
        <v>498</v>
      </c>
      <c r="B491" s="9">
        <v>25.0</v>
      </c>
      <c r="C491" s="9" t="s">
        <v>460</v>
      </c>
      <c r="D491" s="9">
        <v>75.0</v>
      </c>
      <c r="E491" s="10">
        <v>1.0</v>
      </c>
      <c r="F491" s="9">
        <v>4.0</v>
      </c>
      <c r="G491" s="9">
        <v>1.0</v>
      </c>
      <c r="H491" s="9">
        <v>0.0</v>
      </c>
      <c r="I491" s="9">
        <v>0.0</v>
      </c>
      <c r="J491" s="17">
        <v>771.0</v>
      </c>
      <c r="K491" s="18">
        <v>718.371</v>
      </c>
      <c r="L491" s="17">
        <v>771.0</v>
      </c>
      <c r="M491" s="18">
        <v>771.0</v>
      </c>
      <c r="N491" s="18">
        <v>0.0</v>
      </c>
      <c r="O491" s="18">
        <v>1.912</v>
      </c>
      <c r="P491" s="4"/>
    </row>
    <row r="492">
      <c r="A492" s="8" t="s">
        <v>499</v>
      </c>
      <c r="B492" s="9">
        <v>25.0</v>
      </c>
      <c r="C492" s="9" t="s">
        <v>460</v>
      </c>
      <c r="D492" s="9">
        <v>75.0</v>
      </c>
      <c r="E492" s="10">
        <v>1.0</v>
      </c>
      <c r="F492" s="9">
        <v>5.0</v>
      </c>
      <c r="G492" s="9">
        <v>1.0</v>
      </c>
      <c r="H492" s="9">
        <v>0.0</v>
      </c>
      <c r="I492" s="9">
        <v>0.0</v>
      </c>
      <c r="J492" s="17">
        <v>381.0</v>
      </c>
      <c r="K492" s="18">
        <v>381.0</v>
      </c>
      <c r="L492" s="17">
        <v>381.0</v>
      </c>
      <c r="M492" s="18">
        <v>381.0</v>
      </c>
      <c r="N492" s="18">
        <v>0.0</v>
      </c>
      <c r="O492" s="18">
        <v>0.445</v>
      </c>
      <c r="P492" s="4"/>
    </row>
    <row r="493">
      <c r="A493" s="8" t="s">
        <v>500</v>
      </c>
      <c r="B493" s="9">
        <v>25.0</v>
      </c>
      <c r="C493" s="9" t="s">
        <v>460</v>
      </c>
      <c r="D493" s="9">
        <v>75.0</v>
      </c>
      <c r="E493" s="10">
        <v>2.0</v>
      </c>
      <c r="F493" s="9">
        <v>1.0</v>
      </c>
      <c r="G493" s="9">
        <v>1.0</v>
      </c>
      <c r="H493" s="9">
        <v>0.0</v>
      </c>
      <c r="I493" s="9">
        <v>0.0</v>
      </c>
      <c r="J493" s="17">
        <v>54898.0</v>
      </c>
      <c r="K493" s="18">
        <v>54898.0</v>
      </c>
      <c r="L493" s="17">
        <v>54898.0</v>
      </c>
      <c r="M493" s="18">
        <v>54898.0</v>
      </c>
      <c r="N493" s="18">
        <v>0.0</v>
      </c>
      <c r="O493" s="18">
        <v>0.03</v>
      </c>
      <c r="P493" s="4"/>
    </row>
    <row r="494">
      <c r="A494" s="8" t="s">
        <v>501</v>
      </c>
      <c r="B494" s="9">
        <v>25.0</v>
      </c>
      <c r="C494" s="9" t="s">
        <v>460</v>
      </c>
      <c r="D494" s="9">
        <v>75.0</v>
      </c>
      <c r="E494" s="10">
        <v>2.0</v>
      </c>
      <c r="F494" s="9">
        <v>2.0</v>
      </c>
      <c r="G494" s="9">
        <v>1.0</v>
      </c>
      <c r="H494" s="9">
        <v>0.0</v>
      </c>
      <c r="I494" s="9">
        <v>0.0</v>
      </c>
      <c r="J494" s="17">
        <v>54977.0</v>
      </c>
      <c r="K494" s="18">
        <v>54977.0</v>
      </c>
      <c r="L494" s="17">
        <v>54977.0</v>
      </c>
      <c r="M494" s="18">
        <v>54977.0</v>
      </c>
      <c r="N494" s="18">
        <v>0.0</v>
      </c>
      <c r="O494" s="18">
        <v>0.043</v>
      </c>
      <c r="P494" s="4"/>
    </row>
    <row r="495">
      <c r="A495" s="8" t="s">
        <v>502</v>
      </c>
      <c r="B495" s="9">
        <v>25.0</v>
      </c>
      <c r="C495" s="9" t="s">
        <v>460</v>
      </c>
      <c r="D495" s="9">
        <v>75.0</v>
      </c>
      <c r="E495" s="10">
        <v>2.0</v>
      </c>
      <c r="F495" s="9">
        <v>3.0</v>
      </c>
      <c r="G495" s="9">
        <v>0.0</v>
      </c>
      <c r="H495" s="9">
        <v>1.0</v>
      </c>
      <c r="I495" s="9">
        <v>0.0</v>
      </c>
      <c r="J495" s="17">
        <v>55617.0</v>
      </c>
      <c r="K495" s="18">
        <v>51185.4</v>
      </c>
      <c r="L495" s="17">
        <v>55617.0</v>
      </c>
      <c r="M495" s="18">
        <v>52621.7</v>
      </c>
      <c r="N495" s="18">
        <v>5.38564</v>
      </c>
      <c r="O495" s="18">
        <v>3600.0</v>
      </c>
      <c r="P495" s="4"/>
    </row>
    <row r="496">
      <c r="A496" s="8" t="s">
        <v>503</v>
      </c>
      <c r="B496" s="9">
        <v>25.0</v>
      </c>
      <c r="C496" s="9" t="s">
        <v>460</v>
      </c>
      <c r="D496" s="9">
        <v>75.0</v>
      </c>
      <c r="E496" s="10">
        <v>2.0</v>
      </c>
      <c r="F496" s="9">
        <v>4.0</v>
      </c>
      <c r="G496" s="9">
        <v>0.0</v>
      </c>
      <c r="H496" s="9">
        <v>1.0</v>
      </c>
      <c r="I496" s="9">
        <v>0.0</v>
      </c>
      <c r="J496" s="17">
        <v>61313.0</v>
      </c>
      <c r="K496" s="18">
        <v>56267.2</v>
      </c>
      <c r="L496" s="17">
        <v>61313.0</v>
      </c>
      <c r="M496" s="18">
        <v>57772.3</v>
      </c>
      <c r="N496" s="18">
        <v>5.77474</v>
      </c>
      <c r="O496" s="18">
        <v>3600.0</v>
      </c>
      <c r="P496" s="4"/>
    </row>
    <row r="497">
      <c r="A497" s="8" t="s">
        <v>504</v>
      </c>
      <c r="B497" s="9">
        <v>25.0</v>
      </c>
      <c r="C497" s="9" t="s">
        <v>460</v>
      </c>
      <c r="D497" s="9">
        <v>75.0</v>
      </c>
      <c r="E497" s="10">
        <v>2.0</v>
      </c>
      <c r="F497" s="9">
        <v>5.0</v>
      </c>
      <c r="G497" s="9">
        <v>1.0</v>
      </c>
      <c r="H497" s="9">
        <v>0.0</v>
      </c>
      <c r="I497" s="9">
        <v>0.0</v>
      </c>
      <c r="J497" s="17">
        <v>56606.0</v>
      </c>
      <c r="K497" s="18">
        <v>54118.0</v>
      </c>
      <c r="L497" s="17">
        <v>56606.0</v>
      </c>
      <c r="M497" s="18">
        <v>56606.0</v>
      </c>
      <c r="N497" s="18">
        <v>0.0</v>
      </c>
      <c r="O497" s="18">
        <v>3.651</v>
      </c>
      <c r="P497" s="4"/>
    </row>
    <row r="498">
      <c r="A498" s="8" t="s">
        <v>505</v>
      </c>
      <c r="B498" s="9">
        <v>30.0</v>
      </c>
      <c r="C498" s="9" t="s">
        <v>460</v>
      </c>
      <c r="D498" s="9">
        <v>25.0</v>
      </c>
      <c r="E498" s="10">
        <v>0.6</v>
      </c>
      <c r="F498" s="9">
        <v>1.0</v>
      </c>
      <c r="G498" s="9">
        <v>1.0</v>
      </c>
      <c r="H498" s="9">
        <v>0.0</v>
      </c>
      <c r="I498" s="9">
        <v>0.0</v>
      </c>
      <c r="J498" s="17">
        <v>-3037.0</v>
      </c>
      <c r="K498" s="18">
        <v>-3122.27</v>
      </c>
      <c r="L498" s="17">
        <v>-3074.0</v>
      </c>
      <c r="M498" s="18">
        <v>-3074.0</v>
      </c>
      <c r="N498" s="18">
        <v>0.0</v>
      </c>
      <c r="O498" s="18">
        <v>27.345</v>
      </c>
      <c r="P498" s="4"/>
    </row>
    <row r="499">
      <c r="A499" s="8" t="s">
        <v>506</v>
      </c>
      <c r="B499" s="9">
        <v>30.0</v>
      </c>
      <c r="C499" s="9" t="s">
        <v>460</v>
      </c>
      <c r="D499" s="9">
        <v>25.0</v>
      </c>
      <c r="E499" s="10">
        <v>0.6</v>
      </c>
      <c r="F499" s="9">
        <v>2.0</v>
      </c>
      <c r="G499" s="9">
        <v>1.0</v>
      </c>
      <c r="H499" s="9">
        <v>0.0</v>
      </c>
      <c r="I499" s="9">
        <v>0.0</v>
      </c>
      <c r="J499" s="17">
        <v>-3042.0</v>
      </c>
      <c r="K499" s="18">
        <v>-3167.7</v>
      </c>
      <c r="L499" s="17">
        <v>-3114.0</v>
      </c>
      <c r="M499" s="18">
        <v>-3114.0</v>
      </c>
      <c r="N499" s="18">
        <v>0.0</v>
      </c>
      <c r="O499" s="18">
        <v>42.211</v>
      </c>
      <c r="P499" s="4"/>
    </row>
    <row r="500">
      <c r="A500" s="8" t="s">
        <v>507</v>
      </c>
      <c r="B500" s="9">
        <v>30.0</v>
      </c>
      <c r="C500" s="9" t="s">
        <v>460</v>
      </c>
      <c r="D500" s="9">
        <v>25.0</v>
      </c>
      <c r="E500" s="10">
        <v>0.6</v>
      </c>
      <c r="F500" s="9">
        <v>3.0</v>
      </c>
      <c r="G500" s="9">
        <v>1.0</v>
      </c>
      <c r="H500" s="9">
        <v>0.0</v>
      </c>
      <c r="I500" s="9">
        <v>0.0</v>
      </c>
      <c r="J500" s="17">
        <v>-2944.0</v>
      </c>
      <c r="K500" s="18">
        <v>-2971.69</v>
      </c>
      <c r="L500" s="17">
        <v>-2944.0</v>
      </c>
      <c r="M500" s="18">
        <v>-2944.0</v>
      </c>
      <c r="N500" s="18">
        <v>0.0</v>
      </c>
      <c r="O500" s="18">
        <v>17.663</v>
      </c>
      <c r="P500" s="4"/>
    </row>
    <row r="501">
      <c r="A501" s="8" t="s">
        <v>508</v>
      </c>
      <c r="B501" s="9">
        <v>30.0</v>
      </c>
      <c r="C501" s="9" t="s">
        <v>460</v>
      </c>
      <c r="D501" s="9">
        <v>25.0</v>
      </c>
      <c r="E501" s="10">
        <v>0.6</v>
      </c>
      <c r="F501" s="9">
        <v>4.0</v>
      </c>
      <c r="G501" s="9">
        <v>1.0</v>
      </c>
      <c r="H501" s="9">
        <v>0.0</v>
      </c>
      <c r="I501" s="9">
        <v>0.0</v>
      </c>
      <c r="J501" s="17">
        <v>-2948.0</v>
      </c>
      <c r="K501" s="18">
        <v>-3027.57</v>
      </c>
      <c r="L501" s="17">
        <v>-2948.0</v>
      </c>
      <c r="M501" s="18">
        <v>-2948.0</v>
      </c>
      <c r="N501" s="18">
        <v>0.0</v>
      </c>
      <c r="O501" s="18">
        <v>151.089</v>
      </c>
      <c r="P501" s="4"/>
    </row>
    <row r="502">
      <c r="A502" s="8" t="s">
        <v>509</v>
      </c>
      <c r="B502" s="9">
        <v>30.0</v>
      </c>
      <c r="C502" s="9" t="s">
        <v>460</v>
      </c>
      <c r="D502" s="9">
        <v>25.0</v>
      </c>
      <c r="E502" s="10">
        <v>0.6</v>
      </c>
      <c r="F502" s="9">
        <v>5.0</v>
      </c>
      <c r="G502" s="9">
        <v>1.0</v>
      </c>
      <c r="H502" s="9">
        <v>0.0</v>
      </c>
      <c r="I502" s="9">
        <v>0.0</v>
      </c>
      <c r="J502" s="17">
        <v>-3380.0</v>
      </c>
      <c r="K502" s="18">
        <v>-3474.9</v>
      </c>
      <c r="L502" s="17">
        <v>-3388.0</v>
      </c>
      <c r="M502" s="18">
        <v>-3388.0</v>
      </c>
      <c r="N502" s="18">
        <v>0.0</v>
      </c>
      <c r="O502" s="18">
        <v>145.428</v>
      </c>
      <c r="P502" s="4"/>
    </row>
    <row r="503">
      <c r="A503" s="8" t="s">
        <v>510</v>
      </c>
      <c r="B503" s="9">
        <v>30.0</v>
      </c>
      <c r="C503" s="9" t="s">
        <v>460</v>
      </c>
      <c r="D503" s="9">
        <v>25.0</v>
      </c>
      <c r="E503" s="10">
        <v>1.0</v>
      </c>
      <c r="F503" s="9">
        <v>1.0</v>
      </c>
      <c r="G503" s="9">
        <v>1.0</v>
      </c>
      <c r="H503" s="9">
        <v>0.0</v>
      </c>
      <c r="I503" s="9">
        <v>0.0</v>
      </c>
      <c r="J503" s="17">
        <v>-1079.0</v>
      </c>
      <c r="K503" s="18">
        <v>-1333.38</v>
      </c>
      <c r="L503" s="17">
        <v>-1235.0</v>
      </c>
      <c r="M503" s="18">
        <v>-1235.0</v>
      </c>
      <c r="N503" s="18">
        <v>0.0</v>
      </c>
      <c r="O503" s="18">
        <v>34.151</v>
      </c>
      <c r="P503" s="4"/>
    </row>
    <row r="504">
      <c r="A504" s="8" t="s">
        <v>511</v>
      </c>
      <c r="B504" s="9">
        <v>30.0</v>
      </c>
      <c r="C504" s="9" t="s">
        <v>460</v>
      </c>
      <c r="D504" s="9">
        <v>25.0</v>
      </c>
      <c r="E504" s="10">
        <v>1.0</v>
      </c>
      <c r="F504" s="9">
        <v>2.0</v>
      </c>
      <c r="G504" s="9">
        <v>1.0</v>
      </c>
      <c r="H504" s="9">
        <v>0.0</v>
      </c>
      <c r="I504" s="9">
        <v>0.0</v>
      </c>
      <c r="J504" s="17">
        <v>-1077.0</v>
      </c>
      <c r="K504" s="18">
        <v>-1312.22</v>
      </c>
      <c r="L504" s="17">
        <v>-1189.0</v>
      </c>
      <c r="M504" s="18">
        <v>-1189.0</v>
      </c>
      <c r="N504" s="18">
        <v>0.0</v>
      </c>
      <c r="O504" s="18">
        <v>63.907</v>
      </c>
      <c r="P504" s="4"/>
    </row>
    <row r="505">
      <c r="A505" s="8" t="s">
        <v>512</v>
      </c>
      <c r="B505" s="9">
        <v>30.0</v>
      </c>
      <c r="C505" s="9" t="s">
        <v>460</v>
      </c>
      <c r="D505" s="9">
        <v>25.0</v>
      </c>
      <c r="E505" s="10">
        <v>1.0</v>
      </c>
      <c r="F505" s="9">
        <v>3.0</v>
      </c>
      <c r="G505" s="9">
        <v>1.0</v>
      </c>
      <c r="H505" s="9">
        <v>0.0</v>
      </c>
      <c r="I505" s="9">
        <v>0.0</v>
      </c>
      <c r="J505" s="17">
        <v>-1024.0</v>
      </c>
      <c r="K505" s="18">
        <v>-1259.4</v>
      </c>
      <c r="L505" s="17">
        <v>-1102.0</v>
      </c>
      <c r="M505" s="18">
        <v>-1102.0</v>
      </c>
      <c r="N505" s="18">
        <v>0.0</v>
      </c>
      <c r="O505" s="18">
        <v>291.0</v>
      </c>
      <c r="P505" s="4"/>
    </row>
    <row r="506">
      <c r="A506" s="8" t="s">
        <v>513</v>
      </c>
      <c r="B506" s="9">
        <v>30.0</v>
      </c>
      <c r="C506" s="9" t="s">
        <v>460</v>
      </c>
      <c r="D506" s="9">
        <v>25.0</v>
      </c>
      <c r="E506" s="10">
        <v>1.0</v>
      </c>
      <c r="F506" s="9">
        <v>4.0</v>
      </c>
      <c r="G506" s="9">
        <v>1.0</v>
      </c>
      <c r="H506" s="9">
        <v>0.0</v>
      </c>
      <c r="I506" s="9">
        <v>0.0</v>
      </c>
      <c r="J506" s="17">
        <v>-1024.0</v>
      </c>
      <c r="K506" s="18">
        <v>-1218.89</v>
      </c>
      <c r="L506" s="17">
        <v>-1122.0</v>
      </c>
      <c r="M506" s="18">
        <v>-1122.0</v>
      </c>
      <c r="N506" s="18">
        <v>0.0</v>
      </c>
      <c r="O506" s="18">
        <v>64.737</v>
      </c>
      <c r="P506" s="4"/>
    </row>
    <row r="507">
      <c r="A507" s="8" t="s">
        <v>514</v>
      </c>
      <c r="B507" s="9">
        <v>30.0</v>
      </c>
      <c r="C507" s="9" t="s">
        <v>460</v>
      </c>
      <c r="D507" s="9">
        <v>25.0</v>
      </c>
      <c r="E507" s="10">
        <v>1.0</v>
      </c>
      <c r="F507" s="9">
        <v>5.0</v>
      </c>
      <c r="G507" s="9">
        <v>1.0</v>
      </c>
      <c r="H507" s="9">
        <v>0.0</v>
      </c>
      <c r="I507" s="9">
        <v>0.0</v>
      </c>
      <c r="J507" s="17">
        <v>-1062.0</v>
      </c>
      <c r="K507" s="18">
        <v>-1310.45</v>
      </c>
      <c r="L507" s="17">
        <v>-1122.0</v>
      </c>
      <c r="M507" s="18">
        <v>-1122.0</v>
      </c>
      <c r="N507" s="18">
        <v>0.0</v>
      </c>
      <c r="O507" s="18">
        <v>702.844</v>
      </c>
      <c r="P507" s="4"/>
    </row>
    <row r="508">
      <c r="A508" s="8" t="s">
        <v>515</v>
      </c>
      <c r="B508" s="9">
        <v>30.0</v>
      </c>
      <c r="C508" s="9" t="s">
        <v>460</v>
      </c>
      <c r="D508" s="9">
        <v>25.0</v>
      </c>
      <c r="E508" s="10">
        <v>2.0</v>
      </c>
      <c r="F508" s="9">
        <v>1.0</v>
      </c>
      <c r="G508" s="9">
        <v>1.0</v>
      </c>
      <c r="H508" s="9">
        <v>0.0</v>
      </c>
      <c r="I508" s="9">
        <v>0.0</v>
      </c>
      <c r="J508" s="17">
        <v>16388.0</v>
      </c>
      <c r="K508" s="18">
        <v>16216.0</v>
      </c>
      <c r="L508" s="17">
        <v>16344.0</v>
      </c>
      <c r="M508" s="18">
        <v>16344.0</v>
      </c>
      <c r="N508" s="18">
        <v>0.0</v>
      </c>
      <c r="O508" s="18">
        <v>12.772</v>
      </c>
      <c r="P508" s="4"/>
    </row>
    <row r="509">
      <c r="A509" s="8" t="s">
        <v>516</v>
      </c>
      <c r="B509" s="9">
        <v>30.0</v>
      </c>
      <c r="C509" s="9" t="s">
        <v>460</v>
      </c>
      <c r="D509" s="9">
        <v>25.0</v>
      </c>
      <c r="E509" s="10">
        <v>2.0</v>
      </c>
      <c r="F509" s="9">
        <v>2.0</v>
      </c>
      <c r="G509" s="9">
        <v>1.0</v>
      </c>
      <c r="H509" s="9">
        <v>0.0</v>
      </c>
      <c r="I509" s="9">
        <v>0.0</v>
      </c>
      <c r="J509" s="17">
        <v>17533.0</v>
      </c>
      <c r="K509" s="18">
        <v>17504.5</v>
      </c>
      <c r="L509" s="17">
        <v>17533.0</v>
      </c>
      <c r="M509" s="18">
        <v>17533.0</v>
      </c>
      <c r="N509" s="18">
        <v>0.0</v>
      </c>
      <c r="O509" s="18">
        <v>0.298</v>
      </c>
      <c r="P509" s="4"/>
    </row>
    <row r="510">
      <c r="A510" s="8" t="s">
        <v>517</v>
      </c>
      <c r="B510" s="9">
        <v>30.0</v>
      </c>
      <c r="C510" s="9" t="s">
        <v>460</v>
      </c>
      <c r="D510" s="9">
        <v>25.0</v>
      </c>
      <c r="E510" s="10">
        <v>2.0</v>
      </c>
      <c r="F510" s="9">
        <v>3.0</v>
      </c>
      <c r="G510" s="9">
        <v>1.0</v>
      </c>
      <c r="H510" s="9">
        <v>0.0</v>
      </c>
      <c r="I510" s="9">
        <v>0.0</v>
      </c>
      <c r="J510" s="17">
        <v>15870.0</v>
      </c>
      <c r="K510" s="18">
        <v>15759.4</v>
      </c>
      <c r="L510" s="17">
        <v>15870.0</v>
      </c>
      <c r="M510" s="18">
        <v>15870.0</v>
      </c>
      <c r="N510" s="18">
        <v>0.0</v>
      </c>
      <c r="O510" s="18">
        <v>2.083</v>
      </c>
      <c r="P510" s="4"/>
    </row>
    <row r="511">
      <c r="A511" s="8" t="s">
        <v>518</v>
      </c>
      <c r="B511" s="9">
        <v>30.0</v>
      </c>
      <c r="C511" s="9" t="s">
        <v>460</v>
      </c>
      <c r="D511" s="9">
        <v>25.0</v>
      </c>
      <c r="E511" s="10">
        <v>2.0</v>
      </c>
      <c r="F511" s="9">
        <v>4.0</v>
      </c>
      <c r="G511" s="9">
        <v>1.0</v>
      </c>
      <c r="H511" s="9">
        <v>0.0</v>
      </c>
      <c r="I511" s="9">
        <v>0.0</v>
      </c>
      <c r="J511" s="17">
        <v>17020.0</v>
      </c>
      <c r="K511" s="18">
        <v>16749.6</v>
      </c>
      <c r="L511" s="17">
        <v>16871.0</v>
      </c>
      <c r="M511" s="18">
        <v>16871.0</v>
      </c>
      <c r="N511" s="18">
        <v>0.0</v>
      </c>
      <c r="O511" s="18">
        <v>5.293</v>
      </c>
      <c r="P511" s="4"/>
    </row>
    <row r="512">
      <c r="A512" s="8" t="s">
        <v>519</v>
      </c>
      <c r="B512" s="9">
        <v>30.0</v>
      </c>
      <c r="C512" s="9" t="s">
        <v>460</v>
      </c>
      <c r="D512" s="9">
        <v>25.0</v>
      </c>
      <c r="E512" s="10">
        <v>2.0</v>
      </c>
      <c r="F512" s="9">
        <v>5.0</v>
      </c>
      <c r="G512" s="9">
        <v>1.0</v>
      </c>
      <c r="H512" s="9">
        <v>0.0</v>
      </c>
      <c r="I512" s="9">
        <v>0.0</v>
      </c>
      <c r="J512" s="17">
        <v>20663.0</v>
      </c>
      <c r="K512" s="18">
        <v>20663.0</v>
      </c>
      <c r="L512" s="17">
        <v>20663.0</v>
      </c>
      <c r="M512" s="18">
        <v>20663.0</v>
      </c>
      <c r="N512" s="18">
        <v>0.0</v>
      </c>
      <c r="O512" s="18">
        <v>0.087</v>
      </c>
      <c r="P512" s="4"/>
    </row>
    <row r="513">
      <c r="A513" s="8" t="s">
        <v>520</v>
      </c>
      <c r="B513" s="9">
        <v>30.0</v>
      </c>
      <c r="C513" s="9" t="s">
        <v>460</v>
      </c>
      <c r="D513" s="9">
        <v>50.0</v>
      </c>
      <c r="E513" s="10">
        <v>0.6</v>
      </c>
      <c r="F513" s="9">
        <v>1.0</v>
      </c>
      <c r="G513" s="9">
        <v>1.0</v>
      </c>
      <c r="H513" s="9">
        <v>0.0</v>
      </c>
      <c r="I513" s="9">
        <v>0.0</v>
      </c>
      <c r="J513" s="17">
        <v>-5180.0</v>
      </c>
      <c r="K513" s="18">
        <v>-5180.0</v>
      </c>
      <c r="L513" s="17">
        <v>-5180.0</v>
      </c>
      <c r="M513" s="18">
        <v>-5180.0</v>
      </c>
      <c r="N513" s="18">
        <v>0.0</v>
      </c>
      <c r="O513" s="18">
        <v>10.439</v>
      </c>
      <c r="P513" s="4"/>
    </row>
    <row r="514">
      <c r="A514" s="8" t="s">
        <v>521</v>
      </c>
      <c r="B514" s="9">
        <v>30.0</v>
      </c>
      <c r="C514" s="9" t="s">
        <v>460</v>
      </c>
      <c r="D514" s="9">
        <v>50.0</v>
      </c>
      <c r="E514" s="10">
        <v>0.6</v>
      </c>
      <c r="F514" s="9">
        <v>2.0</v>
      </c>
      <c r="G514" s="9">
        <v>1.0</v>
      </c>
      <c r="H514" s="9">
        <v>0.0</v>
      </c>
      <c r="I514" s="9">
        <v>0.0</v>
      </c>
      <c r="J514" s="17">
        <v>-5618.0</v>
      </c>
      <c r="K514" s="18">
        <v>-5717.73</v>
      </c>
      <c r="L514" s="17">
        <v>-5618.0</v>
      </c>
      <c r="M514" s="18">
        <v>-5618.0</v>
      </c>
      <c r="N514" s="18">
        <v>0.0</v>
      </c>
      <c r="O514" s="18">
        <v>78.05</v>
      </c>
      <c r="P514" s="4"/>
    </row>
    <row r="515">
      <c r="A515" s="8" t="s">
        <v>522</v>
      </c>
      <c r="B515" s="9">
        <v>30.0</v>
      </c>
      <c r="C515" s="9" t="s">
        <v>460</v>
      </c>
      <c r="D515" s="9">
        <v>50.0</v>
      </c>
      <c r="E515" s="10">
        <v>0.6</v>
      </c>
      <c r="F515" s="9">
        <v>3.0</v>
      </c>
      <c r="G515" s="9">
        <v>1.0</v>
      </c>
      <c r="H515" s="9">
        <v>0.0</v>
      </c>
      <c r="I515" s="9">
        <v>0.0</v>
      </c>
      <c r="J515" s="17">
        <v>-4966.0</v>
      </c>
      <c r="K515" s="18">
        <v>-5403.05</v>
      </c>
      <c r="L515" s="17">
        <v>-5232.0</v>
      </c>
      <c r="M515" s="18">
        <v>-5232.0</v>
      </c>
      <c r="N515" s="18">
        <v>0.0</v>
      </c>
      <c r="O515" s="18">
        <v>375.276</v>
      </c>
      <c r="P515" s="4"/>
    </row>
    <row r="516">
      <c r="A516" s="8" t="s">
        <v>523</v>
      </c>
      <c r="B516" s="9">
        <v>30.0</v>
      </c>
      <c r="C516" s="9" t="s">
        <v>460</v>
      </c>
      <c r="D516" s="9">
        <v>50.0</v>
      </c>
      <c r="E516" s="10">
        <v>0.6</v>
      </c>
      <c r="F516" s="9">
        <v>4.0</v>
      </c>
      <c r="G516" s="9">
        <v>1.0</v>
      </c>
      <c r="H516" s="9">
        <v>0.0</v>
      </c>
      <c r="I516" s="9">
        <v>0.0</v>
      </c>
      <c r="J516" s="17">
        <v>-5173.0</v>
      </c>
      <c r="K516" s="18">
        <v>-5173.0</v>
      </c>
      <c r="L516" s="17">
        <v>-5173.0</v>
      </c>
      <c r="M516" s="18">
        <v>-5173.0</v>
      </c>
      <c r="N516" s="18">
        <v>0.0</v>
      </c>
      <c r="O516" s="18">
        <v>20.907</v>
      </c>
      <c r="P516" s="4"/>
    </row>
    <row r="517">
      <c r="A517" s="8" t="s">
        <v>524</v>
      </c>
      <c r="B517" s="9">
        <v>30.0</v>
      </c>
      <c r="C517" s="9" t="s">
        <v>460</v>
      </c>
      <c r="D517" s="9">
        <v>50.0</v>
      </c>
      <c r="E517" s="10">
        <v>0.6</v>
      </c>
      <c r="F517" s="9">
        <v>5.0</v>
      </c>
      <c r="G517" s="9">
        <v>1.0</v>
      </c>
      <c r="H517" s="9">
        <v>0.0</v>
      </c>
      <c r="I517" s="9">
        <v>0.0</v>
      </c>
      <c r="J517" s="17">
        <v>-4994.0</v>
      </c>
      <c r="K517" s="18">
        <v>-5191.73</v>
      </c>
      <c r="L517" s="17">
        <v>-5138.0</v>
      </c>
      <c r="M517" s="18">
        <v>-5138.0</v>
      </c>
      <c r="N517" s="18">
        <v>0.0</v>
      </c>
      <c r="O517" s="18">
        <v>80.864</v>
      </c>
      <c r="P517" s="4"/>
    </row>
    <row r="518">
      <c r="A518" s="8" t="s">
        <v>525</v>
      </c>
      <c r="B518" s="9">
        <v>30.0</v>
      </c>
      <c r="C518" s="9" t="s">
        <v>460</v>
      </c>
      <c r="D518" s="9">
        <v>50.0</v>
      </c>
      <c r="E518" s="10">
        <v>1.0</v>
      </c>
      <c r="F518" s="9">
        <v>1.0</v>
      </c>
      <c r="G518" s="9">
        <v>1.0</v>
      </c>
      <c r="H518" s="9">
        <v>0.0</v>
      </c>
      <c r="I518" s="9">
        <v>0.0</v>
      </c>
      <c r="J518" s="17">
        <v>-811.0</v>
      </c>
      <c r="K518" s="18">
        <v>-1320.14</v>
      </c>
      <c r="L518" s="17">
        <v>-1206.0</v>
      </c>
      <c r="M518" s="18">
        <v>-1206.0</v>
      </c>
      <c r="N518" s="18">
        <v>0.0</v>
      </c>
      <c r="O518" s="18">
        <v>52.554</v>
      </c>
      <c r="P518" s="4"/>
    </row>
    <row r="519">
      <c r="A519" s="8" t="s">
        <v>526</v>
      </c>
      <c r="B519" s="9">
        <v>30.0</v>
      </c>
      <c r="C519" s="9" t="s">
        <v>460</v>
      </c>
      <c r="D519" s="9">
        <v>50.0</v>
      </c>
      <c r="E519" s="10">
        <v>1.0</v>
      </c>
      <c r="F519" s="9">
        <v>2.0</v>
      </c>
      <c r="G519" s="9">
        <v>1.0</v>
      </c>
      <c r="H519" s="9">
        <v>0.0</v>
      </c>
      <c r="I519" s="9">
        <v>0.0</v>
      </c>
      <c r="J519" s="17">
        <v>-1662.0</v>
      </c>
      <c r="K519" s="18">
        <v>-2030.36</v>
      </c>
      <c r="L519" s="17">
        <v>-1951.0</v>
      </c>
      <c r="M519" s="18">
        <v>-1951.0</v>
      </c>
      <c r="N519" s="18">
        <v>0.0</v>
      </c>
      <c r="O519" s="18">
        <v>24.197</v>
      </c>
      <c r="P519" s="4"/>
    </row>
    <row r="520">
      <c r="A520" s="8" t="s">
        <v>527</v>
      </c>
      <c r="B520" s="9">
        <v>30.0</v>
      </c>
      <c r="C520" s="9" t="s">
        <v>460</v>
      </c>
      <c r="D520" s="9">
        <v>50.0</v>
      </c>
      <c r="E520" s="10">
        <v>1.0</v>
      </c>
      <c r="F520" s="9">
        <v>3.0</v>
      </c>
      <c r="G520" s="9">
        <v>1.0</v>
      </c>
      <c r="H520" s="9">
        <v>0.0</v>
      </c>
      <c r="I520" s="9">
        <v>0.0</v>
      </c>
      <c r="J520" s="17">
        <v>-1186.0</v>
      </c>
      <c r="K520" s="18">
        <v>-1298.55</v>
      </c>
      <c r="L520" s="17">
        <v>-1186.0</v>
      </c>
      <c r="M520" s="18">
        <v>-1186.0</v>
      </c>
      <c r="N520" s="18">
        <v>0.0</v>
      </c>
      <c r="O520" s="18">
        <v>22.461</v>
      </c>
      <c r="P520" s="4"/>
    </row>
    <row r="521">
      <c r="A521" s="8" t="s">
        <v>528</v>
      </c>
      <c r="B521" s="9">
        <v>30.0</v>
      </c>
      <c r="C521" s="9" t="s">
        <v>460</v>
      </c>
      <c r="D521" s="9">
        <v>50.0</v>
      </c>
      <c r="E521" s="10">
        <v>1.0</v>
      </c>
      <c r="F521" s="9">
        <v>4.0</v>
      </c>
      <c r="G521" s="9">
        <v>1.0</v>
      </c>
      <c r="H521" s="9">
        <v>0.0</v>
      </c>
      <c r="I521" s="9">
        <v>0.0</v>
      </c>
      <c r="J521" s="17">
        <v>-507.0</v>
      </c>
      <c r="K521" s="18">
        <v>-1174.87</v>
      </c>
      <c r="L521" s="17">
        <v>-938.0</v>
      </c>
      <c r="M521" s="18">
        <v>-938.0</v>
      </c>
      <c r="N521" s="18">
        <v>0.0</v>
      </c>
      <c r="O521" s="18">
        <v>1404.63</v>
      </c>
      <c r="P521" s="4"/>
    </row>
    <row r="522">
      <c r="A522" s="8" t="s">
        <v>529</v>
      </c>
      <c r="B522" s="9">
        <v>30.0</v>
      </c>
      <c r="C522" s="9" t="s">
        <v>460</v>
      </c>
      <c r="D522" s="9">
        <v>50.0</v>
      </c>
      <c r="E522" s="10">
        <v>1.0</v>
      </c>
      <c r="F522" s="9">
        <v>5.0</v>
      </c>
      <c r="G522" s="9">
        <v>1.0</v>
      </c>
      <c r="H522" s="9">
        <v>0.0</v>
      </c>
      <c r="I522" s="9">
        <v>0.0</v>
      </c>
      <c r="J522" s="17">
        <v>-1300.0</v>
      </c>
      <c r="K522" s="18">
        <v>-1410.56</v>
      </c>
      <c r="L522" s="17">
        <v>-1300.0</v>
      </c>
      <c r="M522" s="18">
        <v>-1300.0</v>
      </c>
      <c r="N522" s="18">
        <v>0.0</v>
      </c>
      <c r="O522" s="18">
        <v>32.068</v>
      </c>
      <c r="P522" s="4"/>
    </row>
    <row r="523">
      <c r="A523" s="8" t="s">
        <v>530</v>
      </c>
      <c r="B523" s="9">
        <v>30.0</v>
      </c>
      <c r="C523" s="9" t="s">
        <v>460</v>
      </c>
      <c r="D523" s="9">
        <v>50.0</v>
      </c>
      <c r="E523" s="10">
        <v>2.0</v>
      </c>
      <c r="F523" s="9">
        <v>1.0</v>
      </c>
      <c r="G523" s="9">
        <v>1.0</v>
      </c>
      <c r="H523" s="9">
        <v>0.0</v>
      </c>
      <c r="I523" s="9">
        <v>0.0</v>
      </c>
      <c r="J523" s="17">
        <v>34480.0</v>
      </c>
      <c r="K523" s="18">
        <v>34299.0</v>
      </c>
      <c r="L523" s="17">
        <v>34399.0</v>
      </c>
      <c r="M523" s="18">
        <v>34399.0</v>
      </c>
      <c r="N523" s="18">
        <v>0.0</v>
      </c>
      <c r="O523" s="18">
        <v>1.93</v>
      </c>
      <c r="P523" s="4"/>
    </row>
    <row r="524">
      <c r="A524" s="8" t="s">
        <v>531</v>
      </c>
      <c r="B524" s="9">
        <v>30.0</v>
      </c>
      <c r="C524" s="9" t="s">
        <v>460</v>
      </c>
      <c r="D524" s="9">
        <v>50.0</v>
      </c>
      <c r="E524" s="10">
        <v>2.0</v>
      </c>
      <c r="F524" s="9">
        <v>2.0</v>
      </c>
      <c r="G524" s="9">
        <v>1.0</v>
      </c>
      <c r="H524" s="9">
        <v>0.0</v>
      </c>
      <c r="I524" s="9">
        <v>0.0</v>
      </c>
      <c r="J524" s="17">
        <v>32568.0</v>
      </c>
      <c r="K524" s="18">
        <v>32568.0</v>
      </c>
      <c r="L524" s="17">
        <v>32568.0</v>
      </c>
      <c r="M524" s="18">
        <v>32568.0</v>
      </c>
      <c r="N524" s="18">
        <v>0.0</v>
      </c>
      <c r="O524" s="18">
        <v>0.194</v>
      </c>
      <c r="P524" s="4"/>
    </row>
    <row r="525">
      <c r="A525" s="8" t="s">
        <v>532</v>
      </c>
      <c r="B525" s="9">
        <v>30.0</v>
      </c>
      <c r="C525" s="9" t="s">
        <v>460</v>
      </c>
      <c r="D525" s="9">
        <v>50.0</v>
      </c>
      <c r="E525" s="10">
        <v>2.0</v>
      </c>
      <c r="F525" s="9">
        <v>3.0</v>
      </c>
      <c r="G525" s="9">
        <v>1.0</v>
      </c>
      <c r="H525" s="9">
        <v>0.0</v>
      </c>
      <c r="I525" s="9">
        <v>0.0</v>
      </c>
      <c r="J525" s="17">
        <v>37084.0</v>
      </c>
      <c r="K525" s="18">
        <v>37080.0</v>
      </c>
      <c r="L525" s="17">
        <v>37084.0</v>
      </c>
      <c r="M525" s="18">
        <v>37084.0</v>
      </c>
      <c r="N525" s="18">
        <v>0.0</v>
      </c>
      <c r="O525" s="18">
        <v>0.154</v>
      </c>
      <c r="P525" s="4"/>
    </row>
    <row r="526">
      <c r="A526" s="8" t="s">
        <v>533</v>
      </c>
      <c r="B526" s="9">
        <v>30.0</v>
      </c>
      <c r="C526" s="9" t="s">
        <v>460</v>
      </c>
      <c r="D526" s="9">
        <v>50.0</v>
      </c>
      <c r="E526" s="10">
        <v>2.0</v>
      </c>
      <c r="F526" s="9">
        <v>4.0</v>
      </c>
      <c r="G526" s="9">
        <v>1.0</v>
      </c>
      <c r="H526" s="9">
        <v>0.0</v>
      </c>
      <c r="I526" s="9">
        <v>0.0</v>
      </c>
      <c r="J526" s="17">
        <v>35824.0</v>
      </c>
      <c r="K526" s="18">
        <v>35782.2</v>
      </c>
      <c r="L526" s="17">
        <v>35824.0</v>
      </c>
      <c r="M526" s="18">
        <v>35824.0</v>
      </c>
      <c r="N526" s="18">
        <v>0.0</v>
      </c>
      <c r="O526" s="18">
        <v>0.48</v>
      </c>
      <c r="P526" s="4"/>
    </row>
    <row r="527">
      <c r="A527" s="8" t="s">
        <v>534</v>
      </c>
      <c r="B527" s="9">
        <v>30.0</v>
      </c>
      <c r="C527" s="9" t="s">
        <v>460</v>
      </c>
      <c r="D527" s="9">
        <v>50.0</v>
      </c>
      <c r="E527" s="10">
        <v>2.0</v>
      </c>
      <c r="F527" s="9">
        <v>5.0</v>
      </c>
      <c r="G527" s="9">
        <v>1.0</v>
      </c>
      <c r="H527" s="9">
        <v>0.0</v>
      </c>
      <c r="I527" s="9">
        <v>0.0</v>
      </c>
      <c r="J527" s="17">
        <v>34884.0</v>
      </c>
      <c r="K527" s="18">
        <v>34884.0</v>
      </c>
      <c r="L527" s="17">
        <v>34884.0</v>
      </c>
      <c r="M527" s="18">
        <v>34884.0</v>
      </c>
      <c r="N527" s="18">
        <v>0.0</v>
      </c>
      <c r="O527" s="18">
        <v>0.134</v>
      </c>
      <c r="P527" s="4"/>
    </row>
    <row r="528">
      <c r="A528" s="8" t="s">
        <v>535</v>
      </c>
      <c r="B528" s="9">
        <v>30.0</v>
      </c>
      <c r="C528" s="9" t="s">
        <v>460</v>
      </c>
      <c r="D528" s="9">
        <v>75.0</v>
      </c>
      <c r="E528" s="10">
        <v>0.6</v>
      </c>
      <c r="F528" s="9">
        <v>1.0</v>
      </c>
      <c r="G528" s="9">
        <v>1.0</v>
      </c>
      <c r="H528" s="9">
        <v>0.0</v>
      </c>
      <c r="I528" s="9">
        <v>0.0</v>
      </c>
      <c r="J528" s="17">
        <v>-6971.0</v>
      </c>
      <c r="K528" s="18">
        <v>-6971.0</v>
      </c>
      <c r="L528" s="17">
        <v>-6971.0</v>
      </c>
      <c r="M528" s="18">
        <v>-6971.0</v>
      </c>
      <c r="N528" s="18">
        <v>0.0</v>
      </c>
      <c r="O528" s="18">
        <v>38.995</v>
      </c>
      <c r="P528" s="4"/>
    </row>
    <row r="529">
      <c r="A529" s="8" t="s">
        <v>536</v>
      </c>
      <c r="B529" s="9">
        <v>30.0</v>
      </c>
      <c r="C529" s="9" t="s">
        <v>460</v>
      </c>
      <c r="D529" s="9">
        <v>75.0</v>
      </c>
      <c r="E529" s="10">
        <v>0.6</v>
      </c>
      <c r="F529" s="9">
        <v>2.0</v>
      </c>
      <c r="G529" s="9">
        <v>1.0</v>
      </c>
      <c r="H529" s="9">
        <v>0.0</v>
      </c>
      <c r="I529" s="9">
        <v>0.0</v>
      </c>
      <c r="J529" s="17">
        <v>-6792.0</v>
      </c>
      <c r="K529" s="18">
        <v>-6880.38</v>
      </c>
      <c r="L529" s="17">
        <v>-6865.0</v>
      </c>
      <c r="M529" s="18">
        <v>-6865.0</v>
      </c>
      <c r="N529" s="18">
        <v>0.0</v>
      </c>
      <c r="O529" s="18">
        <v>91.625</v>
      </c>
      <c r="P529" s="4"/>
    </row>
    <row r="530">
      <c r="A530" s="8" t="s">
        <v>537</v>
      </c>
      <c r="B530" s="9">
        <v>30.0</v>
      </c>
      <c r="C530" s="9" t="s">
        <v>460</v>
      </c>
      <c r="D530" s="9">
        <v>75.0</v>
      </c>
      <c r="E530" s="10">
        <v>0.6</v>
      </c>
      <c r="F530" s="9">
        <v>3.0</v>
      </c>
      <c r="G530" s="9">
        <v>1.0</v>
      </c>
      <c r="H530" s="9">
        <v>0.0</v>
      </c>
      <c r="I530" s="9">
        <v>0.0</v>
      </c>
      <c r="J530" s="17">
        <v>-6099.0</v>
      </c>
      <c r="K530" s="18">
        <v>-6223.91</v>
      </c>
      <c r="L530" s="17">
        <v>-6154.0</v>
      </c>
      <c r="M530" s="18">
        <v>-6154.0</v>
      </c>
      <c r="N530" s="18">
        <v>0.0</v>
      </c>
      <c r="O530" s="18">
        <v>244.758</v>
      </c>
      <c r="P530" s="4"/>
    </row>
    <row r="531">
      <c r="A531" s="8" t="s">
        <v>538</v>
      </c>
      <c r="B531" s="9">
        <v>30.0</v>
      </c>
      <c r="C531" s="9" t="s">
        <v>460</v>
      </c>
      <c r="D531" s="9">
        <v>75.0</v>
      </c>
      <c r="E531" s="10">
        <v>0.6</v>
      </c>
      <c r="F531" s="9">
        <v>4.0</v>
      </c>
      <c r="G531" s="9">
        <v>1.0</v>
      </c>
      <c r="H531" s="9">
        <v>0.0</v>
      </c>
      <c r="I531" s="9">
        <v>0.0</v>
      </c>
      <c r="J531" s="17">
        <v>-6610.0</v>
      </c>
      <c r="K531" s="18">
        <v>-6649.1</v>
      </c>
      <c r="L531" s="17">
        <v>-6610.0</v>
      </c>
      <c r="M531" s="18">
        <v>-6610.0</v>
      </c>
      <c r="N531" s="18">
        <v>0.0</v>
      </c>
      <c r="O531" s="18">
        <v>85.224</v>
      </c>
      <c r="P531" s="4"/>
    </row>
    <row r="532">
      <c r="A532" s="8" t="s">
        <v>539</v>
      </c>
      <c r="B532" s="9">
        <v>30.0</v>
      </c>
      <c r="C532" s="9" t="s">
        <v>460</v>
      </c>
      <c r="D532" s="9">
        <v>75.0</v>
      </c>
      <c r="E532" s="10">
        <v>0.6</v>
      </c>
      <c r="F532" s="9">
        <v>5.0</v>
      </c>
      <c r="G532" s="9">
        <v>1.0</v>
      </c>
      <c r="H532" s="9">
        <v>0.0</v>
      </c>
      <c r="I532" s="9">
        <v>0.0</v>
      </c>
      <c r="J532" s="17">
        <v>-6600.0</v>
      </c>
      <c r="K532" s="18">
        <v>-6724.3</v>
      </c>
      <c r="L532" s="17">
        <v>-6600.0</v>
      </c>
      <c r="M532" s="18">
        <v>-6600.0</v>
      </c>
      <c r="N532" s="18">
        <v>0.0</v>
      </c>
      <c r="O532" s="18">
        <v>375.902</v>
      </c>
      <c r="P532" s="4"/>
    </row>
    <row r="533">
      <c r="A533" s="8" t="s">
        <v>540</v>
      </c>
      <c r="B533" s="9">
        <v>30.0</v>
      </c>
      <c r="C533" s="9" t="s">
        <v>460</v>
      </c>
      <c r="D533" s="9">
        <v>75.0</v>
      </c>
      <c r="E533" s="10">
        <v>1.0</v>
      </c>
      <c r="F533" s="9">
        <v>1.0</v>
      </c>
      <c r="G533" s="9">
        <v>1.0</v>
      </c>
      <c r="H533" s="9">
        <v>0.0</v>
      </c>
      <c r="I533" s="9">
        <v>0.0</v>
      </c>
      <c r="J533" s="17">
        <v>-266.0</v>
      </c>
      <c r="K533" s="18">
        <v>-1177.46</v>
      </c>
      <c r="L533" s="17">
        <v>-1087.0</v>
      </c>
      <c r="M533" s="18">
        <v>-1087.0</v>
      </c>
      <c r="N533" s="18">
        <v>0.0</v>
      </c>
      <c r="O533" s="18">
        <v>50.605</v>
      </c>
      <c r="P533" s="4"/>
    </row>
    <row r="534">
      <c r="A534" s="8" t="s">
        <v>541</v>
      </c>
      <c r="B534" s="9">
        <v>30.0</v>
      </c>
      <c r="C534" s="9" t="s">
        <v>460</v>
      </c>
      <c r="D534" s="9">
        <v>75.0</v>
      </c>
      <c r="E534" s="10">
        <v>1.0</v>
      </c>
      <c r="F534" s="9">
        <v>2.0</v>
      </c>
      <c r="G534" s="9">
        <v>1.0</v>
      </c>
      <c r="H534" s="9">
        <v>0.0</v>
      </c>
      <c r="I534" s="9">
        <v>0.0</v>
      </c>
      <c r="J534" s="17">
        <v>-284.0</v>
      </c>
      <c r="K534" s="18">
        <v>-1120.94</v>
      </c>
      <c r="L534" s="17">
        <v>-735.0</v>
      </c>
      <c r="M534" s="18">
        <v>-735.0</v>
      </c>
      <c r="N534" s="18">
        <v>0.0</v>
      </c>
      <c r="O534" s="18">
        <v>3160.34</v>
      </c>
      <c r="P534" s="4"/>
    </row>
    <row r="535">
      <c r="A535" s="8" t="s">
        <v>542</v>
      </c>
      <c r="B535" s="9">
        <v>30.0</v>
      </c>
      <c r="C535" s="9" t="s">
        <v>460</v>
      </c>
      <c r="D535" s="9">
        <v>75.0</v>
      </c>
      <c r="E535" s="10">
        <v>1.0</v>
      </c>
      <c r="F535" s="9">
        <v>3.0</v>
      </c>
      <c r="G535" s="9">
        <v>1.0</v>
      </c>
      <c r="H535" s="9">
        <v>0.0</v>
      </c>
      <c r="I535" s="9">
        <v>0.0</v>
      </c>
      <c r="J535" s="17">
        <v>-1041.0</v>
      </c>
      <c r="K535" s="18">
        <v>-1074.88</v>
      </c>
      <c r="L535" s="17">
        <v>-1041.0</v>
      </c>
      <c r="M535" s="18">
        <v>-1041.0</v>
      </c>
      <c r="N535" s="18">
        <v>0.0</v>
      </c>
      <c r="O535" s="18">
        <v>9.034</v>
      </c>
      <c r="P535" s="4"/>
    </row>
    <row r="536">
      <c r="A536" s="8" t="s">
        <v>543</v>
      </c>
      <c r="B536" s="9">
        <v>30.0</v>
      </c>
      <c r="C536" s="9" t="s">
        <v>460</v>
      </c>
      <c r="D536" s="9">
        <v>75.0</v>
      </c>
      <c r="E536" s="10">
        <v>1.0</v>
      </c>
      <c r="F536" s="9">
        <v>4.0</v>
      </c>
      <c r="G536" s="9">
        <v>1.0</v>
      </c>
      <c r="H536" s="9">
        <v>0.0</v>
      </c>
      <c r="I536" s="9">
        <v>0.0</v>
      </c>
      <c r="J536" s="17">
        <v>-779.0</v>
      </c>
      <c r="K536" s="18">
        <v>-1023.9</v>
      </c>
      <c r="L536" s="17">
        <v>-927.0</v>
      </c>
      <c r="M536" s="18">
        <v>-927.0</v>
      </c>
      <c r="N536" s="18">
        <v>0.0</v>
      </c>
      <c r="O536" s="18">
        <v>31.421</v>
      </c>
      <c r="P536" s="4"/>
    </row>
    <row r="537">
      <c r="A537" s="8" t="s">
        <v>544</v>
      </c>
      <c r="B537" s="9">
        <v>30.0</v>
      </c>
      <c r="C537" s="9" t="s">
        <v>460</v>
      </c>
      <c r="D537" s="9">
        <v>75.0</v>
      </c>
      <c r="E537" s="10">
        <v>1.0</v>
      </c>
      <c r="F537" s="9">
        <v>5.0</v>
      </c>
      <c r="G537" s="9">
        <v>1.0</v>
      </c>
      <c r="H537" s="9">
        <v>0.0</v>
      </c>
      <c r="I537" s="9">
        <v>0.0</v>
      </c>
      <c r="J537" s="17">
        <v>-873.0</v>
      </c>
      <c r="K537" s="18">
        <v>-1080.09</v>
      </c>
      <c r="L537" s="17">
        <v>-1006.0</v>
      </c>
      <c r="M537" s="18">
        <v>-1006.0</v>
      </c>
      <c r="N537" s="18">
        <v>0.0</v>
      </c>
      <c r="O537" s="18">
        <v>27.147</v>
      </c>
      <c r="P537" s="4"/>
    </row>
    <row r="538">
      <c r="A538" s="8" t="s">
        <v>545</v>
      </c>
      <c r="B538" s="9">
        <v>30.0</v>
      </c>
      <c r="C538" s="9" t="s">
        <v>460</v>
      </c>
      <c r="D538" s="9">
        <v>75.0</v>
      </c>
      <c r="E538" s="10">
        <v>2.0</v>
      </c>
      <c r="F538" s="9">
        <v>1.0</v>
      </c>
      <c r="G538" s="9">
        <v>1.0</v>
      </c>
      <c r="H538" s="9">
        <v>0.0</v>
      </c>
      <c r="I538" s="9">
        <v>0.0</v>
      </c>
      <c r="J538" s="17">
        <v>52122.0</v>
      </c>
      <c r="K538" s="18">
        <v>51953.5</v>
      </c>
      <c r="L538" s="17">
        <v>52084.0</v>
      </c>
      <c r="M538" s="18">
        <v>52084.0</v>
      </c>
      <c r="N538" s="18">
        <v>0.0</v>
      </c>
      <c r="O538" s="18">
        <v>3.009</v>
      </c>
      <c r="P538" s="4"/>
    </row>
    <row r="539">
      <c r="A539" s="8" t="s">
        <v>546</v>
      </c>
      <c r="B539" s="9">
        <v>30.0</v>
      </c>
      <c r="C539" s="9" t="s">
        <v>460</v>
      </c>
      <c r="D539" s="9">
        <v>75.0</v>
      </c>
      <c r="E539" s="10">
        <v>2.0</v>
      </c>
      <c r="F539" s="9">
        <v>2.0</v>
      </c>
      <c r="G539" s="9">
        <v>1.0</v>
      </c>
      <c r="H539" s="9">
        <v>0.0</v>
      </c>
      <c r="I539" s="9">
        <v>0.0</v>
      </c>
      <c r="J539" s="17">
        <v>58032.0</v>
      </c>
      <c r="K539" s="18">
        <v>53000.9</v>
      </c>
      <c r="L539" s="17">
        <v>53515.0</v>
      </c>
      <c r="M539" s="18">
        <v>53515.0</v>
      </c>
      <c r="N539" s="18">
        <v>0.0</v>
      </c>
      <c r="O539" s="18">
        <v>936.946</v>
      </c>
      <c r="P539" s="4"/>
    </row>
    <row r="540">
      <c r="A540" s="8" t="s">
        <v>547</v>
      </c>
      <c r="B540" s="9">
        <v>30.0</v>
      </c>
      <c r="C540" s="9" t="s">
        <v>460</v>
      </c>
      <c r="D540" s="9">
        <v>75.0</v>
      </c>
      <c r="E540" s="10">
        <v>2.0</v>
      </c>
      <c r="F540" s="9">
        <v>3.0</v>
      </c>
      <c r="G540" s="9">
        <v>1.0</v>
      </c>
      <c r="H540" s="9">
        <v>0.0</v>
      </c>
      <c r="I540" s="9">
        <v>0.0</v>
      </c>
      <c r="J540" s="17">
        <v>48418.0</v>
      </c>
      <c r="K540" s="18">
        <v>48394.5</v>
      </c>
      <c r="L540" s="17">
        <v>48418.0</v>
      </c>
      <c r="M540" s="18">
        <v>48418.0</v>
      </c>
      <c r="N540" s="18">
        <v>0.0</v>
      </c>
      <c r="O540" s="18">
        <v>0.416</v>
      </c>
      <c r="P540" s="4"/>
    </row>
    <row r="541">
      <c r="A541" s="8" t="s">
        <v>548</v>
      </c>
      <c r="B541" s="9">
        <v>30.0</v>
      </c>
      <c r="C541" s="9" t="s">
        <v>460</v>
      </c>
      <c r="D541" s="9">
        <v>75.0</v>
      </c>
      <c r="E541" s="10">
        <v>2.0</v>
      </c>
      <c r="F541" s="9">
        <v>4.0</v>
      </c>
      <c r="G541" s="9">
        <v>1.0</v>
      </c>
      <c r="H541" s="9">
        <v>0.0</v>
      </c>
      <c r="I541" s="9">
        <v>0.0</v>
      </c>
      <c r="J541" s="17">
        <v>51382.0</v>
      </c>
      <c r="K541" s="18">
        <v>51098.1</v>
      </c>
      <c r="L541" s="17">
        <v>51321.0</v>
      </c>
      <c r="M541" s="18">
        <v>51321.0</v>
      </c>
      <c r="N541" s="18">
        <v>0.0</v>
      </c>
      <c r="O541" s="18">
        <v>13.969</v>
      </c>
      <c r="P541" s="4"/>
    </row>
    <row r="542">
      <c r="A542" s="8" t="s">
        <v>549</v>
      </c>
      <c r="B542" s="9">
        <v>30.0</v>
      </c>
      <c r="C542" s="9" t="s">
        <v>460</v>
      </c>
      <c r="D542" s="9">
        <v>75.0</v>
      </c>
      <c r="E542" s="10">
        <v>2.0</v>
      </c>
      <c r="F542" s="9">
        <v>5.0</v>
      </c>
      <c r="G542" s="9">
        <v>1.0</v>
      </c>
      <c r="H542" s="9">
        <v>0.0</v>
      </c>
      <c r="I542" s="9">
        <v>0.0</v>
      </c>
      <c r="J542" s="17">
        <v>51692.0</v>
      </c>
      <c r="K542" s="18">
        <v>51626.3</v>
      </c>
      <c r="L542" s="17">
        <v>51682.0</v>
      </c>
      <c r="M542" s="18">
        <v>51682.0</v>
      </c>
      <c r="N542" s="18">
        <v>0.0</v>
      </c>
      <c r="O542" s="18">
        <v>0.766</v>
      </c>
      <c r="P542" s="4"/>
    </row>
    <row r="543">
      <c r="A543" s="8" t="s">
        <v>550</v>
      </c>
      <c r="B543" s="9">
        <v>35.0</v>
      </c>
      <c r="C543" s="9" t="s">
        <v>460</v>
      </c>
      <c r="D543" s="9">
        <v>25.0</v>
      </c>
      <c r="E543" s="10">
        <v>0.6</v>
      </c>
      <c r="F543" s="9">
        <v>1.0</v>
      </c>
      <c r="G543" s="9">
        <v>1.0</v>
      </c>
      <c r="H543" s="9">
        <v>0.0</v>
      </c>
      <c r="I543" s="9">
        <v>0.0</v>
      </c>
      <c r="J543" s="17">
        <v>-4278.0</v>
      </c>
      <c r="K543" s="18">
        <v>-4335.19</v>
      </c>
      <c r="L543" s="17">
        <v>-4278.0</v>
      </c>
      <c r="M543" s="18">
        <v>-4278.0</v>
      </c>
      <c r="N543" s="18">
        <v>0.0</v>
      </c>
      <c r="O543" s="18">
        <v>370.313</v>
      </c>
      <c r="P543" s="4"/>
    </row>
    <row r="544">
      <c r="A544" s="8" t="s">
        <v>551</v>
      </c>
      <c r="B544" s="9">
        <v>35.0</v>
      </c>
      <c r="C544" s="9" t="s">
        <v>460</v>
      </c>
      <c r="D544" s="9">
        <v>25.0</v>
      </c>
      <c r="E544" s="10">
        <v>0.6</v>
      </c>
      <c r="F544" s="9">
        <v>2.0</v>
      </c>
      <c r="G544" s="9">
        <v>1.0</v>
      </c>
      <c r="H544" s="9">
        <v>0.0</v>
      </c>
      <c r="I544" s="9">
        <v>0.0</v>
      </c>
      <c r="J544" s="17">
        <v>-4640.0</v>
      </c>
      <c r="K544" s="18">
        <v>-4663.0</v>
      </c>
      <c r="L544" s="17">
        <v>-4640.0</v>
      </c>
      <c r="M544" s="18">
        <v>-4640.0</v>
      </c>
      <c r="N544" s="18">
        <v>0.0</v>
      </c>
      <c r="O544" s="18">
        <v>134.002</v>
      </c>
      <c r="P544" s="4"/>
    </row>
    <row r="545">
      <c r="A545" s="8" t="s">
        <v>552</v>
      </c>
      <c r="B545" s="9">
        <v>35.0</v>
      </c>
      <c r="C545" s="9" t="s">
        <v>460</v>
      </c>
      <c r="D545" s="9">
        <v>25.0</v>
      </c>
      <c r="E545" s="10">
        <v>0.6</v>
      </c>
      <c r="F545" s="9">
        <v>3.0</v>
      </c>
      <c r="G545" s="9">
        <v>1.0</v>
      </c>
      <c r="H545" s="9">
        <v>0.0</v>
      </c>
      <c r="I545" s="9">
        <v>0.0</v>
      </c>
      <c r="J545" s="17">
        <v>-4048.0</v>
      </c>
      <c r="K545" s="18">
        <v>-4053.0</v>
      </c>
      <c r="L545" s="17">
        <v>-4048.0</v>
      </c>
      <c r="M545" s="18">
        <v>-4048.0</v>
      </c>
      <c r="N545" s="18">
        <v>0.0</v>
      </c>
      <c r="O545" s="18">
        <v>55.385</v>
      </c>
      <c r="P545" s="4"/>
    </row>
    <row r="546">
      <c r="A546" s="8" t="s">
        <v>553</v>
      </c>
      <c r="B546" s="9">
        <v>35.0</v>
      </c>
      <c r="C546" s="9" t="s">
        <v>460</v>
      </c>
      <c r="D546" s="9">
        <v>25.0</v>
      </c>
      <c r="E546" s="10">
        <v>0.6</v>
      </c>
      <c r="F546" s="9">
        <v>4.0</v>
      </c>
      <c r="G546" s="9">
        <v>1.0</v>
      </c>
      <c r="H546" s="9">
        <v>0.0</v>
      </c>
      <c r="I546" s="9">
        <v>0.0</v>
      </c>
      <c r="J546" s="17">
        <v>-4377.0</v>
      </c>
      <c r="K546" s="18">
        <v>-4413.92</v>
      </c>
      <c r="L546" s="17">
        <v>-4377.0</v>
      </c>
      <c r="M546" s="18">
        <v>-4377.0</v>
      </c>
      <c r="N546" s="18">
        <v>0.0</v>
      </c>
      <c r="O546" s="18">
        <v>172.81</v>
      </c>
      <c r="P546" s="4"/>
    </row>
    <row r="547">
      <c r="A547" s="8" t="s">
        <v>554</v>
      </c>
      <c r="B547" s="9">
        <v>35.0</v>
      </c>
      <c r="C547" s="9" t="s">
        <v>460</v>
      </c>
      <c r="D547" s="9">
        <v>25.0</v>
      </c>
      <c r="E547" s="10">
        <v>0.6</v>
      </c>
      <c r="F547" s="9">
        <v>5.0</v>
      </c>
      <c r="G547" s="9">
        <v>1.0</v>
      </c>
      <c r="H547" s="9">
        <v>0.0</v>
      </c>
      <c r="I547" s="9">
        <v>0.0</v>
      </c>
      <c r="J547" s="17">
        <v>-4487.0</v>
      </c>
      <c r="K547" s="18">
        <v>-4487.0</v>
      </c>
      <c r="L547" s="17">
        <v>-4487.0</v>
      </c>
      <c r="M547" s="18">
        <v>-4487.0</v>
      </c>
      <c r="N547" s="18">
        <v>0.0</v>
      </c>
      <c r="O547" s="18">
        <v>21.278</v>
      </c>
      <c r="P547" s="4"/>
    </row>
    <row r="548">
      <c r="A548" s="8" t="s">
        <v>555</v>
      </c>
      <c r="B548" s="9">
        <v>35.0</v>
      </c>
      <c r="C548" s="9" t="s">
        <v>460</v>
      </c>
      <c r="D548" s="9">
        <v>25.0</v>
      </c>
      <c r="E548" s="10">
        <v>1.0</v>
      </c>
      <c r="F548" s="9">
        <v>1.0</v>
      </c>
      <c r="G548" s="9">
        <v>1.0</v>
      </c>
      <c r="H548" s="9">
        <v>0.0</v>
      </c>
      <c r="I548" s="9">
        <v>0.0</v>
      </c>
      <c r="J548" s="17">
        <v>-2020.0</v>
      </c>
      <c r="K548" s="18">
        <v>-2288.0</v>
      </c>
      <c r="L548" s="17">
        <v>-2221.0</v>
      </c>
      <c r="M548" s="18">
        <v>-2221.0</v>
      </c>
      <c r="N548" s="18">
        <v>0.0</v>
      </c>
      <c r="O548" s="18">
        <v>67.635</v>
      </c>
      <c r="P548" s="4"/>
    </row>
    <row r="549">
      <c r="A549" s="8" t="s">
        <v>556</v>
      </c>
      <c r="B549" s="9">
        <v>35.0</v>
      </c>
      <c r="C549" s="9" t="s">
        <v>460</v>
      </c>
      <c r="D549" s="9">
        <v>25.0</v>
      </c>
      <c r="E549" s="10">
        <v>1.0</v>
      </c>
      <c r="F549" s="9">
        <v>2.0</v>
      </c>
      <c r="G549" s="9">
        <v>1.0</v>
      </c>
      <c r="H549" s="9">
        <v>0.0</v>
      </c>
      <c r="I549" s="9">
        <v>0.0</v>
      </c>
      <c r="J549" s="17">
        <v>-1866.0</v>
      </c>
      <c r="K549" s="18">
        <v>-2215.61</v>
      </c>
      <c r="L549" s="17">
        <v>-2165.0</v>
      </c>
      <c r="M549" s="18">
        <v>-2165.0</v>
      </c>
      <c r="N549" s="18">
        <v>0.0</v>
      </c>
      <c r="O549" s="18">
        <v>65.178</v>
      </c>
      <c r="P549" s="4"/>
    </row>
    <row r="550">
      <c r="A550" s="8" t="s">
        <v>557</v>
      </c>
      <c r="B550" s="9">
        <v>35.0</v>
      </c>
      <c r="C550" s="9" t="s">
        <v>460</v>
      </c>
      <c r="D550" s="9">
        <v>25.0</v>
      </c>
      <c r="E550" s="10">
        <v>1.0</v>
      </c>
      <c r="F550" s="9">
        <v>3.0</v>
      </c>
      <c r="G550" s="9">
        <v>1.0</v>
      </c>
      <c r="H550" s="9">
        <v>0.0</v>
      </c>
      <c r="I550" s="9">
        <v>0.0</v>
      </c>
      <c r="J550" s="17">
        <v>-1845.0</v>
      </c>
      <c r="K550" s="18">
        <v>-2050.19</v>
      </c>
      <c r="L550" s="17">
        <v>-1985.0</v>
      </c>
      <c r="M550" s="18">
        <v>-1985.0</v>
      </c>
      <c r="N550" s="18">
        <v>0.0</v>
      </c>
      <c r="O550" s="18">
        <v>115.024</v>
      </c>
      <c r="P550" s="4"/>
    </row>
    <row r="551">
      <c r="A551" s="8" t="s">
        <v>558</v>
      </c>
      <c r="B551" s="9">
        <v>35.0</v>
      </c>
      <c r="C551" s="9" t="s">
        <v>460</v>
      </c>
      <c r="D551" s="9">
        <v>25.0</v>
      </c>
      <c r="E551" s="10">
        <v>1.0</v>
      </c>
      <c r="F551" s="9">
        <v>4.0</v>
      </c>
      <c r="G551" s="9">
        <v>1.0</v>
      </c>
      <c r="H551" s="9">
        <v>0.0</v>
      </c>
      <c r="I551" s="9">
        <v>0.0</v>
      </c>
      <c r="J551" s="17">
        <v>-1899.0</v>
      </c>
      <c r="K551" s="18">
        <v>-2164.04</v>
      </c>
      <c r="L551" s="17">
        <v>-2056.0</v>
      </c>
      <c r="M551" s="18">
        <v>-2056.0</v>
      </c>
      <c r="N551" s="18">
        <v>0.0</v>
      </c>
      <c r="O551" s="18">
        <v>280.168</v>
      </c>
      <c r="P551" s="4"/>
    </row>
    <row r="552">
      <c r="A552" s="8" t="s">
        <v>559</v>
      </c>
      <c r="B552" s="9">
        <v>35.0</v>
      </c>
      <c r="C552" s="9" t="s">
        <v>460</v>
      </c>
      <c r="D552" s="9">
        <v>25.0</v>
      </c>
      <c r="E552" s="10">
        <v>1.0</v>
      </c>
      <c r="F552" s="9">
        <v>5.0</v>
      </c>
      <c r="G552" s="9">
        <v>1.0</v>
      </c>
      <c r="H552" s="9">
        <v>0.0</v>
      </c>
      <c r="I552" s="9">
        <v>0.0</v>
      </c>
      <c r="J552" s="17">
        <v>-2031.0</v>
      </c>
      <c r="K552" s="18">
        <v>-2324.11</v>
      </c>
      <c r="L552" s="17">
        <v>-2152.0</v>
      </c>
      <c r="M552" s="18">
        <v>-2152.0</v>
      </c>
      <c r="N552" s="18">
        <v>0.0</v>
      </c>
      <c r="O552" s="18">
        <v>910.422</v>
      </c>
      <c r="P552" s="4"/>
    </row>
    <row r="553">
      <c r="A553" s="8" t="s">
        <v>560</v>
      </c>
      <c r="B553" s="9">
        <v>35.0</v>
      </c>
      <c r="C553" s="9" t="s">
        <v>460</v>
      </c>
      <c r="D553" s="9">
        <v>25.0</v>
      </c>
      <c r="E553" s="10">
        <v>2.0</v>
      </c>
      <c r="F553" s="9">
        <v>1.0</v>
      </c>
      <c r="G553" s="9">
        <v>1.0</v>
      </c>
      <c r="H553" s="9">
        <v>0.0</v>
      </c>
      <c r="I553" s="9">
        <v>0.0</v>
      </c>
      <c r="J553" s="17">
        <v>17053.0</v>
      </c>
      <c r="K553" s="18">
        <v>16793.0</v>
      </c>
      <c r="L553" s="17">
        <v>16890.0</v>
      </c>
      <c r="M553" s="18">
        <v>16890.0</v>
      </c>
      <c r="N553" s="18">
        <v>0.0</v>
      </c>
      <c r="O553" s="18">
        <v>6.833</v>
      </c>
      <c r="P553" s="4"/>
    </row>
    <row r="554">
      <c r="A554" s="8" t="s">
        <v>561</v>
      </c>
      <c r="B554" s="9">
        <v>35.0</v>
      </c>
      <c r="C554" s="9" t="s">
        <v>460</v>
      </c>
      <c r="D554" s="9">
        <v>25.0</v>
      </c>
      <c r="E554" s="10">
        <v>2.0</v>
      </c>
      <c r="F554" s="9">
        <v>2.0</v>
      </c>
      <c r="G554" s="9">
        <v>1.0</v>
      </c>
      <c r="H554" s="9">
        <v>0.0</v>
      </c>
      <c r="I554" s="9">
        <v>0.0</v>
      </c>
      <c r="J554" s="17">
        <v>18981.0</v>
      </c>
      <c r="K554" s="18">
        <v>18981.0</v>
      </c>
      <c r="L554" s="17">
        <v>18981.0</v>
      </c>
      <c r="M554" s="18">
        <v>18981.0</v>
      </c>
      <c r="N554" s="18">
        <v>0.0</v>
      </c>
      <c r="O554" s="18">
        <v>0.441</v>
      </c>
      <c r="P554" s="4"/>
    </row>
    <row r="555">
      <c r="A555" s="8" t="s">
        <v>562</v>
      </c>
      <c r="B555" s="9">
        <v>35.0</v>
      </c>
      <c r="C555" s="9" t="s">
        <v>460</v>
      </c>
      <c r="D555" s="9">
        <v>25.0</v>
      </c>
      <c r="E555" s="10">
        <v>2.0</v>
      </c>
      <c r="F555" s="9">
        <v>3.0</v>
      </c>
      <c r="G555" s="9">
        <v>1.0</v>
      </c>
      <c r="H555" s="9">
        <v>0.0</v>
      </c>
      <c r="I555" s="9">
        <v>0.0</v>
      </c>
      <c r="J555" s="17">
        <v>15637.0</v>
      </c>
      <c r="K555" s="18">
        <v>15438.6</v>
      </c>
      <c r="L555" s="17">
        <v>15523.0</v>
      </c>
      <c r="M555" s="18">
        <v>15523.0</v>
      </c>
      <c r="N555" s="18">
        <v>0.0</v>
      </c>
      <c r="O555" s="18">
        <v>9.34</v>
      </c>
      <c r="P555" s="4"/>
    </row>
    <row r="556">
      <c r="A556" s="8" t="s">
        <v>563</v>
      </c>
      <c r="B556" s="9">
        <v>35.0</v>
      </c>
      <c r="C556" s="9" t="s">
        <v>460</v>
      </c>
      <c r="D556" s="9">
        <v>25.0</v>
      </c>
      <c r="E556" s="10">
        <v>2.0</v>
      </c>
      <c r="F556" s="9">
        <v>4.0</v>
      </c>
      <c r="G556" s="9">
        <v>1.0</v>
      </c>
      <c r="H556" s="9">
        <v>0.0</v>
      </c>
      <c r="I556" s="9">
        <v>0.0</v>
      </c>
      <c r="J556" s="17">
        <v>17548.0</v>
      </c>
      <c r="K556" s="18">
        <v>17506.2</v>
      </c>
      <c r="L556" s="17">
        <v>17535.0</v>
      </c>
      <c r="M556" s="18">
        <v>17535.0</v>
      </c>
      <c r="N556" s="18">
        <v>0.0</v>
      </c>
      <c r="O556" s="18">
        <v>1.226</v>
      </c>
      <c r="P556" s="4"/>
    </row>
    <row r="557">
      <c r="A557" s="8" t="s">
        <v>564</v>
      </c>
      <c r="B557" s="9">
        <v>35.0</v>
      </c>
      <c r="C557" s="9" t="s">
        <v>460</v>
      </c>
      <c r="D557" s="9">
        <v>25.0</v>
      </c>
      <c r="E557" s="10">
        <v>2.0</v>
      </c>
      <c r="F557" s="9">
        <v>5.0</v>
      </c>
      <c r="G557" s="9">
        <v>1.0</v>
      </c>
      <c r="H557" s="9">
        <v>0.0</v>
      </c>
      <c r="I557" s="9">
        <v>0.0</v>
      </c>
      <c r="J557" s="17">
        <v>16390.0</v>
      </c>
      <c r="K557" s="18">
        <v>16373.3</v>
      </c>
      <c r="L557" s="17">
        <v>16390.0</v>
      </c>
      <c r="M557" s="18">
        <v>16390.0</v>
      </c>
      <c r="N557" s="18">
        <v>0.0</v>
      </c>
      <c r="O557" s="18">
        <v>1.266</v>
      </c>
      <c r="P557" s="4"/>
    </row>
    <row r="558">
      <c r="A558" s="8" t="s">
        <v>565</v>
      </c>
      <c r="B558" s="9">
        <v>35.0</v>
      </c>
      <c r="C558" s="9" t="s">
        <v>460</v>
      </c>
      <c r="D558" s="9">
        <v>50.0</v>
      </c>
      <c r="E558" s="10">
        <v>0.6</v>
      </c>
      <c r="F558" s="9">
        <v>1.0</v>
      </c>
      <c r="G558" s="9">
        <v>1.0</v>
      </c>
      <c r="H558" s="9">
        <v>0.0</v>
      </c>
      <c r="I558" s="9">
        <v>0.0</v>
      </c>
      <c r="J558" s="17">
        <v>-6977.0</v>
      </c>
      <c r="K558" s="18">
        <v>-7032.9</v>
      </c>
      <c r="L558" s="17">
        <v>-6984.0</v>
      </c>
      <c r="M558" s="18">
        <v>-6984.0</v>
      </c>
      <c r="N558" s="18">
        <v>0.0</v>
      </c>
      <c r="O558" s="18">
        <v>818.606</v>
      </c>
      <c r="P558" s="4"/>
    </row>
    <row r="559">
      <c r="A559" s="8" t="s">
        <v>566</v>
      </c>
      <c r="B559" s="9">
        <v>35.0</v>
      </c>
      <c r="C559" s="9" t="s">
        <v>460</v>
      </c>
      <c r="D559" s="9">
        <v>50.0</v>
      </c>
      <c r="E559" s="10">
        <v>0.6</v>
      </c>
      <c r="F559" s="9">
        <v>2.0</v>
      </c>
      <c r="G559" s="9">
        <v>1.0</v>
      </c>
      <c r="H559" s="9">
        <v>0.0</v>
      </c>
      <c r="I559" s="9">
        <v>0.0</v>
      </c>
      <c r="J559" s="17">
        <v>-6589.0</v>
      </c>
      <c r="K559" s="18">
        <v>-6670.35</v>
      </c>
      <c r="L559" s="17">
        <v>-6589.0</v>
      </c>
      <c r="M559" s="18">
        <v>-6589.0</v>
      </c>
      <c r="N559" s="18">
        <v>0.0</v>
      </c>
      <c r="O559" s="18">
        <v>1356.45</v>
      </c>
      <c r="P559" s="4"/>
    </row>
    <row r="560">
      <c r="A560" s="8" t="s">
        <v>567</v>
      </c>
      <c r="B560" s="9">
        <v>35.0</v>
      </c>
      <c r="C560" s="9" t="s">
        <v>460</v>
      </c>
      <c r="D560" s="9">
        <v>50.0</v>
      </c>
      <c r="E560" s="10">
        <v>0.6</v>
      </c>
      <c r="F560" s="9">
        <v>3.0</v>
      </c>
      <c r="G560" s="9">
        <v>1.0</v>
      </c>
      <c r="H560" s="9">
        <v>0.0</v>
      </c>
      <c r="I560" s="9">
        <v>0.0</v>
      </c>
      <c r="J560" s="17">
        <v>-6862.0</v>
      </c>
      <c r="K560" s="18">
        <v>-7181.22</v>
      </c>
      <c r="L560" s="17">
        <v>-7135.0</v>
      </c>
      <c r="M560" s="18">
        <v>-7135.0</v>
      </c>
      <c r="N560" s="18">
        <v>0.0</v>
      </c>
      <c r="O560" s="18">
        <v>590.781</v>
      </c>
      <c r="P560" s="4"/>
    </row>
    <row r="561">
      <c r="A561" s="8" t="s">
        <v>568</v>
      </c>
      <c r="B561" s="9">
        <v>35.0</v>
      </c>
      <c r="C561" s="9" t="s">
        <v>460</v>
      </c>
      <c r="D561" s="9">
        <v>50.0</v>
      </c>
      <c r="E561" s="10">
        <v>0.6</v>
      </c>
      <c r="F561" s="9">
        <v>4.0</v>
      </c>
      <c r="G561" s="9">
        <v>1.0</v>
      </c>
      <c r="H561" s="9">
        <v>0.0</v>
      </c>
      <c r="I561" s="9">
        <v>0.0</v>
      </c>
      <c r="J561" s="17">
        <v>-7233.0</v>
      </c>
      <c r="K561" s="18">
        <v>-7249.45</v>
      </c>
      <c r="L561" s="17">
        <v>-7233.0</v>
      </c>
      <c r="M561" s="18">
        <v>-7233.0</v>
      </c>
      <c r="N561" s="18">
        <v>0.0</v>
      </c>
      <c r="O561" s="18">
        <v>377.408</v>
      </c>
      <c r="P561" s="4"/>
    </row>
    <row r="562">
      <c r="A562" s="8" t="s">
        <v>569</v>
      </c>
      <c r="B562" s="9">
        <v>35.0</v>
      </c>
      <c r="C562" s="9" t="s">
        <v>460</v>
      </c>
      <c r="D562" s="9">
        <v>50.0</v>
      </c>
      <c r="E562" s="10">
        <v>0.6</v>
      </c>
      <c r="F562" s="9">
        <v>5.0</v>
      </c>
      <c r="G562" s="9">
        <v>1.0</v>
      </c>
      <c r="H562" s="9">
        <v>0.0</v>
      </c>
      <c r="I562" s="9">
        <v>0.0</v>
      </c>
      <c r="J562" s="17">
        <v>-7307.0</v>
      </c>
      <c r="K562" s="18">
        <v>-7307.0</v>
      </c>
      <c r="L562" s="17">
        <v>-7307.0</v>
      </c>
      <c r="M562" s="18">
        <v>-7307.0</v>
      </c>
      <c r="N562" s="18">
        <v>0.0</v>
      </c>
      <c r="O562" s="18">
        <v>114.877</v>
      </c>
      <c r="P562" s="4"/>
    </row>
    <row r="563">
      <c r="A563" s="8" t="s">
        <v>570</v>
      </c>
      <c r="B563" s="9">
        <v>35.0</v>
      </c>
      <c r="C563" s="9" t="s">
        <v>460</v>
      </c>
      <c r="D563" s="9">
        <v>50.0</v>
      </c>
      <c r="E563" s="10">
        <v>1.0</v>
      </c>
      <c r="F563" s="9">
        <v>1.0</v>
      </c>
      <c r="G563" s="9">
        <v>1.0</v>
      </c>
      <c r="H563" s="9">
        <v>0.0</v>
      </c>
      <c r="I563" s="9">
        <v>0.0</v>
      </c>
      <c r="J563" s="17">
        <v>-2525.0</v>
      </c>
      <c r="K563" s="18">
        <v>-2724.23</v>
      </c>
      <c r="L563" s="17">
        <v>-2592.0</v>
      </c>
      <c r="M563" s="18">
        <v>-2592.0</v>
      </c>
      <c r="N563" s="18">
        <v>0.0</v>
      </c>
      <c r="O563" s="18">
        <v>459.071</v>
      </c>
      <c r="P563" s="4"/>
    </row>
    <row r="564">
      <c r="A564" s="8" t="s">
        <v>571</v>
      </c>
      <c r="B564" s="9">
        <v>35.0</v>
      </c>
      <c r="C564" s="9" t="s">
        <v>460</v>
      </c>
      <c r="D564" s="9">
        <v>50.0</v>
      </c>
      <c r="E564" s="10">
        <v>1.0</v>
      </c>
      <c r="F564" s="9">
        <v>2.0</v>
      </c>
      <c r="G564" s="9">
        <v>1.0</v>
      </c>
      <c r="H564" s="9">
        <v>0.0</v>
      </c>
      <c r="I564" s="9">
        <v>0.0</v>
      </c>
      <c r="J564" s="17">
        <v>-2377.0</v>
      </c>
      <c r="K564" s="18">
        <v>-2568.43</v>
      </c>
      <c r="L564" s="17">
        <v>-2480.0</v>
      </c>
      <c r="M564" s="18">
        <v>-2480.0</v>
      </c>
      <c r="N564" s="18">
        <v>0.0</v>
      </c>
      <c r="O564" s="18">
        <v>200.703</v>
      </c>
      <c r="P564" s="4"/>
    </row>
    <row r="565">
      <c r="A565" s="8" t="s">
        <v>572</v>
      </c>
      <c r="B565" s="9">
        <v>35.0</v>
      </c>
      <c r="C565" s="9" t="s">
        <v>460</v>
      </c>
      <c r="D565" s="9">
        <v>50.0</v>
      </c>
      <c r="E565" s="10">
        <v>1.0</v>
      </c>
      <c r="F565" s="9">
        <v>3.0</v>
      </c>
      <c r="G565" s="9">
        <v>1.0</v>
      </c>
      <c r="H565" s="9">
        <v>0.0</v>
      </c>
      <c r="I565" s="9">
        <v>0.0</v>
      </c>
      <c r="J565" s="17">
        <v>-2514.0</v>
      </c>
      <c r="K565" s="18">
        <v>-2683.31</v>
      </c>
      <c r="L565" s="17">
        <v>-2593.0</v>
      </c>
      <c r="M565" s="18">
        <v>-2593.0</v>
      </c>
      <c r="N565" s="18">
        <v>0.0</v>
      </c>
      <c r="O565" s="18">
        <v>252.148</v>
      </c>
      <c r="P565" s="4"/>
    </row>
    <row r="566">
      <c r="A566" s="8" t="s">
        <v>573</v>
      </c>
      <c r="B566" s="9">
        <v>35.0</v>
      </c>
      <c r="C566" s="9" t="s">
        <v>460</v>
      </c>
      <c r="D566" s="9">
        <v>50.0</v>
      </c>
      <c r="E566" s="10">
        <v>1.0</v>
      </c>
      <c r="F566" s="9">
        <v>4.0</v>
      </c>
      <c r="G566" s="9">
        <v>1.0</v>
      </c>
      <c r="H566" s="9">
        <v>0.0</v>
      </c>
      <c r="I566" s="9">
        <v>0.0</v>
      </c>
      <c r="J566" s="17">
        <v>-1938.0</v>
      </c>
      <c r="K566" s="18">
        <v>-2652.55</v>
      </c>
      <c r="L566" s="17">
        <v>-2435.0</v>
      </c>
      <c r="M566" s="18">
        <v>-2435.0</v>
      </c>
      <c r="N566" s="18">
        <v>0.0</v>
      </c>
      <c r="O566" s="18">
        <v>2753.18</v>
      </c>
      <c r="P566" s="4"/>
    </row>
    <row r="567">
      <c r="A567" s="8" t="s">
        <v>574</v>
      </c>
      <c r="B567" s="9">
        <v>35.0</v>
      </c>
      <c r="C567" s="9" t="s">
        <v>460</v>
      </c>
      <c r="D567" s="9">
        <v>50.0</v>
      </c>
      <c r="E567" s="10">
        <v>1.0</v>
      </c>
      <c r="F567" s="9">
        <v>5.0</v>
      </c>
      <c r="G567" s="9">
        <v>1.0</v>
      </c>
      <c r="H567" s="9">
        <v>0.0</v>
      </c>
      <c r="I567" s="9">
        <v>0.0</v>
      </c>
      <c r="J567" s="17">
        <v>-2525.0</v>
      </c>
      <c r="K567" s="18">
        <v>-3056.33</v>
      </c>
      <c r="L567" s="17">
        <v>-3012.0</v>
      </c>
      <c r="M567" s="18">
        <v>-3012.0</v>
      </c>
      <c r="N567" s="18">
        <v>0.0</v>
      </c>
      <c r="O567" s="18">
        <v>104.795</v>
      </c>
      <c r="P567" s="4"/>
    </row>
    <row r="568">
      <c r="A568" s="8" t="s">
        <v>575</v>
      </c>
      <c r="B568" s="9">
        <v>35.0</v>
      </c>
      <c r="C568" s="9" t="s">
        <v>460</v>
      </c>
      <c r="D568" s="9">
        <v>50.0</v>
      </c>
      <c r="E568" s="10">
        <v>2.0</v>
      </c>
      <c r="F568" s="9">
        <v>1.0</v>
      </c>
      <c r="G568" s="9">
        <v>1.0</v>
      </c>
      <c r="H568" s="9">
        <v>0.0</v>
      </c>
      <c r="I568" s="9">
        <v>0.0</v>
      </c>
      <c r="J568" s="17">
        <v>35017.0</v>
      </c>
      <c r="K568" s="18">
        <v>34803.3</v>
      </c>
      <c r="L568" s="17">
        <v>34944.0</v>
      </c>
      <c r="M568" s="18">
        <v>34944.0</v>
      </c>
      <c r="N568" s="18">
        <v>0.0</v>
      </c>
      <c r="O568" s="18">
        <v>13.133</v>
      </c>
      <c r="P568" s="4"/>
    </row>
    <row r="569">
      <c r="A569" s="8" t="s">
        <v>576</v>
      </c>
      <c r="B569" s="9">
        <v>35.0</v>
      </c>
      <c r="C569" s="9" t="s">
        <v>460</v>
      </c>
      <c r="D569" s="9">
        <v>50.0</v>
      </c>
      <c r="E569" s="10">
        <v>2.0</v>
      </c>
      <c r="F569" s="9">
        <v>2.0</v>
      </c>
      <c r="G569" s="9">
        <v>1.0</v>
      </c>
      <c r="H569" s="9">
        <v>0.0</v>
      </c>
      <c r="I569" s="9">
        <v>0.0</v>
      </c>
      <c r="J569" s="17">
        <v>33090.0</v>
      </c>
      <c r="K569" s="18">
        <v>32995.7</v>
      </c>
      <c r="L569" s="17">
        <v>33016.0</v>
      </c>
      <c r="M569" s="18">
        <v>33016.0</v>
      </c>
      <c r="N569" s="18">
        <v>0.0</v>
      </c>
      <c r="O569" s="18">
        <v>0.808</v>
      </c>
      <c r="P569" s="4"/>
    </row>
    <row r="570">
      <c r="A570" s="8" t="s">
        <v>577</v>
      </c>
      <c r="B570" s="9">
        <v>35.0</v>
      </c>
      <c r="C570" s="9" t="s">
        <v>460</v>
      </c>
      <c r="D570" s="9">
        <v>50.0</v>
      </c>
      <c r="E570" s="10">
        <v>2.0</v>
      </c>
      <c r="F570" s="9">
        <v>3.0</v>
      </c>
      <c r="G570" s="9">
        <v>1.0</v>
      </c>
      <c r="H570" s="9">
        <v>0.0</v>
      </c>
      <c r="I570" s="9">
        <v>0.0</v>
      </c>
      <c r="J570" s="17">
        <v>36257.0</v>
      </c>
      <c r="K570" s="18">
        <v>36096.2</v>
      </c>
      <c r="L570" s="17">
        <v>36237.0</v>
      </c>
      <c r="M570" s="18">
        <v>36237.0</v>
      </c>
      <c r="N570" s="18">
        <v>0.0</v>
      </c>
      <c r="O570" s="18">
        <v>28.652</v>
      </c>
      <c r="P570" s="4"/>
    </row>
    <row r="571">
      <c r="A571" s="8" t="s">
        <v>578</v>
      </c>
      <c r="B571" s="9">
        <v>35.0</v>
      </c>
      <c r="C571" s="9" t="s">
        <v>460</v>
      </c>
      <c r="D571" s="9">
        <v>50.0</v>
      </c>
      <c r="E571" s="10">
        <v>2.0</v>
      </c>
      <c r="F571" s="9">
        <v>4.0</v>
      </c>
      <c r="G571" s="9">
        <v>1.0</v>
      </c>
      <c r="H571" s="9">
        <v>0.0</v>
      </c>
      <c r="I571" s="9">
        <v>0.0</v>
      </c>
      <c r="J571" s="17">
        <v>36735.0</v>
      </c>
      <c r="K571" s="18">
        <v>36230.7</v>
      </c>
      <c r="L571" s="17">
        <v>36423.0</v>
      </c>
      <c r="M571" s="18">
        <v>36423.0</v>
      </c>
      <c r="N571" s="18">
        <v>0.0</v>
      </c>
      <c r="O571" s="18">
        <v>23.528</v>
      </c>
      <c r="P571" s="4"/>
    </row>
    <row r="572">
      <c r="A572" s="8" t="s">
        <v>579</v>
      </c>
      <c r="B572" s="9">
        <v>35.0</v>
      </c>
      <c r="C572" s="9" t="s">
        <v>460</v>
      </c>
      <c r="D572" s="9">
        <v>50.0</v>
      </c>
      <c r="E572" s="10">
        <v>2.0</v>
      </c>
      <c r="F572" s="9">
        <v>5.0</v>
      </c>
      <c r="G572" s="9">
        <v>1.0</v>
      </c>
      <c r="H572" s="9">
        <v>0.0</v>
      </c>
      <c r="I572" s="9">
        <v>0.0</v>
      </c>
      <c r="J572" s="17">
        <v>34023.0</v>
      </c>
      <c r="K572" s="18">
        <v>34023.0</v>
      </c>
      <c r="L572" s="17">
        <v>34023.0</v>
      </c>
      <c r="M572" s="18">
        <v>34023.0</v>
      </c>
      <c r="N572" s="18">
        <v>0.0</v>
      </c>
      <c r="O572" s="18">
        <v>0.764</v>
      </c>
      <c r="P572" s="4"/>
    </row>
    <row r="573">
      <c r="A573" s="8" t="s">
        <v>580</v>
      </c>
      <c r="B573" s="9">
        <v>35.0</v>
      </c>
      <c r="C573" s="9" t="s">
        <v>460</v>
      </c>
      <c r="D573" s="9">
        <v>75.0</v>
      </c>
      <c r="E573" s="10">
        <v>0.6</v>
      </c>
      <c r="F573" s="9">
        <v>1.0</v>
      </c>
      <c r="G573" s="9">
        <v>0.0</v>
      </c>
      <c r="H573" s="9">
        <v>1.0</v>
      </c>
      <c r="I573" s="9">
        <v>0.0</v>
      </c>
      <c r="J573" s="17">
        <v>-9267.0</v>
      </c>
      <c r="K573" s="18">
        <v>-9618.32</v>
      </c>
      <c r="L573" s="17">
        <v>-9267.0</v>
      </c>
      <c r="M573" s="18">
        <v>-9496.88</v>
      </c>
      <c r="N573" s="18">
        <v>2.4806</v>
      </c>
      <c r="O573" s="18">
        <v>3600.0</v>
      </c>
      <c r="P573" s="4"/>
    </row>
    <row r="574">
      <c r="A574" s="8" t="s">
        <v>581</v>
      </c>
      <c r="B574" s="9">
        <v>35.0</v>
      </c>
      <c r="C574" s="9" t="s">
        <v>460</v>
      </c>
      <c r="D574" s="9">
        <v>75.0</v>
      </c>
      <c r="E574" s="10">
        <v>0.6</v>
      </c>
      <c r="F574" s="9">
        <v>2.0</v>
      </c>
      <c r="G574" s="9">
        <v>1.0</v>
      </c>
      <c r="H574" s="9">
        <v>0.0</v>
      </c>
      <c r="I574" s="9">
        <v>0.0</v>
      </c>
      <c r="J574" s="17">
        <v>-9369.0</v>
      </c>
      <c r="K574" s="18">
        <v>-9706.68</v>
      </c>
      <c r="L574" s="17">
        <v>-9604.0</v>
      </c>
      <c r="M574" s="18">
        <v>-9604.0</v>
      </c>
      <c r="N574" s="18">
        <v>0.0</v>
      </c>
      <c r="O574" s="18">
        <v>2072.58</v>
      </c>
      <c r="P574" s="4"/>
    </row>
    <row r="575">
      <c r="A575" s="8" t="s">
        <v>582</v>
      </c>
      <c r="B575" s="9">
        <v>35.0</v>
      </c>
      <c r="C575" s="9" t="s">
        <v>460</v>
      </c>
      <c r="D575" s="9">
        <v>75.0</v>
      </c>
      <c r="E575" s="10">
        <v>0.6</v>
      </c>
      <c r="F575" s="9">
        <v>3.0</v>
      </c>
      <c r="G575" s="9">
        <v>1.0</v>
      </c>
      <c r="H575" s="9">
        <v>0.0</v>
      </c>
      <c r="I575" s="9">
        <v>0.0</v>
      </c>
      <c r="J575" s="17">
        <v>-9116.0</v>
      </c>
      <c r="K575" s="18">
        <v>-9419.0</v>
      </c>
      <c r="L575" s="17">
        <v>-9368.0</v>
      </c>
      <c r="M575" s="18">
        <v>-9368.0</v>
      </c>
      <c r="N575" s="18">
        <v>0.0</v>
      </c>
      <c r="O575" s="18">
        <v>765.257</v>
      </c>
      <c r="P575" s="4"/>
    </row>
    <row r="576">
      <c r="A576" s="8" t="s">
        <v>583</v>
      </c>
      <c r="B576" s="9">
        <v>35.0</v>
      </c>
      <c r="C576" s="9" t="s">
        <v>460</v>
      </c>
      <c r="D576" s="9">
        <v>75.0</v>
      </c>
      <c r="E576" s="10">
        <v>0.6</v>
      </c>
      <c r="F576" s="9">
        <v>4.0</v>
      </c>
      <c r="G576" s="9">
        <v>1.0</v>
      </c>
      <c r="H576" s="9">
        <v>0.0</v>
      </c>
      <c r="I576" s="9">
        <v>0.0</v>
      </c>
      <c r="J576" s="17">
        <v>-9786.0</v>
      </c>
      <c r="K576" s="18">
        <v>-9786.0</v>
      </c>
      <c r="L576" s="17">
        <v>-9786.0</v>
      </c>
      <c r="M576" s="18">
        <v>-9786.0</v>
      </c>
      <c r="N576" s="18">
        <v>0.0</v>
      </c>
      <c r="O576" s="18">
        <v>279.742</v>
      </c>
      <c r="P576" s="4"/>
    </row>
    <row r="577">
      <c r="A577" s="8" t="s">
        <v>584</v>
      </c>
      <c r="B577" s="9">
        <v>35.0</v>
      </c>
      <c r="C577" s="9" t="s">
        <v>460</v>
      </c>
      <c r="D577" s="9">
        <v>75.0</v>
      </c>
      <c r="E577" s="10">
        <v>0.6</v>
      </c>
      <c r="F577" s="9">
        <v>5.0</v>
      </c>
      <c r="G577" s="9">
        <v>1.0</v>
      </c>
      <c r="H577" s="9">
        <v>0.0</v>
      </c>
      <c r="I577" s="9">
        <v>0.0</v>
      </c>
      <c r="J577" s="17">
        <v>-9497.0</v>
      </c>
      <c r="K577" s="18">
        <v>-9949.09</v>
      </c>
      <c r="L577" s="17">
        <v>-9890.0</v>
      </c>
      <c r="M577" s="18">
        <v>-9890.0</v>
      </c>
      <c r="N577" s="18">
        <v>0.0</v>
      </c>
      <c r="O577" s="18">
        <v>1410.95</v>
      </c>
      <c r="P577" s="4"/>
    </row>
    <row r="578">
      <c r="A578" s="8" t="s">
        <v>585</v>
      </c>
      <c r="B578" s="9">
        <v>35.0</v>
      </c>
      <c r="C578" s="9" t="s">
        <v>460</v>
      </c>
      <c r="D578" s="9">
        <v>75.0</v>
      </c>
      <c r="E578" s="10">
        <v>1.0</v>
      </c>
      <c r="F578" s="9">
        <v>1.0</v>
      </c>
      <c r="G578" s="9">
        <v>1.0</v>
      </c>
      <c r="H578" s="9">
        <v>0.0</v>
      </c>
      <c r="I578" s="9">
        <v>0.0</v>
      </c>
      <c r="J578" s="17">
        <v>-1688.0</v>
      </c>
      <c r="K578" s="18">
        <v>-2845.7</v>
      </c>
      <c r="L578" s="17">
        <v>-2580.0</v>
      </c>
      <c r="M578" s="18">
        <v>-2580.0</v>
      </c>
      <c r="N578" s="18">
        <v>0.0</v>
      </c>
      <c r="O578" s="18">
        <v>3141.5</v>
      </c>
      <c r="P578" s="4"/>
    </row>
    <row r="579">
      <c r="A579" s="8" t="s">
        <v>586</v>
      </c>
      <c r="B579" s="9">
        <v>35.0</v>
      </c>
      <c r="C579" s="9" t="s">
        <v>460</v>
      </c>
      <c r="D579" s="9">
        <v>75.0</v>
      </c>
      <c r="E579" s="10">
        <v>1.0</v>
      </c>
      <c r="F579" s="9">
        <v>2.0</v>
      </c>
      <c r="G579" s="9">
        <v>1.0</v>
      </c>
      <c r="H579" s="9">
        <v>0.0</v>
      </c>
      <c r="I579" s="9">
        <v>0.0</v>
      </c>
      <c r="J579" s="17">
        <v>-2761.0</v>
      </c>
      <c r="K579" s="18">
        <v>-3028.96</v>
      </c>
      <c r="L579" s="17">
        <v>-2866.0</v>
      </c>
      <c r="M579" s="18">
        <v>-2866.0</v>
      </c>
      <c r="N579" s="18">
        <v>0.0</v>
      </c>
      <c r="O579" s="18">
        <v>919.541</v>
      </c>
      <c r="P579" s="4"/>
    </row>
    <row r="580">
      <c r="A580" s="8" t="s">
        <v>587</v>
      </c>
      <c r="B580" s="9">
        <v>35.0</v>
      </c>
      <c r="C580" s="9" t="s">
        <v>460</v>
      </c>
      <c r="D580" s="9">
        <v>75.0</v>
      </c>
      <c r="E580" s="10">
        <v>1.0</v>
      </c>
      <c r="F580" s="9">
        <v>3.0</v>
      </c>
      <c r="G580" s="9">
        <v>1.0</v>
      </c>
      <c r="H580" s="9">
        <v>0.0</v>
      </c>
      <c r="I580" s="9">
        <v>0.0</v>
      </c>
      <c r="J580" s="17">
        <v>-2690.0</v>
      </c>
      <c r="K580" s="18">
        <v>-3178.29</v>
      </c>
      <c r="L580" s="17">
        <v>-2985.0</v>
      </c>
      <c r="M580" s="18">
        <v>-2985.0</v>
      </c>
      <c r="N580" s="18">
        <v>0.0</v>
      </c>
      <c r="O580" s="18">
        <v>1439.01</v>
      </c>
      <c r="P580" s="4"/>
    </row>
    <row r="581">
      <c r="A581" s="8" t="s">
        <v>588</v>
      </c>
      <c r="B581" s="9">
        <v>35.0</v>
      </c>
      <c r="C581" s="9" t="s">
        <v>460</v>
      </c>
      <c r="D581" s="9">
        <v>75.0</v>
      </c>
      <c r="E581" s="10">
        <v>1.0</v>
      </c>
      <c r="F581" s="9">
        <v>4.0</v>
      </c>
      <c r="G581" s="9">
        <v>1.0</v>
      </c>
      <c r="H581" s="9">
        <v>0.0</v>
      </c>
      <c r="I581" s="9">
        <v>0.0</v>
      </c>
      <c r="J581" s="17">
        <v>-1827.0</v>
      </c>
      <c r="K581" s="18">
        <v>-2885.5</v>
      </c>
      <c r="L581" s="17">
        <v>-2721.0</v>
      </c>
      <c r="M581" s="18">
        <v>-2721.0</v>
      </c>
      <c r="N581" s="18">
        <v>0.0</v>
      </c>
      <c r="O581" s="18">
        <v>1156.91</v>
      </c>
      <c r="P581" s="4"/>
    </row>
    <row r="582">
      <c r="A582" s="8" t="s">
        <v>589</v>
      </c>
      <c r="B582" s="9">
        <v>35.0</v>
      </c>
      <c r="C582" s="9" t="s">
        <v>460</v>
      </c>
      <c r="D582" s="9">
        <v>75.0</v>
      </c>
      <c r="E582" s="10">
        <v>1.0</v>
      </c>
      <c r="F582" s="9">
        <v>5.0</v>
      </c>
      <c r="G582" s="9">
        <v>1.0</v>
      </c>
      <c r="H582" s="9">
        <v>0.0</v>
      </c>
      <c r="I582" s="9">
        <v>0.0</v>
      </c>
      <c r="J582" s="17">
        <v>-1832.0</v>
      </c>
      <c r="K582" s="18">
        <v>-2856.83</v>
      </c>
      <c r="L582" s="17">
        <v>-2712.0</v>
      </c>
      <c r="M582" s="18">
        <v>-2712.0</v>
      </c>
      <c r="N582" s="18">
        <v>0.0</v>
      </c>
      <c r="O582" s="18">
        <v>468.621</v>
      </c>
      <c r="P582" s="4"/>
    </row>
    <row r="583">
      <c r="A583" s="8" t="s">
        <v>590</v>
      </c>
      <c r="B583" s="9">
        <v>35.0</v>
      </c>
      <c r="C583" s="9" t="s">
        <v>460</v>
      </c>
      <c r="D583" s="9">
        <v>75.0</v>
      </c>
      <c r="E583" s="10">
        <v>2.0</v>
      </c>
      <c r="F583" s="9">
        <v>1.0</v>
      </c>
      <c r="G583" s="9">
        <v>1.0</v>
      </c>
      <c r="H583" s="9">
        <v>0.0</v>
      </c>
      <c r="I583" s="9">
        <v>0.0</v>
      </c>
      <c r="J583" s="17">
        <v>54798.0</v>
      </c>
      <c r="K583" s="18">
        <v>54667.8</v>
      </c>
      <c r="L583" s="17">
        <v>54722.0</v>
      </c>
      <c r="M583" s="18">
        <v>54722.0</v>
      </c>
      <c r="N583" s="18">
        <v>0.0</v>
      </c>
      <c r="O583" s="18">
        <v>2.321</v>
      </c>
      <c r="P583" s="4"/>
    </row>
    <row r="584">
      <c r="A584" s="8" t="s">
        <v>591</v>
      </c>
      <c r="B584" s="9">
        <v>35.0</v>
      </c>
      <c r="C584" s="9" t="s">
        <v>460</v>
      </c>
      <c r="D584" s="9">
        <v>75.0</v>
      </c>
      <c r="E584" s="10">
        <v>2.0</v>
      </c>
      <c r="F584" s="9">
        <v>2.0</v>
      </c>
      <c r="G584" s="9">
        <v>1.0</v>
      </c>
      <c r="H584" s="9">
        <v>0.0</v>
      </c>
      <c r="I584" s="9">
        <v>0.0</v>
      </c>
      <c r="J584" s="17">
        <v>53522.0</v>
      </c>
      <c r="K584" s="18">
        <v>53349.2</v>
      </c>
      <c r="L584" s="17">
        <v>53411.0</v>
      </c>
      <c r="M584" s="18">
        <v>53411.0</v>
      </c>
      <c r="N584" s="18">
        <v>0.0</v>
      </c>
      <c r="O584" s="18">
        <v>2.085</v>
      </c>
      <c r="P584" s="4"/>
    </row>
    <row r="585">
      <c r="A585" s="8" t="s">
        <v>592</v>
      </c>
      <c r="B585" s="9">
        <v>35.0</v>
      </c>
      <c r="C585" s="9" t="s">
        <v>460</v>
      </c>
      <c r="D585" s="9">
        <v>75.0</v>
      </c>
      <c r="E585" s="10">
        <v>2.0</v>
      </c>
      <c r="F585" s="9">
        <v>3.0</v>
      </c>
      <c r="G585" s="9">
        <v>1.0</v>
      </c>
      <c r="H585" s="9">
        <v>0.0</v>
      </c>
      <c r="I585" s="9">
        <v>0.0</v>
      </c>
      <c r="J585" s="17">
        <v>50045.0</v>
      </c>
      <c r="K585" s="18">
        <v>50045.0</v>
      </c>
      <c r="L585" s="17">
        <v>50045.0</v>
      </c>
      <c r="M585" s="18">
        <v>50045.0</v>
      </c>
      <c r="N585" s="18">
        <v>0.0</v>
      </c>
      <c r="O585" s="18">
        <v>0.502</v>
      </c>
      <c r="P585" s="4"/>
    </row>
    <row r="586">
      <c r="A586" s="8" t="s">
        <v>593</v>
      </c>
      <c r="B586" s="9">
        <v>35.0</v>
      </c>
      <c r="C586" s="9" t="s">
        <v>460</v>
      </c>
      <c r="D586" s="9">
        <v>75.0</v>
      </c>
      <c r="E586" s="10">
        <v>2.0</v>
      </c>
      <c r="F586" s="9">
        <v>4.0</v>
      </c>
      <c r="G586" s="9">
        <v>1.0</v>
      </c>
      <c r="H586" s="9">
        <v>0.0</v>
      </c>
      <c r="I586" s="9">
        <v>0.0</v>
      </c>
      <c r="J586" s="17">
        <v>55084.0</v>
      </c>
      <c r="K586" s="18">
        <v>55010.1</v>
      </c>
      <c r="L586" s="17">
        <v>55084.0</v>
      </c>
      <c r="M586" s="18">
        <v>55084.0</v>
      </c>
      <c r="N586" s="18">
        <v>0.0</v>
      </c>
      <c r="O586" s="18">
        <v>3.714</v>
      </c>
      <c r="P586" s="4"/>
    </row>
    <row r="587">
      <c r="A587" s="8" t="s">
        <v>594</v>
      </c>
      <c r="B587" s="9">
        <v>35.0</v>
      </c>
      <c r="C587" s="9" t="s">
        <v>460</v>
      </c>
      <c r="D587" s="9">
        <v>75.0</v>
      </c>
      <c r="E587" s="10">
        <v>2.0</v>
      </c>
      <c r="F587" s="9">
        <v>5.0</v>
      </c>
      <c r="G587" s="9">
        <v>1.0</v>
      </c>
      <c r="H587" s="9">
        <v>0.0</v>
      </c>
      <c r="I587" s="9">
        <v>0.0</v>
      </c>
      <c r="J587" s="17">
        <v>57029.0</v>
      </c>
      <c r="K587" s="18">
        <v>56873.7</v>
      </c>
      <c r="L587" s="17">
        <v>56987.0</v>
      </c>
      <c r="M587" s="18">
        <v>56987.0</v>
      </c>
      <c r="N587" s="18">
        <v>0.0</v>
      </c>
      <c r="O587" s="18">
        <v>12.157</v>
      </c>
      <c r="P587" s="4"/>
    </row>
    <row r="588">
      <c r="A588" s="8" t="s">
        <v>595</v>
      </c>
      <c r="B588" s="9">
        <v>40.0</v>
      </c>
      <c r="C588" s="9" t="s">
        <v>460</v>
      </c>
      <c r="D588" s="9">
        <v>25.0</v>
      </c>
      <c r="E588" s="10">
        <v>0.6</v>
      </c>
      <c r="F588" s="9">
        <v>1.0</v>
      </c>
      <c r="G588" s="9">
        <v>1.0</v>
      </c>
      <c r="H588" s="9">
        <v>0.0</v>
      </c>
      <c r="I588" s="9">
        <v>0.0</v>
      </c>
      <c r="J588" s="17">
        <v>-5261.0</v>
      </c>
      <c r="K588" s="18">
        <v>-5261.0</v>
      </c>
      <c r="L588" s="17">
        <v>-5261.0</v>
      </c>
      <c r="M588" s="18">
        <v>-5261.0</v>
      </c>
      <c r="N588" s="18">
        <v>0.0</v>
      </c>
      <c r="O588" s="18">
        <v>138.634</v>
      </c>
      <c r="P588" s="4"/>
    </row>
    <row r="589">
      <c r="A589" s="8" t="s">
        <v>596</v>
      </c>
      <c r="B589" s="9">
        <v>40.0</v>
      </c>
      <c r="C589" s="9" t="s">
        <v>460</v>
      </c>
      <c r="D589" s="9">
        <v>25.0</v>
      </c>
      <c r="E589" s="10">
        <v>0.6</v>
      </c>
      <c r="F589" s="9">
        <v>2.0</v>
      </c>
      <c r="G589" s="9">
        <v>0.0</v>
      </c>
      <c r="H589" s="9">
        <v>1.0</v>
      </c>
      <c r="I589" s="9">
        <v>0.0</v>
      </c>
      <c r="J589" s="17">
        <v>-5361.0</v>
      </c>
      <c r="K589" s="18">
        <v>-5475.44</v>
      </c>
      <c r="L589" s="17">
        <v>-5361.0</v>
      </c>
      <c r="M589" s="18">
        <v>-5376.6</v>
      </c>
      <c r="N589" s="18">
        <v>0.29099</v>
      </c>
      <c r="O589" s="18">
        <v>3600.0</v>
      </c>
      <c r="P589" s="4"/>
    </row>
    <row r="590">
      <c r="A590" s="8" t="s">
        <v>597</v>
      </c>
      <c r="B590" s="9">
        <v>40.0</v>
      </c>
      <c r="C590" s="9" t="s">
        <v>460</v>
      </c>
      <c r="D590" s="9">
        <v>25.0</v>
      </c>
      <c r="E590" s="10">
        <v>0.6</v>
      </c>
      <c r="F590" s="9">
        <v>3.0</v>
      </c>
      <c r="G590" s="9">
        <v>1.0</v>
      </c>
      <c r="H590" s="9">
        <v>0.0</v>
      </c>
      <c r="I590" s="9">
        <v>0.0</v>
      </c>
      <c r="J590" s="17">
        <v>-5866.0</v>
      </c>
      <c r="K590" s="18">
        <v>-5970.75</v>
      </c>
      <c r="L590" s="17">
        <v>-5897.0</v>
      </c>
      <c r="M590" s="18">
        <v>-5897.0</v>
      </c>
      <c r="N590" s="18">
        <v>0.0</v>
      </c>
      <c r="O590" s="18">
        <v>2296.1</v>
      </c>
      <c r="P590" s="4"/>
    </row>
    <row r="591">
      <c r="A591" s="8" t="s">
        <v>598</v>
      </c>
      <c r="B591" s="9">
        <v>40.0</v>
      </c>
      <c r="C591" s="9" t="s">
        <v>460</v>
      </c>
      <c r="D591" s="9">
        <v>25.0</v>
      </c>
      <c r="E591" s="10">
        <v>0.6</v>
      </c>
      <c r="F591" s="9">
        <v>4.0</v>
      </c>
      <c r="G591" s="9">
        <v>1.0</v>
      </c>
      <c r="H591" s="9">
        <v>0.0</v>
      </c>
      <c r="I591" s="9">
        <v>0.0</v>
      </c>
      <c r="J591" s="17">
        <v>-6008.0</v>
      </c>
      <c r="K591" s="18">
        <v>-6100.78</v>
      </c>
      <c r="L591" s="17">
        <v>-6075.0</v>
      </c>
      <c r="M591" s="18">
        <v>-6075.0</v>
      </c>
      <c r="N591" s="18">
        <v>0.0</v>
      </c>
      <c r="O591" s="18">
        <v>672.097</v>
      </c>
      <c r="P591" s="4"/>
    </row>
    <row r="592">
      <c r="A592" s="8" t="s">
        <v>599</v>
      </c>
      <c r="B592" s="9">
        <v>40.0</v>
      </c>
      <c r="C592" s="9" t="s">
        <v>460</v>
      </c>
      <c r="D592" s="9">
        <v>25.0</v>
      </c>
      <c r="E592" s="10">
        <v>0.6</v>
      </c>
      <c r="F592" s="9">
        <v>5.0</v>
      </c>
      <c r="G592" s="9">
        <v>1.0</v>
      </c>
      <c r="H592" s="9">
        <v>0.0</v>
      </c>
      <c r="I592" s="9">
        <v>0.0</v>
      </c>
      <c r="J592" s="17">
        <v>-5391.0</v>
      </c>
      <c r="K592" s="18">
        <v>-5421.49</v>
      </c>
      <c r="L592" s="17">
        <v>-5391.0</v>
      </c>
      <c r="M592" s="18">
        <v>-5391.0</v>
      </c>
      <c r="N592" s="18">
        <v>0.0</v>
      </c>
      <c r="O592" s="18">
        <v>580.747</v>
      </c>
      <c r="P592" s="4"/>
    </row>
    <row r="593">
      <c r="A593" s="8" t="s">
        <v>600</v>
      </c>
      <c r="B593" s="9">
        <v>40.0</v>
      </c>
      <c r="C593" s="9" t="s">
        <v>460</v>
      </c>
      <c r="D593" s="9">
        <v>25.0</v>
      </c>
      <c r="E593" s="10">
        <v>1.0</v>
      </c>
      <c r="F593" s="9">
        <v>1.0</v>
      </c>
      <c r="G593" s="9">
        <v>1.0</v>
      </c>
      <c r="H593" s="9">
        <v>0.0</v>
      </c>
      <c r="I593" s="9">
        <v>0.0</v>
      </c>
      <c r="J593" s="17">
        <v>-2989.0</v>
      </c>
      <c r="K593" s="18">
        <v>-3097.82</v>
      </c>
      <c r="L593" s="17">
        <v>-2989.0</v>
      </c>
      <c r="M593" s="18">
        <v>-2989.0</v>
      </c>
      <c r="N593" s="18">
        <v>0.0</v>
      </c>
      <c r="O593" s="18">
        <v>765.751</v>
      </c>
      <c r="P593" s="4"/>
    </row>
    <row r="594">
      <c r="A594" s="8" t="s">
        <v>601</v>
      </c>
      <c r="B594" s="9">
        <v>40.0</v>
      </c>
      <c r="C594" s="9" t="s">
        <v>460</v>
      </c>
      <c r="D594" s="9">
        <v>25.0</v>
      </c>
      <c r="E594" s="10">
        <v>1.0</v>
      </c>
      <c r="F594" s="9">
        <v>2.0</v>
      </c>
      <c r="G594" s="9">
        <v>0.0</v>
      </c>
      <c r="H594" s="9">
        <v>1.0</v>
      </c>
      <c r="I594" s="9">
        <v>0.0</v>
      </c>
      <c r="J594" s="17">
        <v>-2900.0</v>
      </c>
      <c r="K594" s="18">
        <v>-3195.69</v>
      </c>
      <c r="L594" s="17">
        <v>-2900.0</v>
      </c>
      <c r="M594" s="18">
        <v>-3038.0</v>
      </c>
      <c r="N594" s="18">
        <v>4.75862</v>
      </c>
      <c r="O594" s="18">
        <v>3600.0</v>
      </c>
      <c r="P594" s="4"/>
    </row>
    <row r="595">
      <c r="A595" s="8" t="s">
        <v>602</v>
      </c>
      <c r="B595" s="9">
        <v>40.0</v>
      </c>
      <c r="C595" s="9" t="s">
        <v>460</v>
      </c>
      <c r="D595" s="9">
        <v>25.0</v>
      </c>
      <c r="E595" s="10">
        <v>1.0</v>
      </c>
      <c r="F595" s="9">
        <v>3.0</v>
      </c>
      <c r="G595" s="9">
        <v>1.0</v>
      </c>
      <c r="H595" s="9">
        <v>0.0</v>
      </c>
      <c r="I595" s="9">
        <v>0.0</v>
      </c>
      <c r="J595" s="17">
        <v>-3243.0</v>
      </c>
      <c r="K595" s="18">
        <v>-3456.94</v>
      </c>
      <c r="L595" s="17">
        <v>-3372.0</v>
      </c>
      <c r="M595" s="18">
        <v>-3372.0</v>
      </c>
      <c r="N595" s="18">
        <v>0.0</v>
      </c>
      <c r="O595" s="18">
        <v>814.261</v>
      </c>
      <c r="P595" s="4"/>
    </row>
    <row r="596">
      <c r="A596" s="8" t="s">
        <v>603</v>
      </c>
      <c r="B596" s="9">
        <v>40.0</v>
      </c>
      <c r="C596" s="9" t="s">
        <v>460</v>
      </c>
      <c r="D596" s="9">
        <v>25.0</v>
      </c>
      <c r="E596" s="10">
        <v>1.0</v>
      </c>
      <c r="F596" s="9">
        <v>4.0</v>
      </c>
      <c r="G596" s="9">
        <v>1.0</v>
      </c>
      <c r="H596" s="9">
        <v>0.0</v>
      </c>
      <c r="I596" s="9">
        <v>0.0</v>
      </c>
      <c r="J596" s="17">
        <v>-3153.0</v>
      </c>
      <c r="K596" s="18">
        <v>-3465.82</v>
      </c>
      <c r="L596" s="17">
        <v>-3339.0</v>
      </c>
      <c r="M596" s="18">
        <v>-3339.0</v>
      </c>
      <c r="N596" s="18">
        <v>0.0</v>
      </c>
      <c r="O596" s="18">
        <v>1941.43</v>
      </c>
      <c r="P596" s="4"/>
    </row>
    <row r="597">
      <c r="A597" s="8" t="s">
        <v>604</v>
      </c>
      <c r="B597" s="9">
        <v>40.0</v>
      </c>
      <c r="C597" s="9" t="s">
        <v>460</v>
      </c>
      <c r="D597" s="9">
        <v>25.0</v>
      </c>
      <c r="E597" s="10">
        <v>1.0</v>
      </c>
      <c r="F597" s="9">
        <v>5.0</v>
      </c>
      <c r="G597" s="9">
        <v>1.0</v>
      </c>
      <c r="H597" s="9">
        <v>0.0</v>
      </c>
      <c r="I597" s="9">
        <v>0.0</v>
      </c>
      <c r="J597" s="17">
        <v>-2974.0</v>
      </c>
      <c r="K597" s="18">
        <v>-3192.23</v>
      </c>
      <c r="L597" s="17">
        <v>-3061.0</v>
      </c>
      <c r="M597" s="18">
        <v>-3061.0</v>
      </c>
      <c r="N597" s="18">
        <v>0.0</v>
      </c>
      <c r="O597" s="18">
        <v>3346.19</v>
      </c>
      <c r="P597" s="4"/>
    </row>
    <row r="598">
      <c r="A598" s="8" t="s">
        <v>605</v>
      </c>
      <c r="B598" s="9">
        <v>40.0</v>
      </c>
      <c r="C598" s="9" t="s">
        <v>460</v>
      </c>
      <c r="D598" s="9">
        <v>25.0</v>
      </c>
      <c r="E598" s="10">
        <v>2.0</v>
      </c>
      <c r="F598" s="9">
        <v>1.0</v>
      </c>
      <c r="G598" s="9">
        <v>1.0</v>
      </c>
      <c r="H598" s="9">
        <v>0.0</v>
      </c>
      <c r="I598" s="9">
        <v>0.0</v>
      </c>
      <c r="J598" s="17">
        <v>14690.0</v>
      </c>
      <c r="K598" s="18">
        <v>14656.9</v>
      </c>
      <c r="L598" s="17">
        <v>14690.0</v>
      </c>
      <c r="M598" s="18">
        <v>14690.0</v>
      </c>
      <c r="N598" s="18">
        <v>0.0</v>
      </c>
      <c r="O598" s="18">
        <v>5.535</v>
      </c>
      <c r="P598" s="4"/>
    </row>
    <row r="599">
      <c r="A599" s="8" t="s">
        <v>606</v>
      </c>
      <c r="B599" s="9">
        <v>40.0</v>
      </c>
      <c r="C599" s="9" t="s">
        <v>460</v>
      </c>
      <c r="D599" s="9">
        <v>25.0</v>
      </c>
      <c r="E599" s="10">
        <v>2.0</v>
      </c>
      <c r="F599" s="9">
        <v>2.0</v>
      </c>
      <c r="G599" s="9">
        <v>1.0</v>
      </c>
      <c r="H599" s="9">
        <v>0.0</v>
      </c>
      <c r="I599" s="9">
        <v>0.0</v>
      </c>
      <c r="J599" s="17">
        <v>16044.0</v>
      </c>
      <c r="K599" s="18">
        <v>16021.7</v>
      </c>
      <c r="L599" s="17">
        <v>16044.0</v>
      </c>
      <c r="M599" s="18">
        <v>16044.0</v>
      </c>
      <c r="N599" s="18">
        <v>0.0</v>
      </c>
      <c r="O599" s="18">
        <v>6.256</v>
      </c>
      <c r="P599" s="4"/>
    </row>
    <row r="600">
      <c r="A600" s="8" t="s">
        <v>607</v>
      </c>
      <c r="B600" s="9">
        <v>40.0</v>
      </c>
      <c r="C600" s="9" t="s">
        <v>460</v>
      </c>
      <c r="D600" s="9">
        <v>25.0</v>
      </c>
      <c r="E600" s="10">
        <v>2.0</v>
      </c>
      <c r="F600" s="9">
        <v>3.0</v>
      </c>
      <c r="G600" s="9">
        <v>1.0</v>
      </c>
      <c r="H600" s="9">
        <v>0.0</v>
      </c>
      <c r="I600" s="9">
        <v>0.0</v>
      </c>
      <c r="J600" s="17">
        <v>18086.0</v>
      </c>
      <c r="K600" s="18">
        <v>17893.1</v>
      </c>
      <c r="L600" s="17">
        <v>18046.0</v>
      </c>
      <c r="M600" s="18">
        <v>18046.0</v>
      </c>
      <c r="N600" s="18">
        <v>0.0</v>
      </c>
      <c r="O600" s="18">
        <v>113.566</v>
      </c>
      <c r="P600" s="4"/>
    </row>
    <row r="601">
      <c r="A601" s="8" t="s">
        <v>608</v>
      </c>
      <c r="B601" s="9">
        <v>40.0</v>
      </c>
      <c r="C601" s="9" t="s">
        <v>460</v>
      </c>
      <c r="D601" s="9">
        <v>25.0</v>
      </c>
      <c r="E601" s="10">
        <v>2.0</v>
      </c>
      <c r="F601" s="9">
        <v>4.0</v>
      </c>
      <c r="G601" s="9">
        <v>1.0</v>
      </c>
      <c r="H601" s="9">
        <v>0.0</v>
      </c>
      <c r="I601" s="9">
        <v>0.0</v>
      </c>
      <c r="J601" s="17">
        <v>18285.0</v>
      </c>
      <c r="K601" s="18">
        <v>18135.2</v>
      </c>
      <c r="L601" s="17">
        <v>18183.0</v>
      </c>
      <c r="M601" s="18">
        <v>18183.0</v>
      </c>
      <c r="N601" s="18">
        <v>0.0</v>
      </c>
      <c r="O601" s="18">
        <v>7.81</v>
      </c>
      <c r="P601" s="4"/>
    </row>
    <row r="602">
      <c r="A602" s="8" t="s">
        <v>609</v>
      </c>
      <c r="B602" s="9">
        <v>40.0</v>
      </c>
      <c r="C602" s="9" t="s">
        <v>460</v>
      </c>
      <c r="D602" s="9">
        <v>25.0</v>
      </c>
      <c r="E602" s="10">
        <v>2.0</v>
      </c>
      <c r="F602" s="9">
        <v>5.0</v>
      </c>
      <c r="G602" s="9">
        <v>1.0</v>
      </c>
      <c r="H602" s="9">
        <v>0.0</v>
      </c>
      <c r="I602" s="9">
        <v>0.0</v>
      </c>
      <c r="J602" s="17">
        <v>16241.0</v>
      </c>
      <c r="K602" s="18">
        <v>16086.4</v>
      </c>
      <c r="L602" s="17">
        <v>16150.0</v>
      </c>
      <c r="M602" s="18">
        <v>16150.0</v>
      </c>
      <c r="N602" s="18">
        <v>0.0</v>
      </c>
      <c r="O602" s="18">
        <v>7.965</v>
      </c>
      <c r="P602" s="4"/>
    </row>
    <row r="603">
      <c r="A603" s="8" t="s">
        <v>610</v>
      </c>
      <c r="B603" s="9">
        <v>40.0</v>
      </c>
      <c r="C603" s="9" t="s">
        <v>460</v>
      </c>
      <c r="D603" s="9">
        <v>50.0</v>
      </c>
      <c r="E603" s="10">
        <v>0.6</v>
      </c>
      <c r="F603" s="9">
        <v>1.0</v>
      </c>
      <c r="G603" s="9">
        <v>0.0</v>
      </c>
      <c r="H603" s="9">
        <v>1.0</v>
      </c>
      <c r="I603" s="9">
        <v>0.0</v>
      </c>
      <c r="J603" s="17">
        <v>-9328.0</v>
      </c>
      <c r="K603" s="18">
        <v>-9464.35</v>
      </c>
      <c r="L603" s="17">
        <v>-9328.0</v>
      </c>
      <c r="M603" s="18">
        <v>-9446.8</v>
      </c>
      <c r="N603" s="18">
        <v>1.27358</v>
      </c>
      <c r="O603" s="18">
        <v>3600.0</v>
      </c>
      <c r="P603" s="4"/>
    </row>
    <row r="604">
      <c r="A604" s="8" t="s">
        <v>611</v>
      </c>
      <c r="B604" s="9">
        <v>40.0</v>
      </c>
      <c r="C604" s="9" t="s">
        <v>460</v>
      </c>
      <c r="D604" s="9">
        <v>50.0</v>
      </c>
      <c r="E604" s="10">
        <v>0.6</v>
      </c>
      <c r="F604" s="9">
        <v>2.0</v>
      </c>
      <c r="G604" s="9">
        <v>0.0</v>
      </c>
      <c r="H604" s="9">
        <v>1.0</v>
      </c>
      <c r="I604" s="9">
        <v>0.0</v>
      </c>
      <c r="J604" s="17">
        <v>-9414.0</v>
      </c>
      <c r="K604" s="18">
        <v>-9664.5</v>
      </c>
      <c r="L604" s="17">
        <v>-9414.0</v>
      </c>
      <c r="M604" s="18">
        <v>-9622.0</v>
      </c>
      <c r="N604" s="18">
        <v>2.20948</v>
      </c>
      <c r="O604" s="18">
        <v>3600.0</v>
      </c>
      <c r="P604" s="4"/>
    </row>
    <row r="605">
      <c r="A605" s="8" t="s">
        <v>612</v>
      </c>
      <c r="B605" s="9">
        <v>40.0</v>
      </c>
      <c r="C605" s="9" t="s">
        <v>460</v>
      </c>
      <c r="D605" s="9">
        <v>50.0</v>
      </c>
      <c r="E605" s="10">
        <v>0.6</v>
      </c>
      <c r="F605" s="9">
        <v>3.0</v>
      </c>
      <c r="G605" s="9">
        <v>0.0</v>
      </c>
      <c r="H605" s="9">
        <v>1.0</v>
      </c>
      <c r="I605" s="9">
        <v>0.0</v>
      </c>
      <c r="J605" s="17">
        <v>-8651.0</v>
      </c>
      <c r="K605" s="18">
        <v>-8831.25</v>
      </c>
      <c r="L605" s="17">
        <v>-8651.0</v>
      </c>
      <c r="M605" s="18">
        <v>-8820.36</v>
      </c>
      <c r="N605" s="18">
        <v>1.95772</v>
      </c>
      <c r="O605" s="18">
        <v>3600.0</v>
      </c>
      <c r="P605" s="4"/>
    </row>
    <row r="606">
      <c r="A606" s="8" t="s">
        <v>613</v>
      </c>
      <c r="B606" s="9">
        <v>40.0</v>
      </c>
      <c r="C606" s="9" t="s">
        <v>460</v>
      </c>
      <c r="D606" s="9">
        <v>50.0</v>
      </c>
      <c r="E606" s="10">
        <v>0.6</v>
      </c>
      <c r="F606" s="9">
        <v>4.0</v>
      </c>
      <c r="G606" s="9">
        <v>0.0</v>
      </c>
      <c r="H606" s="9">
        <v>1.0</v>
      </c>
      <c r="I606" s="9">
        <v>0.0</v>
      </c>
      <c r="J606" s="17">
        <v>-9042.0</v>
      </c>
      <c r="K606" s="18">
        <v>-9328.46</v>
      </c>
      <c r="L606" s="17">
        <v>-9042.0</v>
      </c>
      <c r="M606" s="18">
        <v>-9310.7</v>
      </c>
      <c r="N606" s="18">
        <v>2.97167</v>
      </c>
      <c r="O606" s="18">
        <v>3600.0</v>
      </c>
      <c r="P606" s="4"/>
    </row>
    <row r="607">
      <c r="A607" s="8" t="s">
        <v>614</v>
      </c>
      <c r="B607" s="9">
        <v>40.0</v>
      </c>
      <c r="C607" s="9" t="s">
        <v>460</v>
      </c>
      <c r="D607" s="9">
        <v>50.0</v>
      </c>
      <c r="E607" s="10">
        <v>0.6</v>
      </c>
      <c r="F607" s="9">
        <v>5.0</v>
      </c>
      <c r="G607" s="9">
        <v>0.0</v>
      </c>
      <c r="H607" s="9">
        <v>1.0</v>
      </c>
      <c r="I607" s="9">
        <v>0.0</v>
      </c>
      <c r="J607" s="17">
        <v>-9220.0</v>
      </c>
      <c r="K607" s="18">
        <v>-9258.06</v>
      </c>
      <c r="L607" s="17">
        <v>-9220.0</v>
      </c>
      <c r="M607" s="18">
        <v>-9244.58</v>
      </c>
      <c r="N607" s="18">
        <v>0.26662</v>
      </c>
      <c r="O607" s="18">
        <v>3600.0</v>
      </c>
      <c r="P607" s="4"/>
    </row>
    <row r="608">
      <c r="A608" s="8" t="s">
        <v>615</v>
      </c>
      <c r="B608" s="9">
        <v>40.0</v>
      </c>
      <c r="C608" s="9" t="s">
        <v>460</v>
      </c>
      <c r="D608" s="9">
        <v>50.0</v>
      </c>
      <c r="E608" s="10">
        <v>1.0</v>
      </c>
      <c r="F608" s="9">
        <v>1.0</v>
      </c>
      <c r="G608" s="9">
        <v>0.0</v>
      </c>
      <c r="H608" s="9">
        <v>1.0</v>
      </c>
      <c r="I608" s="9">
        <v>0.0</v>
      </c>
      <c r="J608" s="17">
        <v>-3639.0</v>
      </c>
      <c r="K608" s="18">
        <v>-4318.04</v>
      </c>
      <c r="L608" s="17">
        <v>-3710.0</v>
      </c>
      <c r="M608" s="18">
        <v>-4199.15</v>
      </c>
      <c r="N608" s="18">
        <v>13.1847</v>
      </c>
      <c r="O608" s="18">
        <v>3600.0</v>
      </c>
      <c r="P608" s="4"/>
    </row>
    <row r="609">
      <c r="A609" s="8" t="s">
        <v>616</v>
      </c>
      <c r="B609" s="9">
        <v>40.0</v>
      </c>
      <c r="C609" s="9" t="s">
        <v>460</v>
      </c>
      <c r="D609" s="9">
        <v>50.0</v>
      </c>
      <c r="E609" s="10">
        <v>1.0</v>
      </c>
      <c r="F609" s="9">
        <v>2.0</v>
      </c>
      <c r="G609" s="9">
        <v>0.0</v>
      </c>
      <c r="H609" s="9">
        <v>1.0</v>
      </c>
      <c r="I609" s="9">
        <v>0.0</v>
      </c>
      <c r="J609" s="17">
        <v>-4305.0</v>
      </c>
      <c r="K609" s="18">
        <v>-4602.82</v>
      </c>
      <c r="L609" s="17">
        <v>-4371.0</v>
      </c>
      <c r="M609" s="18">
        <v>-4449.49</v>
      </c>
      <c r="N609" s="18">
        <v>1.79566</v>
      </c>
      <c r="O609" s="18">
        <v>3600.0</v>
      </c>
      <c r="P609" s="4"/>
    </row>
    <row r="610">
      <c r="A610" s="8" t="s">
        <v>617</v>
      </c>
      <c r="B610" s="9">
        <v>40.0</v>
      </c>
      <c r="C610" s="9" t="s">
        <v>460</v>
      </c>
      <c r="D610" s="9">
        <v>50.0</v>
      </c>
      <c r="E610" s="10">
        <v>1.0</v>
      </c>
      <c r="F610" s="9">
        <v>3.0</v>
      </c>
      <c r="G610" s="9">
        <v>1.0</v>
      </c>
      <c r="H610" s="9">
        <v>0.0</v>
      </c>
      <c r="I610" s="9">
        <v>0.0</v>
      </c>
      <c r="J610" s="17">
        <v>-3648.0</v>
      </c>
      <c r="K610" s="18">
        <v>-4255.55</v>
      </c>
      <c r="L610" s="17">
        <v>-4142.0</v>
      </c>
      <c r="M610" s="18">
        <v>-4142.0</v>
      </c>
      <c r="N610" s="18">
        <v>0.0</v>
      </c>
      <c r="O610" s="18">
        <v>1466.15</v>
      </c>
      <c r="P610" s="4"/>
    </row>
    <row r="611">
      <c r="A611" s="8" t="s">
        <v>618</v>
      </c>
      <c r="B611" s="9">
        <v>40.0</v>
      </c>
      <c r="C611" s="9" t="s">
        <v>460</v>
      </c>
      <c r="D611" s="9">
        <v>50.0</v>
      </c>
      <c r="E611" s="10">
        <v>1.0</v>
      </c>
      <c r="F611" s="9">
        <v>4.0</v>
      </c>
      <c r="G611" s="9">
        <v>0.0</v>
      </c>
      <c r="H611" s="9">
        <v>1.0</v>
      </c>
      <c r="I611" s="9">
        <v>0.0</v>
      </c>
      <c r="J611" s="17">
        <v>-3430.0</v>
      </c>
      <c r="K611" s="18">
        <v>-4046.15</v>
      </c>
      <c r="L611" s="17">
        <v>-3781.0</v>
      </c>
      <c r="M611" s="18">
        <v>-3934.01</v>
      </c>
      <c r="N611" s="18">
        <v>4.04684</v>
      </c>
      <c r="O611" s="18">
        <v>3600.0</v>
      </c>
      <c r="P611" s="4"/>
    </row>
    <row r="612">
      <c r="A612" s="8" t="s">
        <v>619</v>
      </c>
      <c r="B612" s="9">
        <v>40.0</v>
      </c>
      <c r="C612" s="9" t="s">
        <v>460</v>
      </c>
      <c r="D612" s="9">
        <v>50.0</v>
      </c>
      <c r="E612" s="10">
        <v>1.0</v>
      </c>
      <c r="F612" s="9">
        <v>5.0</v>
      </c>
      <c r="G612" s="9">
        <v>1.0</v>
      </c>
      <c r="H612" s="9">
        <v>0.0</v>
      </c>
      <c r="I612" s="9">
        <v>0.0</v>
      </c>
      <c r="J612" s="17">
        <v>-3780.0</v>
      </c>
      <c r="K612" s="18">
        <v>-4154.65</v>
      </c>
      <c r="L612" s="17">
        <v>-4022.0</v>
      </c>
      <c r="M612" s="18">
        <v>-4022.0</v>
      </c>
      <c r="N612" s="18">
        <v>0.0</v>
      </c>
      <c r="O612" s="18">
        <v>2411.99</v>
      </c>
      <c r="P612" s="4"/>
    </row>
    <row r="613">
      <c r="A613" s="8" t="s">
        <v>620</v>
      </c>
      <c r="B613" s="9">
        <v>40.0</v>
      </c>
      <c r="C613" s="9" t="s">
        <v>460</v>
      </c>
      <c r="D613" s="9">
        <v>50.0</v>
      </c>
      <c r="E613" s="10">
        <v>2.0</v>
      </c>
      <c r="F613" s="9">
        <v>1.0</v>
      </c>
      <c r="G613" s="9">
        <v>1.0</v>
      </c>
      <c r="H613" s="9">
        <v>0.0</v>
      </c>
      <c r="I613" s="9">
        <v>0.0</v>
      </c>
      <c r="J613" s="17">
        <v>37591.0</v>
      </c>
      <c r="K613" s="18">
        <v>36469.6</v>
      </c>
      <c r="L613" s="17">
        <v>36635.0</v>
      </c>
      <c r="M613" s="18">
        <v>36635.0</v>
      </c>
      <c r="N613" s="18">
        <v>0.0</v>
      </c>
      <c r="O613" s="18">
        <v>148.468</v>
      </c>
      <c r="P613" s="4"/>
    </row>
    <row r="614">
      <c r="A614" s="8" t="s">
        <v>621</v>
      </c>
      <c r="B614" s="9">
        <v>40.0</v>
      </c>
      <c r="C614" s="9" t="s">
        <v>460</v>
      </c>
      <c r="D614" s="9">
        <v>50.0</v>
      </c>
      <c r="E614" s="10">
        <v>2.0</v>
      </c>
      <c r="F614" s="9">
        <v>2.0</v>
      </c>
      <c r="G614" s="9">
        <v>1.0</v>
      </c>
      <c r="H614" s="9">
        <v>0.0</v>
      </c>
      <c r="I614" s="9">
        <v>0.0</v>
      </c>
      <c r="J614" s="17">
        <v>36178.0</v>
      </c>
      <c r="K614" s="18">
        <v>36093.1</v>
      </c>
      <c r="L614" s="17">
        <v>36165.0</v>
      </c>
      <c r="M614" s="18">
        <v>36165.0</v>
      </c>
      <c r="N614" s="18">
        <v>0.0</v>
      </c>
      <c r="O614" s="18">
        <v>19.238</v>
      </c>
      <c r="P614" s="4"/>
    </row>
    <row r="615">
      <c r="A615" s="8" t="s">
        <v>622</v>
      </c>
      <c r="B615" s="9">
        <v>40.0</v>
      </c>
      <c r="C615" s="9" t="s">
        <v>460</v>
      </c>
      <c r="D615" s="9">
        <v>50.0</v>
      </c>
      <c r="E615" s="10">
        <v>2.0</v>
      </c>
      <c r="F615" s="9">
        <v>3.0</v>
      </c>
      <c r="G615" s="9">
        <v>1.0</v>
      </c>
      <c r="H615" s="9">
        <v>0.0</v>
      </c>
      <c r="I615" s="9">
        <v>0.0</v>
      </c>
      <c r="J615" s="17">
        <v>32794.0</v>
      </c>
      <c r="K615" s="18">
        <v>32676.5</v>
      </c>
      <c r="L615" s="17">
        <v>32691.0</v>
      </c>
      <c r="M615" s="18">
        <v>32691.0</v>
      </c>
      <c r="N615" s="18">
        <v>0.0</v>
      </c>
      <c r="O615" s="18">
        <v>7.433</v>
      </c>
      <c r="P615" s="4"/>
    </row>
    <row r="616">
      <c r="A616" s="8" t="s">
        <v>623</v>
      </c>
      <c r="B616" s="9">
        <v>40.0</v>
      </c>
      <c r="C616" s="9" t="s">
        <v>460</v>
      </c>
      <c r="D616" s="9">
        <v>50.0</v>
      </c>
      <c r="E616" s="10">
        <v>2.0</v>
      </c>
      <c r="F616" s="9">
        <v>4.0</v>
      </c>
      <c r="G616" s="9">
        <v>1.0</v>
      </c>
      <c r="H616" s="9">
        <v>0.0</v>
      </c>
      <c r="I616" s="9">
        <v>0.0</v>
      </c>
      <c r="J616" s="17">
        <v>37536.0</v>
      </c>
      <c r="K616" s="18">
        <v>37406.6</v>
      </c>
      <c r="L616" s="17">
        <v>37460.0</v>
      </c>
      <c r="M616" s="18">
        <v>37460.0</v>
      </c>
      <c r="N616" s="18">
        <v>0.0</v>
      </c>
      <c r="O616" s="18">
        <v>20.641</v>
      </c>
      <c r="P616" s="4"/>
    </row>
    <row r="617">
      <c r="A617" s="8" t="s">
        <v>624</v>
      </c>
      <c r="B617" s="9">
        <v>40.0</v>
      </c>
      <c r="C617" s="9" t="s">
        <v>460</v>
      </c>
      <c r="D617" s="9">
        <v>50.0</v>
      </c>
      <c r="E617" s="10">
        <v>2.0</v>
      </c>
      <c r="F617" s="9">
        <v>5.0</v>
      </c>
      <c r="G617" s="9">
        <v>1.0</v>
      </c>
      <c r="H617" s="9">
        <v>0.0</v>
      </c>
      <c r="I617" s="9">
        <v>0.0</v>
      </c>
      <c r="J617" s="17">
        <v>36151.0</v>
      </c>
      <c r="K617" s="18">
        <v>36007.0</v>
      </c>
      <c r="L617" s="17">
        <v>36041.0</v>
      </c>
      <c r="M617" s="18">
        <v>36041.0</v>
      </c>
      <c r="N617" s="18">
        <v>0.0</v>
      </c>
      <c r="O617" s="18">
        <v>8.095</v>
      </c>
      <c r="P617" s="4"/>
    </row>
    <row r="618">
      <c r="A618" s="8" t="s">
        <v>625</v>
      </c>
      <c r="B618" s="9">
        <v>40.0</v>
      </c>
      <c r="C618" s="9" t="s">
        <v>460</v>
      </c>
      <c r="D618" s="9">
        <v>75.0</v>
      </c>
      <c r="E618" s="10">
        <v>0.6</v>
      </c>
      <c r="F618" s="9">
        <v>1.0</v>
      </c>
      <c r="G618" s="9">
        <v>0.0</v>
      </c>
      <c r="H618" s="9">
        <v>1.0</v>
      </c>
      <c r="I618" s="9">
        <v>0.0</v>
      </c>
      <c r="J618" s="17">
        <v>-11543.0</v>
      </c>
      <c r="K618" s="18">
        <v>-12187.7</v>
      </c>
      <c r="L618" s="17">
        <v>-11543.0</v>
      </c>
      <c r="M618" s="18">
        <v>-12187.7</v>
      </c>
      <c r="N618" s="18">
        <v>5.58523</v>
      </c>
      <c r="O618" s="18">
        <v>3600.0</v>
      </c>
      <c r="P618" s="4"/>
    </row>
    <row r="619">
      <c r="A619" s="8" t="s">
        <v>626</v>
      </c>
      <c r="B619" s="9">
        <v>40.0</v>
      </c>
      <c r="C619" s="9" t="s">
        <v>460</v>
      </c>
      <c r="D619" s="9">
        <v>75.0</v>
      </c>
      <c r="E619" s="10">
        <v>0.6</v>
      </c>
      <c r="F619" s="9">
        <v>2.0</v>
      </c>
      <c r="G619" s="9">
        <v>0.0</v>
      </c>
      <c r="H619" s="9">
        <v>1.0</v>
      </c>
      <c r="I619" s="9">
        <v>0.0</v>
      </c>
      <c r="J619" s="17">
        <v>-12712.0</v>
      </c>
      <c r="K619" s="18">
        <v>-12791.5</v>
      </c>
      <c r="L619" s="17">
        <v>-12712.0</v>
      </c>
      <c r="M619" s="18">
        <v>-12775.5</v>
      </c>
      <c r="N619" s="18">
        <v>0.499496</v>
      </c>
      <c r="O619" s="18">
        <v>3600.0</v>
      </c>
      <c r="P619" s="4"/>
    </row>
    <row r="620">
      <c r="A620" s="8" t="s">
        <v>627</v>
      </c>
      <c r="B620" s="9">
        <v>40.0</v>
      </c>
      <c r="C620" s="9" t="s">
        <v>460</v>
      </c>
      <c r="D620" s="9">
        <v>75.0</v>
      </c>
      <c r="E620" s="10">
        <v>0.6</v>
      </c>
      <c r="F620" s="9">
        <v>3.0</v>
      </c>
      <c r="G620" s="9">
        <v>1.0</v>
      </c>
      <c r="H620" s="9">
        <v>0.0</v>
      </c>
      <c r="I620" s="9">
        <v>0.0</v>
      </c>
      <c r="J620" s="17">
        <v>-13516.0</v>
      </c>
      <c r="K620" s="18">
        <v>-13516.0</v>
      </c>
      <c r="L620" s="17">
        <v>-13516.0</v>
      </c>
      <c r="M620" s="18">
        <v>-13516.0</v>
      </c>
      <c r="N620" s="18">
        <v>0.0</v>
      </c>
      <c r="O620" s="18">
        <v>2814.15</v>
      </c>
      <c r="P620" s="4"/>
    </row>
    <row r="621">
      <c r="A621" s="8" t="s">
        <v>628</v>
      </c>
      <c r="B621" s="9">
        <v>40.0</v>
      </c>
      <c r="C621" s="9" t="s">
        <v>460</v>
      </c>
      <c r="D621" s="9">
        <v>75.0</v>
      </c>
      <c r="E621" s="10">
        <v>0.6</v>
      </c>
      <c r="F621" s="9">
        <v>4.0</v>
      </c>
      <c r="G621" s="9">
        <v>0.0</v>
      </c>
      <c r="H621" s="9">
        <v>1.0</v>
      </c>
      <c r="I621" s="9">
        <v>0.0</v>
      </c>
      <c r="J621" s="17">
        <v>-11524.0</v>
      </c>
      <c r="K621" s="18">
        <v>-11994.6</v>
      </c>
      <c r="L621" s="17">
        <v>-11524.0</v>
      </c>
      <c r="M621" s="18">
        <v>-11994.6</v>
      </c>
      <c r="N621" s="18">
        <v>4.0838</v>
      </c>
      <c r="O621" s="18">
        <v>3600.0</v>
      </c>
      <c r="P621" s="4"/>
    </row>
    <row r="622">
      <c r="A622" s="8" t="s">
        <v>629</v>
      </c>
      <c r="B622" s="9">
        <v>40.0</v>
      </c>
      <c r="C622" s="9" t="s">
        <v>460</v>
      </c>
      <c r="D622" s="9">
        <v>75.0</v>
      </c>
      <c r="E622" s="10">
        <v>0.6</v>
      </c>
      <c r="F622" s="9">
        <v>5.0</v>
      </c>
      <c r="G622" s="9">
        <v>0.0</v>
      </c>
      <c r="H622" s="9">
        <v>1.0</v>
      </c>
      <c r="I622" s="9">
        <v>0.0</v>
      </c>
      <c r="J622" s="17">
        <v>-12454.0</v>
      </c>
      <c r="K622" s="18">
        <v>-13062.3</v>
      </c>
      <c r="L622" s="17">
        <v>-12662.0</v>
      </c>
      <c r="M622" s="18">
        <v>-13035.8</v>
      </c>
      <c r="N622" s="18">
        <v>2.9524</v>
      </c>
      <c r="O622" s="18">
        <v>3600.0</v>
      </c>
      <c r="P622" s="4"/>
    </row>
    <row r="623">
      <c r="A623" s="8" t="s">
        <v>630</v>
      </c>
      <c r="B623" s="9">
        <v>40.0</v>
      </c>
      <c r="C623" s="9" t="s">
        <v>460</v>
      </c>
      <c r="D623" s="9">
        <v>75.0</v>
      </c>
      <c r="E623" s="10">
        <v>1.0</v>
      </c>
      <c r="F623" s="9">
        <v>1.0</v>
      </c>
      <c r="G623" s="9">
        <v>1.0</v>
      </c>
      <c r="H623" s="9">
        <v>0.0</v>
      </c>
      <c r="I623" s="9">
        <v>0.0</v>
      </c>
      <c r="J623" s="17">
        <v>-4476.0</v>
      </c>
      <c r="K623" s="18">
        <v>-4757.03</v>
      </c>
      <c r="L623" s="17">
        <v>-4631.0</v>
      </c>
      <c r="M623" s="18">
        <v>-4631.0</v>
      </c>
      <c r="N623" s="18">
        <v>0.0</v>
      </c>
      <c r="O623" s="18">
        <v>3465.46</v>
      </c>
      <c r="P623" s="4"/>
    </row>
    <row r="624">
      <c r="A624" s="8" t="s">
        <v>631</v>
      </c>
      <c r="B624" s="9">
        <v>40.0</v>
      </c>
      <c r="C624" s="9" t="s">
        <v>460</v>
      </c>
      <c r="D624" s="9">
        <v>75.0</v>
      </c>
      <c r="E624" s="10">
        <v>1.0</v>
      </c>
      <c r="F624" s="9">
        <v>2.0</v>
      </c>
      <c r="G624" s="9">
        <v>1.0</v>
      </c>
      <c r="H624" s="9">
        <v>0.0</v>
      </c>
      <c r="I624" s="9">
        <v>0.0</v>
      </c>
      <c r="J624" s="17">
        <v>-4721.0</v>
      </c>
      <c r="K624" s="18">
        <v>-5108.0</v>
      </c>
      <c r="L624" s="17">
        <v>-5089.0</v>
      </c>
      <c r="M624" s="18">
        <v>-5089.0</v>
      </c>
      <c r="N624" s="18">
        <v>0.0</v>
      </c>
      <c r="O624" s="18">
        <v>109.471</v>
      </c>
      <c r="P624" s="4"/>
    </row>
    <row r="625">
      <c r="A625" s="8" t="s">
        <v>632</v>
      </c>
      <c r="B625" s="9">
        <v>40.0</v>
      </c>
      <c r="C625" s="9" t="s">
        <v>460</v>
      </c>
      <c r="D625" s="9">
        <v>75.0</v>
      </c>
      <c r="E625" s="10">
        <v>1.0</v>
      </c>
      <c r="F625" s="9">
        <v>3.0</v>
      </c>
      <c r="G625" s="9">
        <v>1.0</v>
      </c>
      <c r="H625" s="9">
        <v>0.0</v>
      </c>
      <c r="I625" s="9">
        <v>0.0</v>
      </c>
      <c r="J625" s="17">
        <v>-5013.0</v>
      </c>
      <c r="K625" s="18">
        <v>-5390.77</v>
      </c>
      <c r="L625" s="17">
        <v>-5288.0</v>
      </c>
      <c r="M625" s="18">
        <v>-5288.0</v>
      </c>
      <c r="N625" s="18">
        <v>0.0</v>
      </c>
      <c r="O625" s="18">
        <v>3048.23</v>
      </c>
      <c r="P625" s="4"/>
    </row>
    <row r="626">
      <c r="A626" s="8" t="s">
        <v>633</v>
      </c>
      <c r="B626" s="9">
        <v>40.0</v>
      </c>
      <c r="C626" s="9" t="s">
        <v>460</v>
      </c>
      <c r="D626" s="9">
        <v>75.0</v>
      </c>
      <c r="E626" s="10">
        <v>1.0</v>
      </c>
      <c r="F626" s="9">
        <v>4.0</v>
      </c>
      <c r="G626" s="9">
        <v>1.0</v>
      </c>
      <c r="H626" s="9">
        <v>0.0</v>
      </c>
      <c r="I626" s="9">
        <v>0.0</v>
      </c>
      <c r="J626" s="17">
        <v>-3691.0</v>
      </c>
      <c r="K626" s="18">
        <v>-4729.65</v>
      </c>
      <c r="L626" s="17">
        <v>-4608.0</v>
      </c>
      <c r="M626" s="18">
        <v>-4608.0</v>
      </c>
      <c r="N626" s="18">
        <v>0.0</v>
      </c>
      <c r="O626" s="18">
        <v>2708.81</v>
      </c>
      <c r="P626" s="4"/>
    </row>
    <row r="627">
      <c r="A627" s="8" t="s">
        <v>634</v>
      </c>
      <c r="B627" s="9">
        <v>40.0</v>
      </c>
      <c r="C627" s="9" t="s">
        <v>460</v>
      </c>
      <c r="D627" s="9">
        <v>75.0</v>
      </c>
      <c r="E627" s="10">
        <v>1.0</v>
      </c>
      <c r="F627" s="9">
        <v>5.0</v>
      </c>
      <c r="G627" s="9">
        <v>0.0</v>
      </c>
      <c r="H627" s="9">
        <v>1.0</v>
      </c>
      <c r="I627" s="9">
        <v>0.0</v>
      </c>
      <c r="J627" s="17">
        <v>-4022.0</v>
      </c>
      <c r="K627" s="18">
        <v>-5212.65</v>
      </c>
      <c r="L627" s="17">
        <v>-5043.0</v>
      </c>
      <c r="M627" s="18">
        <v>-5072.01</v>
      </c>
      <c r="N627" s="18">
        <v>0.575202</v>
      </c>
      <c r="O627" s="18">
        <v>3600.0</v>
      </c>
      <c r="P627" s="4"/>
    </row>
    <row r="628">
      <c r="A628" s="8" t="s">
        <v>635</v>
      </c>
      <c r="B628" s="9">
        <v>40.0</v>
      </c>
      <c r="C628" s="9" t="s">
        <v>460</v>
      </c>
      <c r="D628" s="9">
        <v>75.0</v>
      </c>
      <c r="E628" s="10">
        <v>2.0</v>
      </c>
      <c r="F628" s="9">
        <v>1.0</v>
      </c>
      <c r="G628" s="9">
        <v>1.0</v>
      </c>
      <c r="H628" s="9">
        <v>0.0</v>
      </c>
      <c r="I628" s="9">
        <v>0.0</v>
      </c>
      <c r="J628" s="17">
        <v>53592.0</v>
      </c>
      <c r="K628" s="18">
        <v>53568.5</v>
      </c>
      <c r="L628" s="17">
        <v>53592.0</v>
      </c>
      <c r="M628" s="18">
        <v>53592.0</v>
      </c>
      <c r="N628" s="18">
        <v>0.0</v>
      </c>
      <c r="O628" s="18">
        <v>5.426</v>
      </c>
      <c r="P628" s="4"/>
    </row>
    <row r="629">
      <c r="A629" s="8" t="s">
        <v>636</v>
      </c>
      <c r="B629" s="9">
        <v>40.0</v>
      </c>
      <c r="C629" s="9" t="s">
        <v>460</v>
      </c>
      <c r="D629" s="9">
        <v>75.0</v>
      </c>
      <c r="E629" s="10">
        <v>2.0</v>
      </c>
      <c r="F629" s="9">
        <v>2.0</v>
      </c>
      <c r="G629" s="9">
        <v>1.0</v>
      </c>
      <c r="H629" s="9">
        <v>0.0</v>
      </c>
      <c r="I629" s="9">
        <v>0.0</v>
      </c>
      <c r="J629" s="17">
        <v>55091.0</v>
      </c>
      <c r="K629" s="18">
        <v>54555.1</v>
      </c>
      <c r="L629" s="17">
        <v>54881.0</v>
      </c>
      <c r="M629" s="18">
        <v>54881.0</v>
      </c>
      <c r="N629" s="18">
        <v>0.0</v>
      </c>
      <c r="O629" s="18">
        <v>1621.62</v>
      </c>
      <c r="P629" s="4"/>
    </row>
    <row r="630">
      <c r="A630" s="8" t="s">
        <v>637</v>
      </c>
      <c r="B630" s="9">
        <v>40.0</v>
      </c>
      <c r="C630" s="9" t="s">
        <v>460</v>
      </c>
      <c r="D630" s="9">
        <v>75.0</v>
      </c>
      <c r="E630" s="10">
        <v>2.0</v>
      </c>
      <c r="F630" s="9">
        <v>3.0</v>
      </c>
      <c r="G630" s="9">
        <v>1.0</v>
      </c>
      <c r="H630" s="9">
        <v>0.0</v>
      </c>
      <c r="I630" s="9">
        <v>0.0</v>
      </c>
      <c r="J630" s="17">
        <v>57536.0</v>
      </c>
      <c r="K630" s="18">
        <v>57358.3</v>
      </c>
      <c r="L630" s="17">
        <v>57536.0</v>
      </c>
      <c r="M630" s="18">
        <v>57536.0</v>
      </c>
      <c r="N630" s="18">
        <v>0.0</v>
      </c>
      <c r="O630" s="18">
        <v>284.911</v>
      </c>
      <c r="P630" s="4"/>
    </row>
    <row r="631">
      <c r="A631" s="8" t="s">
        <v>638</v>
      </c>
      <c r="B631" s="9">
        <v>40.0</v>
      </c>
      <c r="C631" s="9" t="s">
        <v>460</v>
      </c>
      <c r="D631" s="9">
        <v>75.0</v>
      </c>
      <c r="E631" s="10">
        <v>2.0</v>
      </c>
      <c r="F631" s="9">
        <v>4.0</v>
      </c>
      <c r="G631" s="9">
        <v>1.0</v>
      </c>
      <c r="H631" s="9">
        <v>0.0</v>
      </c>
      <c r="I631" s="9">
        <v>0.0</v>
      </c>
      <c r="J631" s="17">
        <v>51943.0</v>
      </c>
      <c r="K631" s="18">
        <v>51865.4</v>
      </c>
      <c r="L631" s="17">
        <v>51943.0</v>
      </c>
      <c r="M631" s="18">
        <v>51943.0</v>
      </c>
      <c r="N631" s="18">
        <v>0.0</v>
      </c>
      <c r="O631" s="18">
        <v>35.003</v>
      </c>
      <c r="P631" s="4"/>
    </row>
    <row r="632">
      <c r="A632" s="8" t="s">
        <v>639</v>
      </c>
      <c r="B632" s="9">
        <v>40.0</v>
      </c>
      <c r="C632" s="9" t="s">
        <v>460</v>
      </c>
      <c r="D632" s="9">
        <v>75.0</v>
      </c>
      <c r="E632" s="10">
        <v>2.0</v>
      </c>
      <c r="F632" s="9">
        <v>5.0</v>
      </c>
      <c r="G632" s="9">
        <v>1.0</v>
      </c>
      <c r="H632" s="9">
        <v>0.0</v>
      </c>
      <c r="I632" s="9">
        <v>0.0</v>
      </c>
      <c r="J632" s="17">
        <v>54723.0</v>
      </c>
      <c r="K632" s="18">
        <v>54621.4</v>
      </c>
      <c r="L632" s="17">
        <v>54700.0</v>
      </c>
      <c r="M632" s="18">
        <v>54700.0</v>
      </c>
      <c r="N632" s="18">
        <v>0.0</v>
      </c>
      <c r="O632" s="18">
        <v>22.135</v>
      </c>
      <c r="P632" s="4"/>
    </row>
    <row r="633">
      <c r="A633" s="8" t="s">
        <v>640</v>
      </c>
      <c r="B633" s="9">
        <v>45.0</v>
      </c>
      <c r="C633" s="9" t="s">
        <v>460</v>
      </c>
      <c r="D633" s="9">
        <v>25.0</v>
      </c>
      <c r="E633" s="10">
        <v>0.6</v>
      </c>
      <c r="F633" s="9">
        <v>1.0</v>
      </c>
      <c r="G633" s="9">
        <v>0.0</v>
      </c>
      <c r="H633" s="9">
        <v>1.0</v>
      </c>
      <c r="I633" s="9">
        <v>0.0</v>
      </c>
      <c r="J633" s="17">
        <v>-7155.0</v>
      </c>
      <c r="K633" s="18">
        <v>-7176.0</v>
      </c>
      <c r="L633" s="17">
        <v>-7155.0</v>
      </c>
      <c r="M633" s="18">
        <v>-7176.0</v>
      </c>
      <c r="N633" s="18">
        <v>0.293501</v>
      </c>
      <c r="O633" s="18">
        <v>3600.0</v>
      </c>
      <c r="P633" s="4"/>
    </row>
    <row r="634">
      <c r="A634" s="8" t="s">
        <v>641</v>
      </c>
      <c r="B634" s="9">
        <v>45.0</v>
      </c>
      <c r="C634" s="9" t="s">
        <v>460</v>
      </c>
      <c r="D634" s="9">
        <v>25.0</v>
      </c>
      <c r="E634" s="10">
        <v>0.6</v>
      </c>
      <c r="F634" s="9">
        <v>2.0</v>
      </c>
      <c r="G634" s="9">
        <v>0.0</v>
      </c>
      <c r="H634" s="9">
        <v>1.0</v>
      </c>
      <c r="I634" s="9">
        <v>0.0</v>
      </c>
      <c r="J634" s="17">
        <v>-7072.0</v>
      </c>
      <c r="K634" s="18">
        <v>-7212.07</v>
      </c>
      <c r="L634" s="17">
        <v>-7137.0</v>
      </c>
      <c r="M634" s="18">
        <v>-7201.82</v>
      </c>
      <c r="N634" s="18">
        <v>0.908199</v>
      </c>
      <c r="O634" s="18">
        <v>3600.0</v>
      </c>
      <c r="P634" s="4"/>
    </row>
    <row r="635">
      <c r="A635" s="8" t="s">
        <v>642</v>
      </c>
      <c r="B635" s="9">
        <v>45.0</v>
      </c>
      <c r="C635" s="9" t="s">
        <v>460</v>
      </c>
      <c r="D635" s="9">
        <v>25.0</v>
      </c>
      <c r="E635" s="10">
        <v>0.6</v>
      </c>
      <c r="F635" s="9">
        <v>3.0</v>
      </c>
      <c r="G635" s="9">
        <v>0.0</v>
      </c>
      <c r="H635" s="9">
        <v>1.0</v>
      </c>
      <c r="I635" s="9">
        <v>0.0</v>
      </c>
      <c r="J635" s="17">
        <v>-7060.0</v>
      </c>
      <c r="K635" s="18">
        <v>-7128.55</v>
      </c>
      <c r="L635" s="17">
        <v>-7060.0</v>
      </c>
      <c r="M635" s="18">
        <v>-7113.0</v>
      </c>
      <c r="N635" s="18">
        <v>0.750708</v>
      </c>
      <c r="O635" s="18">
        <v>3600.0</v>
      </c>
      <c r="P635" s="4"/>
    </row>
    <row r="636">
      <c r="A636" s="8" t="s">
        <v>643</v>
      </c>
      <c r="B636" s="9">
        <v>45.0</v>
      </c>
      <c r="C636" s="9" t="s">
        <v>460</v>
      </c>
      <c r="D636" s="9">
        <v>25.0</v>
      </c>
      <c r="E636" s="10">
        <v>0.6</v>
      </c>
      <c r="F636" s="9">
        <v>4.0</v>
      </c>
      <c r="G636" s="9">
        <v>0.0</v>
      </c>
      <c r="H636" s="9">
        <v>1.0</v>
      </c>
      <c r="I636" s="9">
        <v>0.0</v>
      </c>
      <c r="J636" s="17">
        <v>-7228.0</v>
      </c>
      <c r="K636" s="18">
        <v>-7308.18</v>
      </c>
      <c r="L636" s="17">
        <v>-7228.0</v>
      </c>
      <c r="M636" s="18">
        <v>-7270.01</v>
      </c>
      <c r="N636" s="18">
        <v>0.581274</v>
      </c>
      <c r="O636" s="18">
        <v>3600.0</v>
      </c>
      <c r="P636" s="4"/>
    </row>
    <row r="637">
      <c r="A637" s="8" t="s">
        <v>644</v>
      </c>
      <c r="B637" s="9">
        <v>45.0</v>
      </c>
      <c r="C637" s="9" t="s">
        <v>460</v>
      </c>
      <c r="D637" s="9">
        <v>25.0</v>
      </c>
      <c r="E637" s="10">
        <v>0.6</v>
      </c>
      <c r="F637" s="9">
        <v>5.0</v>
      </c>
      <c r="G637" s="9">
        <v>1.0</v>
      </c>
      <c r="H637" s="9">
        <v>0.0</v>
      </c>
      <c r="I637" s="9">
        <v>0.0</v>
      </c>
      <c r="J637" s="17">
        <v>-7626.0</v>
      </c>
      <c r="K637" s="18">
        <v>-7661.43</v>
      </c>
      <c r="L637" s="17">
        <v>-7647.0</v>
      </c>
      <c r="M637" s="18">
        <v>-7647.0</v>
      </c>
      <c r="N637" s="18">
        <v>0.0</v>
      </c>
      <c r="O637" s="18">
        <v>3017.2</v>
      </c>
      <c r="P637" s="4"/>
    </row>
    <row r="638">
      <c r="A638" s="8" t="s">
        <v>645</v>
      </c>
      <c r="B638" s="9">
        <v>45.0</v>
      </c>
      <c r="C638" s="9" t="s">
        <v>460</v>
      </c>
      <c r="D638" s="9">
        <v>25.0</v>
      </c>
      <c r="E638" s="10">
        <v>1.0</v>
      </c>
      <c r="F638" s="9">
        <v>1.0</v>
      </c>
      <c r="G638" s="9">
        <v>0.0</v>
      </c>
      <c r="H638" s="9">
        <v>1.0</v>
      </c>
      <c r="I638" s="9">
        <v>0.0</v>
      </c>
      <c r="J638" s="17">
        <v>-3885.0</v>
      </c>
      <c r="K638" s="18">
        <v>-4231.6</v>
      </c>
      <c r="L638" s="17">
        <v>-3885.0</v>
      </c>
      <c r="M638" s="18">
        <v>-4171.0</v>
      </c>
      <c r="N638" s="18">
        <v>7.36165</v>
      </c>
      <c r="O638" s="18">
        <v>3600.0</v>
      </c>
      <c r="P638" s="4"/>
    </row>
    <row r="639">
      <c r="A639" s="8" t="s">
        <v>646</v>
      </c>
      <c r="B639" s="9">
        <v>45.0</v>
      </c>
      <c r="C639" s="9" t="s">
        <v>460</v>
      </c>
      <c r="D639" s="9">
        <v>25.0</v>
      </c>
      <c r="E639" s="10">
        <v>1.0</v>
      </c>
      <c r="F639" s="9">
        <v>2.0</v>
      </c>
      <c r="G639" s="9">
        <v>0.0</v>
      </c>
      <c r="H639" s="9">
        <v>1.0</v>
      </c>
      <c r="I639" s="9">
        <v>0.0</v>
      </c>
      <c r="J639" s="17">
        <v>-4119.0</v>
      </c>
      <c r="K639" s="18">
        <v>-4442.17</v>
      </c>
      <c r="L639" s="17">
        <v>-4258.0</v>
      </c>
      <c r="M639" s="18">
        <v>-4360.7</v>
      </c>
      <c r="N639" s="18">
        <v>2.41188</v>
      </c>
      <c r="O639" s="18">
        <v>3600.0</v>
      </c>
      <c r="P639" s="4"/>
    </row>
    <row r="640">
      <c r="A640" s="8" t="s">
        <v>647</v>
      </c>
      <c r="B640" s="9">
        <v>45.0</v>
      </c>
      <c r="C640" s="9" t="s">
        <v>460</v>
      </c>
      <c r="D640" s="9">
        <v>25.0</v>
      </c>
      <c r="E640" s="10">
        <v>1.0</v>
      </c>
      <c r="F640" s="9">
        <v>3.0</v>
      </c>
      <c r="G640" s="9">
        <v>0.0</v>
      </c>
      <c r="H640" s="9">
        <v>1.0</v>
      </c>
      <c r="I640" s="9">
        <v>0.0</v>
      </c>
      <c r="J640" s="17">
        <v>-3978.0</v>
      </c>
      <c r="K640" s="18">
        <v>-4378.88</v>
      </c>
      <c r="L640" s="17">
        <v>-4187.0</v>
      </c>
      <c r="M640" s="18">
        <v>-4310.33</v>
      </c>
      <c r="N640" s="18">
        <v>2.94563</v>
      </c>
      <c r="O640" s="18">
        <v>3600.0</v>
      </c>
      <c r="P640" s="4"/>
    </row>
    <row r="641">
      <c r="A641" s="8" t="s">
        <v>648</v>
      </c>
      <c r="B641" s="9">
        <v>45.0</v>
      </c>
      <c r="C641" s="9" t="s">
        <v>460</v>
      </c>
      <c r="D641" s="9">
        <v>25.0</v>
      </c>
      <c r="E641" s="10">
        <v>1.0</v>
      </c>
      <c r="F641" s="9">
        <v>4.0</v>
      </c>
      <c r="G641" s="9">
        <v>0.0</v>
      </c>
      <c r="H641" s="9">
        <v>1.0</v>
      </c>
      <c r="I641" s="9">
        <v>0.0</v>
      </c>
      <c r="J641" s="17">
        <v>-4115.0</v>
      </c>
      <c r="K641" s="18">
        <v>-4463.3</v>
      </c>
      <c r="L641" s="17">
        <v>-4139.0</v>
      </c>
      <c r="M641" s="18">
        <v>-4366.97</v>
      </c>
      <c r="N641" s="18">
        <v>5.50782</v>
      </c>
      <c r="O641" s="18">
        <v>3600.0</v>
      </c>
      <c r="P641" s="4"/>
    </row>
    <row r="642">
      <c r="A642" s="8" t="s">
        <v>649</v>
      </c>
      <c r="B642" s="9">
        <v>45.0</v>
      </c>
      <c r="C642" s="9" t="s">
        <v>460</v>
      </c>
      <c r="D642" s="9">
        <v>25.0</v>
      </c>
      <c r="E642" s="10">
        <v>1.0</v>
      </c>
      <c r="F642" s="9">
        <v>5.0</v>
      </c>
      <c r="G642" s="9">
        <v>1.0</v>
      </c>
      <c r="H642" s="9">
        <v>0.0</v>
      </c>
      <c r="I642" s="9">
        <v>0.0</v>
      </c>
      <c r="J642" s="17">
        <v>-4565.0</v>
      </c>
      <c r="K642" s="18">
        <v>-4600.31</v>
      </c>
      <c r="L642" s="17">
        <v>-4565.0</v>
      </c>
      <c r="M642" s="18">
        <v>-4565.0</v>
      </c>
      <c r="N642" s="18">
        <v>0.0</v>
      </c>
      <c r="O642" s="18">
        <v>359.664</v>
      </c>
      <c r="P642" s="4"/>
    </row>
    <row r="643">
      <c r="A643" s="8" t="s">
        <v>650</v>
      </c>
      <c r="B643" s="9">
        <v>45.0</v>
      </c>
      <c r="C643" s="9" t="s">
        <v>460</v>
      </c>
      <c r="D643" s="9">
        <v>25.0</v>
      </c>
      <c r="E643" s="10">
        <v>2.0</v>
      </c>
      <c r="F643" s="9">
        <v>1.0</v>
      </c>
      <c r="G643" s="9">
        <v>1.0</v>
      </c>
      <c r="H643" s="9">
        <v>0.0</v>
      </c>
      <c r="I643" s="9">
        <v>0.0</v>
      </c>
      <c r="J643" s="17">
        <v>16764.0</v>
      </c>
      <c r="K643" s="18">
        <v>16685.8</v>
      </c>
      <c r="L643" s="17">
        <v>16724.0</v>
      </c>
      <c r="M643" s="18">
        <v>16724.0</v>
      </c>
      <c r="N643" s="18">
        <v>0.0</v>
      </c>
      <c r="O643" s="18">
        <v>42.279</v>
      </c>
      <c r="P643" s="4"/>
    </row>
    <row r="644">
      <c r="A644" s="8" t="s">
        <v>651</v>
      </c>
      <c r="B644" s="9">
        <v>45.0</v>
      </c>
      <c r="C644" s="9" t="s">
        <v>460</v>
      </c>
      <c r="D644" s="9">
        <v>25.0</v>
      </c>
      <c r="E644" s="10">
        <v>2.0</v>
      </c>
      <c r="F644" s="9">
        <v>2.0</v>
      </c>
      <c r="G644" s="9">
        <v>1.0</v>
      </c>
      <c r="H644" s="9">
        <v>0.0</v>
      </c>
      <c r="I644" s="9">
        <v>0.0</v>
      </c>
      <c r="J644" s="17">
        <v>16323.0</v>
      </c>
      <c r="K644" s="18">
        <v>16269.4</v>
      </c>
      <c r="L644" s="17">
        <v>16307.0</v>
      </c>
      <c r="M644" s="18">
        <v>16307.0</v>
      </c>
      <c r="N644" s="18">
        <v>0.0</v>
      </c>
      <c r="O644" s="18">
        <v>54.747</v>
      </c>
      <c r="P644" s="4"/>
    </row>
    <row r="645">
      <c r="A645" s="8" t="s">
        <v>652</v>
      </c>
      <c r="B645" s="9">
        <v>45.0</v>
      </c>
      <c r="C645" s="9" t="s">
        <v>460</v>
      </c>
      <c r="D645" s="9">
        <v>25.0</v>
      </c>
      <c r="E645" s="10">
        <v>2.0</v>
      </c>
      <c r="F645" s="9">
        <v>3.0</v>
      </c>
      <c r="G645" s="9">
        <v>1.0</v>
      </c>
      <c r="H645" s="9">
        <v>0.0</v>
      </c>
      <c r="I645" s="9">
        <v>0.0</v>
      </c>
      <c r="J645" s="17">
        <v>16706.0</v>
      </c>
      <c r="K645" s="18">
        <v>16600.7</v>
      </c>
      <c r="L645" s="17">
        <v>16685.0</v>
      </c>
      <c r="M645" s="18">
        <v>16685.0</v>
      </c>
      <c r="N645" s="18">
        <v>0.0</v>
      </c>
      <c r="O645" s="18">
        <v>71.725</v>
      </c>
      <c r="P645" s="4"/>
    </row>
    <row r="646">
      <c r="A646" s="8" t="s">
        <v>653</v>
      </c>
      <c r="B646" s="9">
        <v>45.0</v>
      </c>
      <c r="C646" s="9" t="s">
        <v>460</v>
      </c>
      <c r="D646" s="9">
        <v>25.0</v>
      </c>
      <c r="E646" s="10">
        <v>2.0</v>
      </c>
      <c r="F646" s="9">
        <v>4.0</v>
      </c>
      <c r="G646" s="9">
        <v>1.0</v>
      </c>
      <c r="H646" s="9">
        <v>0.0</v>
      </c>
      <c r="I646" s="9">
        <v>0.0</v>
      </c>
      <c r="J646" s="17">
        <v>19320.0</v>
      </c>
      <c r="K646" s="18">
        <v>17155.2</v>
      </c>
      <c r="L646" s="17">
        <v>17340.0</v>
      </c>
      <c r="M646" s="18">
        <v>17340.0</v>
      </c>
      <c r="N646" s="18">
        <v>0.0</v>
      </c>
      <c r="O646" s="18">
        <v>710.886</v>
      </c>
      <c r="P646" s="4"/>
    </row>
    <row r="647">
      <c r="A647" s="8" t="s">
        <v>654</v>
      </c>
      <c r="B647" s="9">
        <v>45.0</v>
      </c>
      <c r="C647" s="9" t="s">
        <v>460</v>
      </c>
      <c r="D647" s="9">
        <v>25.0</v>
      </c>
      <c r="E647" s="10">
        <v>2.0</v>
      </c>
      <c r="F647" s="9">
        <v>5.0</v>
      </c>
      <c r="G647" s="9">
        <v>1.0</v>
      </c>
      <c r="H647" s="9">
        <v>0.0</v>
      </c>
      <c r="I647" s="9">
        <v>0.0</v>
      </c>
      <c r="J647" s="17">
        <v>18835.0</v>
      </c>
      <c r="K647" s="18">
        <v>18835.0</v>
      </c>
      <c r="L647" s="17">
        <v>18835.0</v>
      </c>
      <c r="M647" s="18">
        <v>18835.0</v>
      </c>
      <c r="N647" s="18">
        <v>0.0</v>
      </c>
      <c r="O647" s="18">
        <v>3.363</v>
      </c>
      <c r="P647" s="4"/>
    </row>
    <row r="648">
      <c r="A648" s="8" t="s">
        <v>655</v>
      </c>
      <c r="B648" s="9">
        <v>45.0</v>
      </c>
      <c r="C648" s="9" t="s">
        <v>460</v>
      </c>
      <c r="D648" s="9">
        <v>50.0</v>
      </c>
      <c r="E648" s="10">
        <v>0.6</v>
      </c>
      <c r="F648" s="9">
        <v>1.0</v>
      </c>
      <c r="G648" s="9">
        <v>0.0</v>
      </c>
      <c r="H648" s="9">
        <v>1.0</v>
      </c>
      <c r="I648" s="9">
        <v>0.0</v>
      </c>
      <c r="J648" s="17">
        <v>5805.0</v>
      </c>
      <c r="K648" s="18">
        <v>-25389.0</v>
      </c>
      <c r="L648" s="17">
        <v>5805.0</v>
      </c>
      <c r="M648" s="18">
        <v>-25389.0</v>
      </c>
      <c r="N648" s="18">
        <v>537.364</v>
      </c>
      <c r="O648" s="18">
        <v>3600.0</v>
      </c>
      <c r="P648" s="4"/>
    </row>
    <row r="649">
      <c r="A649" s="8" t="s">
        <v>656</v>
      </c>
      <c r="B649" s="9">
        <v>45.0</v>
      </c>
      <c r="C649" s="9" t="s">
        <v>460</v>
      </c>
      <c r="D649" s="9">
        <v>50.0</v>
      </c>
      <c r="E649" s="10">
        <v>0.6</v>
      </c>
      <c r="F649" s="9">
        <v>2.0</v>
      </c>
      <c r="G649" s="9">
        <v>0.0</v>
      </c>
      <c r="H649" s="9">
        <v>1.0</v>
      </c>
      <c r="I649" s="9">
        <v>0.0</v>
      </c>
      <c r="J649" s="17">
        <v>5895.0</v>
      </c>
      <c r="K649" s="18">
        <v>-25636.0</v>
      </c>
      <c r="L649" s="17">
        <v>5895.0</v>
      </c>
      <c r="M649" s="18">
        <v>-25636.0</v>
      </c>
      <c r="N649" s="18">
        <v>534.877</v>
      </c>
      <c r="O649" s="18">
        <v>3600.0</v>
      </c>
      <c r="P649" s="4"/>
    </row>
    <row r="650">
      <c r="A650" s="8" t="s">
        <v>657</v>
      </c>
      <c r="B650" s="9">
        <v>45.0</v>
      </c>
      <c r="C650" s="9" t="s">
        <v>460</v>
      </c>
      <c r="D650" s="9">
        <v>50.0</v>
      </c>
      <c r="E650" s="10">
        <v>0.6</v>
      </c>
      <c r="F650" s="9">
        <v>3.0</v>
      </c>
      <c r="G650" s="9">
        <v>0.0</v>
      </c>
      <c r="H650" s="9">
        <v>1.0</v>
      </c>
      <c r="I650" s="9">
        <v>0.0</v>
      </c>
      <c r="J650" s="17">
        <v>5400.0</v>
      </c>
      <c r="K650" s="18">
        <v>-23456.0</v>
      </c>
      <c r="L650" s="17">
        <v>5400.0</v>
      </c>
      <c r="M650" s="18">
        <v>-23456.0</v>
      </c>
      <c r="N650" s="18">
        <v>534.37</v>
      </c>
      <c r="O650" s="18">
        <v>3600.0</v>
      </c>
      <c r="P650" s="4"/>
    </row>
    <row r="651">
      <c r="A651" s="8" t="s">
        <v>658</v>
      </c>
      <c r="B651" s="9">
        <v>45.0</v>
      </c>
      <c r="C651" s="9" t="s">
        <v>460</v>
      </c>
      <c r="D651" s="9">
        <v>50.0</v>
      </c>
      <c r="E651" s="10">
        <v>0.6</v>
      </c>
      <c r="F651" s="9">
        <v>4.0</v>
      </c>
      <c r="G651" s="9">
        <v>0.0</v>
      </c>
      <c r="H651" s="9">
        <v>1.0</v>
      </c>
      <c r="I651" s="9">
        <v>0.0</v>
      </c>
      <c r="J651" s="17">
        <v>5895.0</v>
      </c>
      <c r="K651" s="18">
        <v>-25704.0</v>
      </c>
      <c r="L651" s="17">
        <v>5895.0</v>
      </c>
      <c r="M651" s="18">
        <v>-25704.0</v>
      </c>
      <c r="N651" s="18">
        <v>536.031</v>
      </c>
      <c r="O651" s="18">
        <v>3600.0</v>
      </c>
      <c r="P651" s="4"/>
    </row>
    <row r="652">
      <c r="A652" s="8" t="s">
        <v>659</v>
      </c>
      <c r="B652" s="9">
        <v>45.0</v>
      </c>
      <c r="C652" s="9" t="s">
        <v>460</v>
      </c>
      <c r="D652" s="9">
        <v>50.0</v>
      </c>
      <c r="E652" s="10">
        <v>0.6</v>
      </c>
      <c r="F652" s="9">
        <v>5.0</v>
      </c>
      <c r="G652" s="9">
        <v>0.0</v>
      </c>
      <c r="H652" s="9">
        <v>1.0</v>
      </c>
      <c r="I652" s="9">
        <v>0.0</v>
      </c>
      <c r="J652" s="17">
        <v>5355.0</v>
      </c>
      <c r="K652" s="18">
        <v>-23279.0</v>
      </c>
      <c r="L652" s="17">
        <v>5355.0</v>
      </c>
      <c r="M652" s="18">
        <v>-23279.0</v>
      </c>
      <c r="N652" s="18">
        <v>534.715</v>
      </c>
      <c r="O652" s="18">
        <v>3600.0</v>
      </c>
      <c r="P652" s="4"/>
    </row>
    <row r="653">
      <c r="A653" s="8" t="s">
        <v>660</v>
      </c>
      <c r="B653" s="9">
        <v>45.0</v>
      </c>
      <c r="C653" s="9" t="s">
        <v>460</v>
      </c>
      <c r="D653" s="9">
        <v>50.0</v>
      </c>
      <c r="E653" s="10">
        <v>1.0</v>
      </c>
      <c r="F653" s="9">
        <v>1.0</v>
      </c>
      <c r="G653" s="9">
        <v>0.0</v>
      </c>
      <c r="H653" s="9">
        <v>1.0</v>
      </c>
      <c r="I653" s="9">
        <v>0.0</v>
      </c>
      <c r="J653" s="17">
        <v>-5215.0</v>
      </c>
      <c r="K653" s="18">
        <v>-6012.46</v>
      </c>
      <c r="L653" s="17">
        <v>-5284.0</v>
      </c>
      <c r="M653" s="18">
        <v>-5963.12</v>
      </c>
      <c r="N653" s="18">
        <v>12.8524</v>
      </c>
      <c r="O653" s="18">
        <v>3600.0</v>
      </c>
      <c r="P653" s="4"/>
    </row>
    <row r="654">
      <c r="A654" s="8" t="s">
        <v>661</v>
      </c>
      <c r="B654" s="9">
        <v>45.0</v>
      </c>
      <c r="C654" s="9" t="s">
        <v>460</v>
      </c>
      <c r="D654" s="9">
        <v>50.0</v>
      </c>
      <c r="E654" s="10">
        <v>1.0</v>
      </c>
      <c r="F654" s="9">
        <v>2.0</v>
      </c>
      <c r="G654" s="9">
        <v>1.0</v>
      </c>
      <c r="H654" s="9">
        <v>0.0</v>
      </c>
      <c r="I654" s="9">
        <v>0.0</v>
      </c>
      <c r="J654" s="17">
        <v>-6121.0</v>
      </c>
      <c r="K654" s="18">
        <v>-6183.39</v>
      </c>
      <c r="L654" s="17">
        <v>-6121.0</v>
      </c>
      <c r="M654" s="18">
        <v>-6121.0</v>
      </c>
      <c r="N654" s="18">
        <v>0.0</v>
      </c>
      <c r="O654" s="18">
        <v>3004.76</v>
      </c>
      <c r="P654" s="4"/>
    </row>
    <row r="655">
      <c r="A655" s="8" t="s">
        <v>662</v>
      </c>
      <c r="B655" s="9">
        <v>45.0</v>
      </c>
      <c r="C655" s="9" t="s">
        <v>460</v>
      </c>
      <c r="D655" s="9">
        <v>50.0</v>
      </c>
      <c r="E655" s="10">
        <v>1.0</v>
      </c>
      <c r="F655" s="9">
        <v>3.0</v>
      </c>
      <c r="G655" s="9">
        <v>0.0</v>
      </c>
      <c r="H655" s="9">
        <v>1.0</v>
      </c>
      <c r="I655" s="9">
        <v>0.0</v>
      </c>
      <c r="J655" s="17">
        <v>-5371.0</v>
      </c>
      <c r="K655" s="18">
        <v>-6052.49</v>
      </c>
      <c r="L655" s="17">
        <v>-5426.0</v>
      </c>
      <c r="M655" s="18">
        <v>-5976.92</v>
      </c>
      <c r="N655" s="18">
        <v>10.1533</v>
      </c>
      <c r="O655" s="18">
        <v>3600.0</v>
      </c>
      <c r="P655" s="4"/>
    </row>
    <row r="656">
      <c r="A656" s="8" t="s">
        <v>663</v>
      </c>
      <c r="B656" s="9">
        <v>45.0</v>
      </c>
      <c r="C656" s="9" t="s">
        <v>460</v>
      </c>
      <c r="D656" s="9">
        <v>50.0</v>
      </c>
      <c r="E656" s="10">
        <v>1.0</v>
      </c>
      <c r="F656" s="9">
        <v>4.0</v>
      </c>
      <c r="G656" s="9">
        <v>0.0</v>
      </c>
      <c r="H656" s="9">
        <v>1.0</v>
      </c>
      <c r="I656" s="9">
        <v>0.0</v>
      </c>
      <c r="J656" s="17">
        <v>-5272.0</v>
      </c>
      <c r="K656" s="18">
        <v>-6149.67</v>
      </c>
      <c r="L656" s="17">
        <v>-6040.0</v>
      </c>
      <c r="M656" s="18">
        <v>-6094.74</v>
      </c>
      <c r="N656" s="18">
        <v>0.906233</v>
      </c>
      <c r="O656" s="18">
        <v>3600.0</v>
      </c>
      <c r="P656" s="4"/>
    </row>
    <row r="657">
      <c r="A657" s="8" t="s">
        <v>664</v>
      </c>
      <c r="B657" s="9">
        <v>45.0</v>
      </c>
      <c r="C657" s="9" t="s">
        <v>460</v>
      </c>
      <c r="D657" s="9">
        <v>50.0</v>
      </c>
      <c r="E657" s="10">
        <v>1.0</v>
      </c>
      <c r="F657" s="9">
        <v>5.0</v>
      </c>
      <c r="G657" s="9">
        <v>0.0</v>
      </c>
      <c r="H657" s="9">
        <v>1.0</v>
      </c>
      <c r="I657" s="9">
        <v>0.0</v>
      </c>
      <c r="J657" s="17">
        <v>-5402.0</v>
      </c>
      <c r="K657" s="18">
        <v>-6008.56</v>
      </c>
      <c r="L657" s="17">
        <v>-5410.0</v>
      </c>
      <c r="M657" s="18">
        <v>-5941.7</v>
      </c>
      <c r="N657" s="18">
        <v>9.82811</v>
      </c>
      <c r="O657" s="18">
        <v>3600.0</v>
      </c>
      <c r="P657" s="4"/>
    </row>
    <row r="658">
      <c r="A658" s="8" t="s">
        <v>665</v>
      </c>
      <c r="B658" s="9">
        <v>45.0</v>
      </c>
      <c r="C658" s="9" t="s">
        <v>460</v>
      </c>
      <c r="D658" s="9">
        <v>50.0</v>
      </c>
      <c r="E658" s="10">
        <v>2.0</v>
      </c>
      <c r="F658" s="9">
        <v>1.0</v>
      </c>
      <c r="G658" s="9">
        <v>1.0</v>
      </c>
      <c r="H658" s="9">
        <v>0.0</v>
      </c>
      <c r="I658" s="9">
        <v>0.0</v>
      </c>
      <c r="J658" s="17">
        <v>36597.0</v>
      </c>
      <c r="K658" s="18">
        <v>36452.7</v>
      </c>
      <c r="L658" s="17">
        <v>36597.0</v>
      </c>
      <c r="M658" s="18">
        <v>36597.0</v>
      </c>
      <c r="N658" s="18">
        <v>0.0</v>
      </c>
      <c r="O658" s="18">
        <v>367.265</v>
      </c>
      <c r="P658" s="4"/>
    </row>
    <row r="659">
      <c r="A659" s="8" t="s">
        <v>666</v>
      </c>
      <c r="B659" s="9">
        <v>45.0</v>
      </c>
      <c r="C659" s="9" t="s">
        <v>460</v>
      </c>
      <c r="D659" s="9">
        <v>50.0</v>
      </c>
      <c r="E659" s="10">
        <v>2.0</v>
      </c>
      <c r="F659" s="9">
        <v>2.0</v>
      </c>
      <c r="G659" s="9">
        <v>1.0</v>
      </c>
      <c r="H659" s="9">
        <v>0.0</v>
      </c>
      <c r="I659" s="9">
        <v>0.0</v>
      </c>
      <c r="J659" s="17">
        <v>36867.0</v>
      </c>
      <c r="K659" s="18">
        <v>36757.8</v>
      </c>
      <c r="L659" s="17">
        <v>36831.0</v>
      </c>
      <c r="M659" s="18">
        <v>36831.0</v>
      </c>
      <c r="N659" s="18">
        <v>0.0</v>
      </c>
      <c r="O659" s="18">
        <v>57.101</v>
      </c>
      <c r="P659" s="4"/>
    </row>
    <row r="660">
      <c r="A660" s="8" t="s">
        <v>667</v>
      </c>
      <c r="B660" s="9">
        <v>45.0</v>
      </c>
      <c r="C660" s="9" t="s">
        <v>460</v>
      </c>
      <c r="D660" s="9">
        <v>50.0</v>
      </c>
      <c r="E660" s="10">
        <v>2.0</v>
      </c>
      <c r="F660" s="9">
        <v>3.0</v>
      </c>
      <c r="G660" s="9">
        <v>1.0</v>
      </c>
      <c r="H660" s="9">
        <v>0.0</v>
      </c>
      <c r="I660" s="9">
        <v>0.0</v>
      </c>
      <c r="J660" s="17">
        <v>33509.0</v>
      </c>
      <c r="K660" s="18">
        <v>33262.5</v>
      </c>
      <c r="L660" s="17">
        <v>33349.0</v>
      </c>
      <c r="M660" s="18">
        <v>33349.0</v>
      </c>
      <c r="N660" s="18">
        <v>0.0</v>
      </c>
      <c r="O660" s="18">
        <v>135.024</v>
      </c>
      <c r="P660" s="4"/>
    </row>
    <row r="661">
      <c r="A661" s="8" t="s">
        <v>668</v>
      </c>
      <c r="B661" s="9">
        <v>45.0</v>
      </c>
      <c r="C661" s="9" t="s">
        <v>460</v>
      </c>
      <c r="D661" s="9">
        <v>50.0</v>
      </c>
      <c r="E661" s="10">
        <v>2.0</v>
      </c>
      <c r="F661" s="9">
        <v>4.0</v>
      </c>
      <c r="G661" s="9">
        <v>1.0</v>
      </c>
      <c r="H661" s="9">
        <v>0.0</v>
      </c>
      <c r="I661" s="9">
        <v>0.0</v>
      </c>
      <c r="J661" s="17">
        <v>36969.0</v>
      </c>
      <c r="K661" s="18">
        <v>36834.6</v>
      </c>
      <c r="L661" s="17">
        <v>36919.0</v>
      </c>
      <c r="M661" s="18">
        <v>36919.0</v>
      </c>
      <c r="N661" s="18">
        <v>0.0</v>
      </c>
      <c r="O661" s="18">
        <v>180.42</v>
      </c>
      <c r="P661" s="4"/>
    </row>
    <row r="662">
      <c r="A662" s="8" t="s">
        <v>669</v>
      </c>
      <c r="B662" s="9">
        <v>45.0</v>
      </c>
      <c r="C662" s="9" t="s">
        <v>460</v>
      </c>
      <c r="D662" s="9">
        <v>50.0</v>
      </c>
      <c r="E662" s="10">
        <v>2.0</v>
      </c>
      <c r="F662" s="9">
        <v>5.0</v>
      </c>
      <c r="G662" s="9">
        <v>1.0</v>
      </c>
      <c r="H662" s="9">
        <v>0.0</v>
      </c>
      <c r="I662" s="9">
        <v>0.0</v>
      </c>
      <c r="J662" s="17">
        <v>33467.0</v>
      </c>
      <c r="K662" s="18">
        <v>33141.7</v>
      </c>
      <c r="L662" s="17">
        <v>33238.0</v>
      </c>
      <c r="M662" s="18">
        <v>33238.0</v>
      </c>
      <c r="N662" s="18">
        <v>0.0</v>
      </c>
      <c r="O662" s="18">
        <v>179.001</v>
      </c>
      <c r="P662" s="4"/>
    </row>
    <row r="663">
      <c r="A663" s="8" t="s">
        <v>670</v>
      </c>
      <c r="B663" s="9">
        <v>45.0</v>
      </c>
      <c r="C663" s="9" t="s">
        <v>460</v>
      </c>
      <c r="D663" s="9">
        <v>75.0</v>
      </c>
      <c r="E663" s="10">
        <v>0.6</v>
      </c>
      <c r="F663" s="9">
        <v>1.0</v>
      </c>
      <c r="G663" s="9">
        <v>0.0</v>
      </c>
      <c r="H663" s="9">
        <v>1.0</v>
      </c>
      <c r="I663" s="9">
        <v>0.0</v>
      </c>
      <c r="J663" s="17">
        <v>8730.0</v>
      </c>
      <c r="K663" s="18">
        <v>-38136.0</v>
      </c>
      <c r="L663" s="17">
        <v>8730.0</v>
      </c>
      <c r="M663" s="18">
        <v>-38136.0</v>
      </c>
      <c r="N663" s="18">
        <v>536.838</v>
      </c>
      <c r="O663" s="18">
        <v>3600.0</v>
      </c>
      <c r="P663" s="4"/>
    </row>
    <row r="664">
      <c r="A664" s="8" t="s">
        <v>671</v>
      </c>
      <c r="B664" s="9">
        <v>45.0</v>
      </c>
      <c r="C664" s="9" t="s">
        <v>460</v>
      </c>
      <c r="D664" s="9">
        <v>75.0</v>
      </c>
      <c r="E664" s="10">
        <v>0.6</v>
      </c>
      <c r="F664" s="9">
        <v>2.0</v>
      </c>
      <c r="G664" s="9">
        <v>0.0</v>
      </c>
      <c r="H664" s="9">
        <v>1.0</v>
      </c>
      <c r="I664" s="9">
        <v>0.0</v>
      </c>
      <c r="J664" s="17">
        <v>9045.0</v>
      </c>
      <c r="K664" s="18">
        <v>-39464.0</v>
      </c>
      <c r="L664" s="17">
        <v>9045.0</v>
      </c>
      <c r="M664" s="18">
        <v>-39464.0</v>
      </c>
      <c r="N664" s="18">
        <v>536.307</v>
      </c>
      <c r="O664" s="18">
        <v>3600.0</v>
      </c>
      <c r="P664" s="4"/>
    </row>
    <row r="665">
      <c r="A665" s="8" t="s">
        <v>672</v>
      </c>
      <c r="B665" s="9">
        <v>45.0</v>
      </c>
      <c r="C665" s="9" t="s">
        <v>460</v>
      </c>
      <c r="D665" s="9">
        <v>75.0</v>
      </c>
      <c r="E665" s="10">
        <v>0.6</v>
      </c>
      <c r="F665" s="9">
        <v>3.0</v>
      </c>
      <c r="G665" s="9">
        <v>0.0</v>
      </c>
      <c r="H665" s="9">
        <v>1.0</v>
      </c>
      <c r="I665" s="9">
        <v>0.0</v>
      </c>
      <c r="J665" s="17">
        <v>8730.0</v>
      </c>
      <c r="K665" s="18">
        <v>-38041.0</v>
      </c>
      <c r="L665" s="17">
        <v>8730.0</v>
      </c>
      <c r="M665" s="18">
        <v>-38041.0</v>
      </c>
      <c r="N665" s="18">
        <v>535.75</v>
      </c>
      <c r="O665" s="18">
        <v>3600.0</v>
      </c>
      <c r="P665" s="4"/>
    </row>
    <row r="666">
      <c r="A666" s="8" t="s">
        <v>673</v>
      </c>
      <c r="B666" s="9">
        <v>45.0</v>
      </c>
      <c r="C666" s="9" t="s">
        <v>460</v>
      </c>
      <c r="D666" s="9">
        <v>75.0</v>
      </c>
      <c r="E666" s="10">
        <v>0.6</v>
      </c>
      <c r="F666" s="9">
        <v>4.0</v>
      </c>
      <c r="G666" s="9">
        <v>0.0</v>
      </c>
      <c r="H666" s="9">
        <v>1.0</v>
      </c>
      <c r="I666" s="9">
        <v>0.0</v>
      </c>
      <c r="J666" s="17">
        <v>8415.0</v>
      </c>
      <c r="K666" s="18">
        <v>-36789.0</v>
      </c>
      <c r="L666" s="17">
        <v>8415.0</v>
      </c>
      <c r="M666" s="18">
        <v>-36789.0</v>
      </c>
      <c r="N666" s="18">
        <v>537.184</v>
      </c>
      <c r="O666" s="18">
        <v>3600.0</v>
      </c>
      <c r="P666" s="4"/>
    </row>
    <row r="667">
      <c r="A667" s="8" t="s">
        <v>674</v>
      </c>
      <c r="B667" s="9">
        <v>45.0</v>
      </c>
      <c r="C667" s="9" t="s">
        <v>460</v>
      </c>
      <c r="D667" s="9">
        <v>75.0</v>
      </c>
      <c r="E667" s="10">
        <v>0.6</v>
      </c>
      <c r="F667" s="9">
        <v>5.0</v>
      </c>
      <c r="G667" s="9">
        <v>0.0</v>
      </c>
      <c r="H667" s="9">
        <v>1.0</v>
      </c>
      <c r="I667" s="9">
        <v>0.0</v>
      </c>
      <c r="J667" s="17">
        <v>8100.0</v>
      </c>
      <c r="K667" s="18">
        <v>-35440.0</v>
      </c>
      <c r="L667" s="17">
        <v>8100.0</v>
      </c>
      <c r="M667" s="18">
        <v>-35440.0</v>
      </c>
      <c r="N667" s="18">
        <v>537.531</v>
      </c>
      <c r="O667" s="18">
        <v>3600.0</v>
      </c>
      <c r="P667" s="4"/>
    </row>
    <row r="668">
      <c r="A668" s="8" t="s">
        <v>675</v>
      </c>
      <c r="B668" s="9">
        <v>45.0</v>
      </c>
      <c r="C668" s="9" t="s">
        <v>460</v>
      </c>
      <c r="D668" s="9">
        <v>75.0</v>
      </c>
      <c r="E668" s="10">
        <v>1.0</v>
      </c>
      <c r="F668" s="9">
        <v>1.0</v>
      </c>
      <c r="G668" s="9">
        <v>0.0</v>
      </c>
      <c r="H668" s="9">
        <v>1.0</v>
      </c>
      <c r="I668" s="9">
        <v>0.0</v>
      </c>
      <c r="J668" s="17">
        <v>-5819.0</v>
      </c>
      <c r="K668" s="18">
        <v>-6916.7</v>
      </c>
      <c r="L668" s="17">
        <v>-5868.0</v>
      </c>
      <c r="M668" s="18">
        <v>-6857.32</v>
      </c>
      <c r="N668" s="18">
        <v>16.8595</v>
      </c>
      <c r="O668" s="18">
        <v>3600.0</v>
      </c>
      <c r="P668" s="4"/>
    </row>
    <row r="669">
      <c r="A669" s="8" t="s">
        <v>676</v>
      </c>
      <c r="B669" s="9">
        <v>45.0</v>
      </c>
      <c r="C669" s="9" t="s">
        <v>460</v>
      </c>
      <c r="D669" s="9">
        <v>75.0</v>
      </c>
      <c r="E669" s="10">
        <v>1.0</v>
      </c>
      <c r="F669" s="9">
        <v>2.0</v>
      </c>
      <c r="G669" s="9">
        <v>0.0</v>
      </c>
      <c r="H669" s="9">
        <v>1.0</v>
      </c>
      <c r="I669" s="9">
        <v>0.0</v>
      </c>
      <c r="J669" s="17">
        <v>-7221.0</v>
      </c>
      <c r="K669" s="18">
        <v>-8750.63</v>
      </c>
      <c r="L669" s="17">
        <v>-8490.0</v>
      </c>
      <c r="M669" s="18">
        <v>-8688.53</v>
      </c>
      <c r="N669" s="18">
        <v>2.33841</v>
      </c>
      <c r="O669" s="18">
        <v>3600.0</v>
      </c>
      <c r="P669" s="4"/>
    </row>
    <row r="670">
      <c r="A670" s="8" t="s">
        <v>677</v>
      </c>
      <c r="B670" s="9">
        <v>45.0</v>
      </c>
      <c r="C670" s="9" t="s">
        <v>460</v>
      </c>
      <c r="D670" s="9">
        <v>75.0</v>
      </c>
      <c r="E670" s="10">
        <v>1.0</v>
      </c>
      <c r="F670" s="9">
        <v>3.0</v>
      </c>
      <c r="G670" s="9">
        <v>0.0</v>
      </c>
      <c r="H670" s="9">
        <v>1.0</v>
      </c>
      <c r="I670" s="9">
        <v>0.0</v>
      </c>
      <c r="J670" s="17">
        <v>-6645.0</v>
      </c>
      <c r="K670" s="18">
        <v>-7288.29</v>
      </c>
      <c r="L670" s="17">
        <v>-6645.0</v>
      </c>
      <c r="M670" s="18">
        <v>-7228.01</v>
      </c>
      <c r="N670" s="18">
        <v>8.77361</v>
      </c>
      <c r="O670" s="18">
        <v>3600.0</v>
      </c>
      <c r="P670" s="4"/>
    </row>
    <row r="671">
      <c r="A671" s="8" t="s">
        <v>678</v>
      </c>
      <c r="B671" s="9">
        <v>45.0</v>
      </c>
      <c r="C671" s="9" t="s">
        <v>460</v>
      </c>
      <c r="D671" s="9">
        <v>75.0</v>
      </c>
      <c r="E671" s="10">
        <v>1.0</v>
      </c>
      <c r="F671" s="9">
        <v>4.0</v>
      </c>
      <c r="G671" s="9">
        <v>0.0</v>
      </c>
      <c r="H671" s="9">
        <v>1.0</v>
      </c>
      <c r="I671" s="9">
        <v>0.0</v>
      </c>
      <c r="J671" s="17">
        <v>-7087.0</v>
      </c>
      <c r="K671" s="18">
        <v>-7178.91</v>
      </c>
      <c r="L671" s="17">
        <v>-7087.0</v>
      </c>
      <c r="M671" s="18">
        <v>-7110.02</v>
      </c>
      <c r="N671" s="18">
        <v>0.324794</v>
      </c>
      <c r="O671" s="18">
        <v>3600.0</v>
      </c>
      <c r="P671" s="4"/>
    </row>
    <row r="672">
      <c r="A672" s="8" t="s">
        <v>679</v>
      </c>
      <c r="B672" s="9">
        <v>45.0</v>
      </c>
      <c r="C672" s="9" t="s">
        <v>460</v>
      </c>
      <c r="D672" s="9">
        <v>75.0</v>
      </c>
      <c r="E672" s="10">
        <v>1.0</v>
      </c>
      <c r="F672" s="9">
        <v>5.0</v>
      </c>
      <c r="G672" s="9">
        <v>1.0</v>
      </c>
      <c r="H672" s="9">
        <v>0.0</v>
      </c>
      <c r="I672" s="9">
        <v>0.0</v>
      </c>
      <c r="J672" s="17">
        <v>-6042.0</v>
      </c>
      <c r="K672" s="18">
        <v>-7452.48</v>
      </c>
      <c r="L672" s="17">
        <v>-7393.0</v>
      </c>
      <c r="M672" s="18">
        <v>-7393.0</v>
      </c>
      <c r="N672" s="18">
        <v>0.0</v>
      </c>
      <c r="O672" s="18">
        <v>3334.43</v>
      </c>
      <c r="P672" s="4"/>
    </row>
    <row r="673">
      <c r="A673" s="8" t="s">
        <v>680</v>
      </c>
      <c r="B673" s="9">
        <v>45.0</v>
      </c>
      <c r="C673" s="9" t="s">
        <v>460</v>
      </c>
      <c r="D673" s="9">
        <v>75.0</v>
      </c>
      <c r="E673" s="10">
        <v>2.0</v>
      </c>
      <c r="F673" s="9">
        <v>1.0</v>
      </c>
      <c r="G673" s="9">
        <v>0.0</v>
      </c>
      <c r="H673" s="9">
        <v>1.0</v>
      </c>
      <c r="I673" s="9">
        <v>0.0</v>
      </c>
      <c r="J673" s="17">
        <v>69448.0</v>
      </c>
      <c r="K673" s="18">
        <v>56312.8</v>
      </c>
      <c r="L673" s="17">
        <v>56636.0</v>
      </c>
      <c r="M673" s="18">
        <v>56538.3</v>
      </c>
      <c r="N673" s="18">
        <v>0.1725</v>
      </c>
      <c r="O673" s="18">
        <v>3600.0</v>
      </c>
      <c r="P673" s="4"/>
    </row>
    <row r="674">
      <c r="A674" s="8" t="s">
        <v>681</v>
      </c>
      <c r="B674" s="9">
        <v>45.0</v>
      </c>
      <c r="C674" s="9" t="s">
        <v>460</v>
      </c>
      <c r="D674" s="9">
        <v>75.0</v>
      </c>
      <c r="E674" s="10">
        <v>2.0</v>
      </c>
      <c r="F674" s="9">
        <v>2.0</v>
      </c>
      <c r="G674" s="9">
        <v>1.0</v>
      </c>
      <c r="H674" s="9">
        <v>0.0</v>
      </c>
      <c r="I674" s="9">
        <v>0.0</v>
      </c>
      <c r="J674" s="17">
        <v>57288.0</v>
      </c>
      <c r="K674" s="18">
        <v>56971.0</v>
      </c>
      <c r="L674" s="17">
        <v>57137.0</v>
      </c>
      <c r="M674" s="18">
        <v>57137.0</v>
      </c>
      <c r="N674" s="18">
        <v>0.0</v>
      </c>
      <c r="O674" s="18">
        <v>1918.97</v>
      </c>
      <c r="P674" s="4"/>
    </row>
    <row r="675">
      <c r="A675" s="8" t="s">
        <v>682</v>
      </c>
      <c r="B675" s="9">
        <v>45.0</v>
      </c>
      <c r="C675" s="9" t="s">
        <v>460</v>
      </c>
      <c r="D675" s="9">
        <v>75.0</v>
      </c>
      <c r="E675" s="10">
        <v>2.0</v>
      </c>
      <c r="F675" s="9">
        <v>3.0</v>
      </c>
      <c r="G675" s="9">
        <v>1.0</v>
      </c>
      <c r="H675" s="9">
        <v>0.0</v>
      </c>
      <c r="I675" s="9">
        <v>0.0</v>
      </c>
      <c r="J675" s="17">
        <v>56781.0</v>
      </c>
      <c r="K675" s="18">
        <v>55995.4</v>
      </c>
      <c r="L675" s="17">
        <v>56159.0</v>
      </c>
      <c r="M675" s="18">
        <v>56159.0</v>
      </c>
      <c r="N675" s="18">
        <v>0.0</v>
      </c>
      <c r="O675" s="18">
        <v>456.594</v>
      </c>
      <c r="P675" s="4"/>
    </row>
    <row r="676">
      <c r="A676" s="8" t="s">
        <v>683</v>
      </c>
      <c r="B676" s="9">
        <v>45.0</v>
      </c>
      <c r="C676" s="9" t="s">
        <v>460</v>
      </c>
      <c r="D676" s="9">
        <v>75.0</v>
      </c>
      <c r="E676" s="10">
        <v>2.0</v>
      </c>
      <c r="F676" s="9">
        <v>4.0</v>
      </c>
      <c r="G676" s="9">
        <v>1.0</v>
      </c>
      <c r="H676" s="9">
        <v>0.0</v>
      </c>
      <c r="I676" s="9">
        <v>0.0</v>
      </c>
      <c r="J676" s="17">
        <v>54347.0</v>
      </c>
      <c r="K676" s="18">
        <v>53971.9</v>
      </c>
      <c r="L676" s="17">
        <v>54156.0</v>
      </c>
      <c r="M676" s="18">
        <v>54156.0</v>
      </c>
      <c r="N676" s="18">
        <v>0.0</v>
      </c>
      <c r="O676" s="18">
        <v>691.092</v>
      </c>
      <c r="P676" s="4"/>
    </row>
    <row r="677">
      <c r="A677" s="8" t="s">
        <v>684</v>
      </c>
      <c r="B677" s="9">
        <v>45.0</v>
      </c>
      <c r="C677" s="9" t="s">
        <v>460</v>
      </c>
      <c r="D677" s="9">
        <v>75.0</v>
      </c>
      <c r="E677" s="10">
        <v>2.0</v>
      </c>
      <c r="F677" s="9">
        <v>5.0</v>
      </c>
      <c r="G677" s="9">
        <v>1.0</v>
      </c>
      <c r="H677" s="9">
        <v>0.0</v>
      </c>
      <c r="I677" s="9">
        <v>0.0</v>
      </c>
      <c r="J677" s="17">
        <v>51734.0</v>
      </c>
      <c r="K677" s="18">
        <v>51710.3</v>
      </c>
      <c r="L677" s="17">
        <v>51734.0</v>
      </c>
      <c r="M677" s="18">
        <v>51734.0</v>
      </c>
      <c r="N677" s="18">
        <v>0.0</v>
      </c>
      <c r="O677" s="18">
        <v>27.633</v>
      </c>
      <c r="P677" s="4"/>
    </row>
    <row r="678">
      <c r="B678" s="11"/>
      <c r="C678" s="11"/>
      <c r="D678" s="11"/>
      <c r="E678" s="15"/>
      <c r="F678" s="11"/>
      <c r="G678" s="11"/>
      <c r="H678" s="11"/>
      <c r="I678" s="11"/>
      <c r="J678" s="12"/>
      <c r="K678" s="13"/>
      <c r="L678" s="12"/>
      <c r="M678" s="13"/>
      <c r="N678" s="13"/>
      <c r="O678" s="13"/>
    </row>
    <row r="679">
      <c r="B679" s="11"/>
      <c r="C679" s="11"/>
      <c r="D679" s="11"/>
      <c r="E679" s="15"/>
      <c r="F679" s="11"/>
      <c r="G679" s="11"/>
      <c r="H679" s="11"/>
      <c r="I679" s="11"/>
      <c r="J679" s="12"/>
      <c r="K679" s="13"/>
      <c r="L679" s="12"/>
      <c r="M679" s="13"/>
      <c r="N679" s="13"/>
      <c r="O679" s="13"/>
    </row>
    <row r="680">
      <c r="B680" s="11"/>
      <c r="C680" s="11"/>
      <c r="D680" s="11"/>
      <c r="E680" s="15"/>
      <c r="F680" s="11"/>
      <c r="G680" s="11"/>
      <c r="H680" s="11"/>
      <c r="I680" s="11"/>
      <c r="J680" s="12"/>
      <c r="K680" s="13"/>
      <c r="L680" s="12"/>
      <c r="M680" s="13"/>
      <c r="N680" s="13"/>
      <c r="O680" s="13"/>
    </row>
    <row r="681">
      <c r="B681" s="11"/>
      <c r="C681" s="11"/>
      <c r="D681" s="11"/>
      <c r="E681" s="15"/>
      <c r="F681" s="11"/>
      <c r="G681" s="11"/>
      <c r="H681" s="11"/>
      <c r="I681" s="11"/>
      <c r="J681" s="12"/>
      <c r="K681" s="13"/>
      <c r="L681" s="12"/>
      <c r="M681" s="13"/>
      <c r="N681" s="13"/>
      <c r="O681" s="13"/>
    </row>
    <row r="682">
      <c r="B682" s="11"/>
      <c r="C682" s="11"/>
      <c r="D682" s="11"/>
      <c r="E682" s="15"/>
      <c r="F682" s="11"/>
      <c r="G682" s="11"/>
      <c r="H682" s="11"/>
      <c r="I682" s="11"/>
      <c r="J682" s="12"/>
      <c r="K682" s="13"/>
      <c r="L682" s="12"/>
      <c r="M682" s="13"/>
      <c r="N682" s="13"/>
      <c r="O682" s="13"/>
    </row>
    <row r="683">
      <c r="B683" s="11"/>
      <c r="C683" s="11"/>
      <c r="D683" s="11"/>
      <c r="E683" s="15"/>
      <c r="F683" s="11"/>
      <c r="G683" s="11"/>
      <c r="H683" s="11"/>
      <c r="I683" s="11"/>
      <c r="J683" s="12"/>
      <c r="K683" s="13"/>
      <c r="L683" s="12"/>
      <c r="M683" s="13"/>
      <c r="N683" s="13"/>
      <c r="O683" s="13"/>
    </row>
    <row r="684">
      <c r="B684" s="11"/>
      <c r="C684" s="11"/>
      <c r="D684" s="11"/>
      <c r="E684" s="15"/>
      <c r="F684" s="11"/>
      <c r="G684" s="11"/>
      <c r="H684" s="11"/>
      <c r="I684" s="11"/>
      <c r="J684" s="12"/>
      <c r="K684" s="13"/>
      <c r="L684" s="12"/>
      <c r="M684" s="13"/>
      <c r="N684" s="13"/>
      <c r="O684" s="13"/>
    </row>
    <row r="685">
      <c r="B685" s="11"/>
      <c r="C685" s="11"/>
      <c r="D685" s="11"/>
      <c r="E685" s="15"/>
      <c r="F685" s="11"/>
      <c r="G685" s="11"/>
      <c r="H685" s="11"/>
      <c r="I685" s="11"/>
      <c r="J685" s="12"/>
      <c r="K685" s="13"/>
      <c r="L685" s="12"/>
      <c r="M685" s="13"/>
      <c r="N685" s="13"/>
      <c r="O685" s="13"/>
    </row>
    <row r="686">
      <c r="B686" s="11"/>
      <c r="C686" s="11"/>
      <c r="D686" s="11"/>
      <c r="E686" s="15"/>
      <c r="F686" s="11"/>
      <c r="G686" s="11"/>
      <c r="H686" s="11"/>
      <c r="I686" s="11"/>
      <c r="J686" s="12"/>
      <c r="K686" s="13"/>
      <c r="L686" s="12"/>
      <c r="M686" s="13"/>
      <c r="N686" s="13"/>
      <c r="O686" s="13"/>
    </row>
    <row r="687">
      <c r="B687" s="11"/>
      <c r="C687" s="11"/>
      <c r="D687" s="11"/>
      <c r="E687" s="15"/>
      <c r="F687" s="11"/>
      <c r="G687" s="11"/>
      <c r="H687" s="11"/>
      <c r="I687" s="11"/>
      <c r="J687" s="12"/>
      <c r="K687" s="13"/>
      <c r="L687" s="12"/>
      <c r="M687" s="13"/>
      <c r="N687" s="13"/>
      <c r="O687" s="13"/>
    </row>
    <row r="688">
      <c r="B688" s="11"/>
      <c r="C688" s="11"/>
      <c r="D688" s="11"/>
      <c r="E688" s="15"/>
      <c r="F688" s="11"/>
      <c r="G688" s="11"/>
      <c r="H688" s="11"/>
      <c r="I688" s="11"/>
      <c r="J688" s="12"/>
      <c r="K688" s="13"/>
      <c r="L688" s="12"/>
      <c r="M688" s="13"/>
      <c r="N688" s="13"/>
      <c r="O688" s="13"/>
    </row>
    <row r="689">
      <c r="B689" s="11"/>
      <c r="C689" s="11"/>
      <c r="D689" s="11"/>
      <c r="E689" s="15"/>
      <c r="F689" s="11"/>
      <c r="G689" s="11"/>
      <c r="H689" s="11"/>
      <c r="I689" s="11"/>
      <c r="J689" s="12"/>
      <c r="K689" s="13"/>
      <c r="L689" s="12"/>
      <c r="M689" s="13"/>
      <c r="N689" s="13"/>
      <c r="O689" s="13"/>
    </row>
    <row r="690">
      <c r="B690" s="11"/>
      <c r="C690" s="11"/>
      <c r="D690" s="11"/>
      <c r="E690" s="15"/>
      <c r="F690" s="11"/>
      <c r="G690" s="11"/>
      <c r="H690" s="11"/>
      <c r="I690" s="11"/>
      <c r="J690" s="12"/>
      <c r="K690" s="13"/>
      <c r="L690" s="12"/>
      <c r="M690" s="13"/>
      <c r="N690" s="13"/>
      <c r="O690" s="13"/>
    </row>
    <row r="691">
      <c r="B691" s="11"/>
      <c r="C691" s="11"/>
      <c r="D691" s="11"/>
      <c r="E691" s="15"/>
      <c r="F691" s="11"/>
      <c r="G691" s="11"/>
      <c r="H691" s="11"/>
      <c r="I691" s="11"/>
      <c r="J691" s="12"/>
      <c r="K691" s="13"/>
      <c r="L691" s="12"/>
      <c r="M691" s="13"/>
      <c r="N691" s="13"/>
      <c r="O691" s="13"/>
    </row>
    <row r="692">
      <c r="B692" s="11"/>
      <c r="C692" s="11"/>
      <c r="D692" s="11"/>
      <c r="E692" s="15"/>
      <c r="F692" s="11"/>
      <c r="G692" s="11"/>
      <c r="H692" s="11"/>
      <c r="I692" s="11"/>
      <c r="J692" s="12"/>
      <c r="K692" s="13"/>
      <c r="L692" s="12"/>
      <c r="M692" s="13"/>
      <c r="N692" s="13"/>
      <c r="O692" s="13"/>
    </row>
    <row r="693">
      <c r="B693" s="11"/>
      <c r="C693" s="11"/>
      <c r="D693" s="11"/>
      <c r="E693" s="15"/>
      <c r="F693" s="11"/>
      <c r="G693" s="11"/>
      <c r="H693" s="11"/>
      <c r="I693" s="11"/>
      <c r="J693" s="12"/>
      <c r="K693" s="13"/>
      <c r="L693" s="12"/>
      <c r="M693" s="13"/>
      <c r="N693" s="13"/>
      <c r="O693" s="13"/>
    </row>
    <row r="694">
      <c r="B694" s="11"/>
      <c r="C694" s="11"/>
      <c r="D694" s="11"/>
      <c r="E694" s="15"/>
      <c r="F694" s="11"/>
      <c r="G694" s="11"/>
      <c r="H694" s="11"/>
      <c r="I694" s="11"/>
      <c r="J694" s="12"/>
      <c r="K694" s="13"/>
      <c r="L694" s="12"/>
      <c r="M694" s="13"/>
      <c r="N694" s="13"/>
      <c r="O694" s="13"/>
    </row>
    <row r="695">
      <c r="B695" s="11"/>
      <c r="C695" s="11"/>
      <c r="D695" s="11"/>
      <c r="E695" s="15"/>
      <c r="F695" s="11"/>
      <c r="G695" s="11"/>
      <c r="H695" s="11"/>
      <c r="I695" s="11"/>
      <c r="J695" s="12"/>
      <c r="K695" s="13"/>
      <c r="L695" s="12"/>
      <c r="M695" s="13"/>
      <c r="N695" s="13"/>
      <c r="O695" s="13"/>
    </row>
    <row r="696">
      <c r="B696" s="11"/>
      <c r="C696" s="11"/>
      <c r="D696" s="11"/>
      <c r="E696" s="15"/>
      <c r="F696" s="11"/>
      <c r="G696" s="11"/>
      <c r="H696" s="11"/>
      <c r="I696" s="11"/>
      <c r="J696" s="12"/>
      <c r="K696" s="13"/>
      <c r="L696" s="12"/>
      <c r="M696" s="13"/>
      <c r="N696" s="13"/>
      <c r="O696" s="13"/>
    </row>
    <row r="697">
      <c r="B697" s="11"/>
      <c r="C697" s="11"/>
      <c r="D697" s="11"/>
      <c r="E697" s="15"/>
      <c r="F697" s="11"/>
      <c r="G697" s="11"/>
      <c r="H697" s="11"/>
      <c r="I697" s="11"/>
      <c r="J697" s="12"/>
      <c r="K697" s="13"/>
      <c r="L697" s="12"/>
      <c r="M697" s="13"/>
      <c r="N697" s="13"/>
      <c r="O697" s="13"/>
    </row>
    <row r="698">
      <c r="B698" s="11"/>
      <c r="C698" s="11"/>
      <c r="D698" s="11"/>
      <c r="E698" s="15"/>
      <c r="F698" s="11"/>
      <c r="G698" s="11"/>
      <c r="H698" s="11"/>
      <c r="I698" s="11"/>
      <c r="J698" s="12"/>
      <c r="K698" s="13"/>
      <c r="L698" s="12"/>
      <c r="M698" s="13"/>
      <c r="N698" s="13"/>
      <c r="O698" s="13"/>
    </row>
    <row r="699">
      <c r="B699" s="11"/>
      <c r="C699" s="11"/>
      <c r="D699" s="11"/>
      <c r="E699" s="15"/>
      <c r="F699" s="11"/>
      <c r="G699" s="11"/>
      <c r="H699" s="11"/>
      <c r="I699" s="11"/>
      <c r="J699" s="12"/>
      <c r="K699" s="13"/>
      <c r="L699" s="12"/>
      <c r="M699" s="13"/>
      <c r="N699" s="13"/>
      <c r="O699" s="13"/>
    </row>
    <row r="700">
      <c r="B700" s="11"/>
      <c r="C700" s="11"/>
      <c r="D700" s="11"/>
      <c r="E700" s="15"/>
      <c r="F700" s="11"/>
      <c r="G700" s="11"/>
      <c r="H700" s="11"/>
      <c r="I700" s="11"/>
      <c r="J700" s="12"/>
      <c r="K700" s="13"/>
      <c r="L700" s="12"/>
      <c r="M700" s="13"/>
      <c r="N700" s="13"/>
      <c r="O700" s="13"/>
    </row>
    <row r="701">
      <c r="B701" s="11"/>
      <c r="C701" s="11"/>
      <c r="D701" s="11"/>
      <c r="E701" s="15"/>
      <c r="F701" s="11"/>
      <c r="G701" s="11"/>
      <c r="H701" s="11"/>
      <c r="I701" s="11"/>
      <c r="J701" s="12"/>
      <c r="K701" s="13"/>
      <c r="L701" s="12"/>
      <c r="M701" s="13"/>
      <c r="N701" s="13"/>
      <c r="O701" s="13"/>
    </row>
    <row r="702">
      <c r="B702" s="11"/>
      <c r="C702" s="11"/>
      <c r="D702" s="11"/>
      <c r="E702" s="15"/>
      <c r="F702" s="11"/>
      <c r="G702" s="11"/>
      <c r="H702" s="11"/>
      <c r="I702" s="11"/>
      <c r="J702" s="12"/>
      <c r="K702" s="13"/>
      <c r="L702" s="12"/>
      <c r="M702" s="13"/>
      <c r="N702" s="13"/>
      <c r="O702" s="13"/>
    </row>
    <row r="703">
      <c r="B703" s="11"/>
      <c r="C703" s="11"/>
      <c r="D703" s="11"/>
      <c r="E703" s="15"/>
      <c r="F703" s="11"/>
      <c r="G703" s="11"/>
      <c r="H703" s="11"/>
      <c r="I703" s="11"/>
      <c r="J703" s="12"/>
      <c r="K703" s="13"/>
      <c r="L703" s="12"/>
      <c r="M703" s="13"/>
      <c r="N703" s="13"/>
      <c r="O703" s="13"/>
    </row>
    <row r="704">
      <c r="B704" s="11"/>
      <c r="C704" s="11"/>
      <c r="D704" s="11"/>
      <c r="E704" s="15"/>
      <c r="F704" s="11"/>
      <c r="G704" s="11"/>
      <c r="H704" s="11"/>
      <c r="I704" s="11"/>
      <c r="J704" s="12"/>
      <c r="K704" s="13"/>
      <c r="L704" s="12"/>
      <c r="M704" s="13"/>
      <c r="N704" s="13"/>
      <c r="O704" s="13"/>
    </row>
    <row r="705">
      <c r="B705" s="11"/>
      <c r="C705" s="11"/>
      <c r="D705" s="11"/>
      <c r="E705" s="15"/>
      <c r="F705" s="11"/>
      <c r="G705" s="11"/>
      <c r="H705" s="11"/>
      <c r="I705" s="11"/>
      <c r="J705" s="12"/>
      <c r="K705" s="13"/>
      <c r="L705" s="12"/>
      <c r="M705" s="13"/>
      <c r="N705" s="13"/>
      <c r="O705" s="13"/>
    </row>
    <row r="706">
      <c r="B706" s="11"/>
      <c r="C706" s="11"/>
      <c r="D706" s="11"/>
      <c r="E706" s="15"/>
      <c r="F706" s="11"/>
      <c r="G706" s="11"/>
      <c r="H706" s="11"/>
      <c r="I706" s="11"/>
      <c r="J706" s="12"/>
      <c r="K706" s="13"/>
      <c r="L706" s="12"/>
      <c r="M706" s="13"/>
      <c r="N706" s="13"/>
      <c r="O706" s="13"/>
    </row>
    <row r="707">
      <c r="B707" s="11"/>
      <c r="C707" s="11"/>
      <c r="D707" s="11"/>
      <c r="E707" s="15"/>
      <c r="F707" s="11"/>
      <c r="G707" s="11"/>
      <c r="H707" s="11"/>
      <c r="I707" s="11"/>
      <c r="J707" s="12"/>
      <c r="K707" s="13"/>
      <c r="L707" s="12"/>
      <c r="M707" s="13"/>
      <c r="N707" s="13"/>
      <c r="O707" s="13"/>
    </row>
    <row r="708">
      <c r="B708" s="11"/>
      <c r="C708" s="11"/>
      <c r="D708" s="11"/>
      <c r="E708" s="15"/>
      <c r="F708" s="11"/>
      <c r="G708" s="11"/>
      <c r="H708" s="11"/>
      <c r="I708" s="11"/>
      <c r="J708" s="12"/>
      <c r="K708" s="13"/>
      <c r="L708" s="12"/>
      <c r="M708" s="13"/>
      <c r="N708" s="13"/>
      <c r="O708" s="13"/>
    </row>
    <row r="709">
      <c r="B709" s="11"/>
      <c r="C709" s="11"/>
      <c r="D709" s="11"/>
      <c r="E709" s="15"/>
      <c r="F709" s="11"/>
      <c r="G709" s="11"/>
      <c r="H709" s="11"/>
      <c r="I709" s="11"/>
      <c r="J709" s="12"/>
      <c r="K709" s="13"/>
      <c r="L709" s="12"/>
      <c r="M709" s="13"/>
      <c r="N709" s="13"/>
      <c r="O709" s="13"/>
    </row>
    <row r="710">
      <c r="B710" s="11"/>
      <c r="C710" s="11"/>
      <c r="D710" s="11"/>
      <c r="E710" s="15"/>
      <c r="F710" s="11"/>
      <c r="G710" s="11"/>
      <c r="H710" s="11"/>
      <c r="I710" s="11"/>
      <c r="J710" s="12"/>
      <c r="K710" s="13"/>
      <c r="L710" s="12"/>
      <c r="M710" s="13"/>
      <c r="N710" s="13"/>
      <c r="O710" s="13"/>
    </row>
    <row r="711">
      <c r="B711" s="11"/>
      <c r="C711" s="11"/>
      <c r="D711" s="11"/>
      <c r="E711" s="15"/>
      <c r="F711" s="11"/>
      <c r="G711" s="11"/>
      <c r="H711" s="11"/>
      <c r="I711" s="11"/>
      <c r="J711" s="12"/>
      <c r="K711" s="13"/>
      <c r="L711" s="12"/>
      <c r="M711" s="13"/>
      <c r="N711" s="13"/>
      <c r="O711" s="13"/>
    </row>
    <row r="712">
      <c r="B712" s="11"/>
      <c r="C712" s="11"/>
      <c r="D712" s="11"/>
      <c r="E712" s="15"/>
      <c r="F712" s="11"/>
      <c r="G712" s="11"/>
      <c r="H712" s="11"/>
      <c r="I712" s="11"/>
      <c r="J712" s="12"/>
      <c r="K712" s="13"/>
      <c r="L712" s="12"/>
      <c r="M712" s="13"/>
      <c r="N712" s="13"/>
      <c r="O712" s="13"/>
    </row>
    <row r="713">
      <c r="B713" s="11"/>
      <c r="C713" s="11"/>
      <c r="D713" s="11"/>
      <c r="E713" s="15"/>
      <c r="F713" s="11"/>
      <c r="G713" s="11"/>
      <c r="H713" s="11"/>
      <c r="I713" s="11"/>
      <c r="J713" s="12"/>
      <c r="K713" s="13"/>
      <c r="L713" s="12"/>
      <c r="M713" s="13"/>
      <c r="N713" s="13"/>
      <c r="O713" s="13"/>
    </row>
    <row r="714">
      <c r="B714" s="11"/>
      <c r="C714" s="11"/>
      <c r="D714" s="11"/>
      <c r="E714" s="15"/>
      <c r="F714" s="11"/>
      <c r="G714" s="11"/>
      <c r="H714" s="11"/>
      <c r="I714" s="11"/>
      <c r="J714" s="12"/>
      <c r="K714" s="13"/>
      <c r="L714" s="12"/>
      <c r="M714" s="13"/>
      <c r="N714" s="13"/>
      <c r="O714" s="13"/>
    </row>
    <row r="715">
      <c r="B715" s="11"/>
      <c r="C715" s="11"/>
      <c r="D715" s="11"/>
      <c r="E715" s="15"/>
      <c r="F715" s="11"/>
      <c r="G715" s="11"/>
      <c r="H715" s="11"/>
      <c r="I715" s="11"/>
      <c r="J715" s="12"/>
      <c r="K715" s="13"/>
      <c r="L715" s="12"/>
      <c r="M715" s="13"/>
      <c r="N715" s="13"/>
      <c r="O715" s="13"/>
    </row>
    <row r="716">
      <c r="B716" s="11"/>
      <c r="C716" s="11"/>
      <c r="D716" s="11"/>
      <c r="E716" s="15"/>
      <c r="F716" s="11"/>
      <c r="G716" s="11"/>
      <c r="H716" s="11"/>
      <c r="I716" s="11"/>
      <c r="J716" s="12"/>
      <c r="K716" s="13"/>
      <c r="L716" s="12"/>
      <c r="M716" s="13"/>
      <c r="N716" s="13"/>
      <c r="O716" s="13"/>
    </row>
    <row r="717">
      <c r="B717" s="11"/>
      <c r="C717" s="11"/>
      <c r="D717" s="11"/>
      <c r="E717" s="15"/>
      <c r="F717" s="11"/>
      <c r="G717" s="11"/>
      <c r="H717" s="11"/>
      <c r="I717" s="11"/>
      <c r="J717" s="12"/>
      <c r="K717" s="13"/>
      <c r="L717" s="12"/>
      <c r="M717" s="13"/>
      <c r="N717" s="13"/>
      <c r="O717" s="13"/>
    </row>
    <row r="718">
      <c r="B718" s="11"/>
      <c r="C718" s="11"/>
      <c r="D718" s="11"/>
      <c r="E718" s="15"/>
      <c r="F718" s="11"/>
      <c r="G718" s="11"/>
      <c r="H718" s="11"/>
      <c r="I718" s="11"/>
      <c r="J718" s="12"/>
      <c r="K718" s="13"/>
      <c r="L718" s="12"/>
      <c r="M718" s="13"/>
      <c r="N718" s="13"/>
      <c r="O718" s="13"/>
    </row>
    <row r="719">
      <c r="B719" s="11"/>
      <c r="C719" s="11"/>
      <c r="D719" s="11"/>
      <c r="E719" s="15"/>
      <c r="F719" s="11"/>
      <c r="G719" s="11"/>
      <c r="H719" s="11"/>
      <c r="I719" s="11"/>
      <c r="J719" s="12"/>
      <c r="K719" s="13"/>
      <c r="L719" s="12"/>
      <c r="M719" s="13"/>
      <c r="N719" s="13"/>
      <c r="O719" s="13"/>
    </row>
    <row r="720">
      <c r="B720" s="11"/>
      <c r="C720" s="11"/>
      <c r="D720" s="11"/>
      <c r="E720" s="15"/>
      <c r="F720" s="11"/>
      <c r="G720" s="11"/>
      <c r="H720" s="11"/>
      <c r="I720" s="11"/>
      <c r="J720" s="12"/>
      <c r="K720" s="13"/>
      <c r="L720" s="12"/>
      <c r="M720" s="13"/>
      <c r="N720" s="13"/>
      <c r="O720" s="13"/>
    </row>
    <row r="721">
      <c r="B721" s="11"/>
      <c r="C721" s="11"/>
      <c r="D721" s="11"/>
      <c r="E721" s="15"/>
      <c r="F721" s="11"/>
      <c r="G721" s="11"/>
      <c r="H721" s="11"/>
      <c r="I721" s="11"/>
      <c r="J721" s="12"/>
      <c r="K721" s="13"/>
      <c r="L721" s="12"/>
      <c r="M721" s="13"/>
      <c r="N721" s="13"/>
      <c r="O721" s="13"/>
    </row>
    <row r="722">
      <c r="B722" s="11"/>
      <c r="C722" s="11"/>
      <c r="D722" s="11"/>
      <c r="E722" s="15"/>
      <c r="F722" s="11"/>
      <c r="G722" s="11"/>
      <c r="H722" s="11"/>
      <c r="I722" s="11"/>
      <c r="J722" s="12"/>
      <c r="K722" s="13"/>
      <c r="L722" s="12"/>
      <c r="M722" s="13"/>
      <c r="N722" s="13"/>
      <c r="O722" s="13"/>
    </row>
    <row r="723">
      <c r="B723" s="11"/>
      <c r="C723" s="11"/>
      <c r="D723" s="11"/>
      <c r="E723" s="15"/>
      <c r="F723" s="11"/>
      <c r="G723" s="11"/>
      <c r="H723" s="11"/>
      <c r="I723" s="11"/>
      <c r="J723" s="12"/>
      <c r="K723" s="13"/>
      <c r="L723" s="12"/>
      <c r="M723" s="13"/>
      <c r="N723" s="13"/>
      <c r="O723" s="13"/>
    </row>
    <row r="724">
      <c r="B724" s="11"/>
      <c r="C724" s="11"/>
      <c r="D724" s="11"/>
      <c r="E724" s="15"/>
      <c r="F724" s="11"/>
      <c r="G724" s="11"/>
      <c r="H724" s="11"/>
      <c r="I724" s="11"/>
      <c r="J724" s="12"/>
      <c r="K724" s="13"/>
      <c r="L724" s="12"/>
      <c r="M724" s="13"/>
      <c r="N724" s="13"/>
      <c r="O724" s="13"/>
    </row>
    <row r="725">
      <c r="B725" s="11"/>
      <c r="C725" s="11"/>
      <c r="D725" s="11"/>
      <c r="E725" s="15"/>
      <c r="F725" s="11"/>
      <c r="G725" s="11"/>
      <c r="H725" s="11"/>
      <c r="I725" s="11"/>
      <c r="J725" s="12"/>
      <c r="K725" s="13"/>
      <c r="L725" s="12"/>
      <c r="M725" s="13"/>
      <c r="N725" s="13"/>
      <c r="O725" s="13"/>
    </row>
    <row r="726">
      <c r="B726" s="11"/>
      <c r="C726" s="11"/>
      <c r="D726" s="11"/>
      <c r="E726" s="15"/>
      <c r="F726" s="11"/>
      <c r="G726" s="11"/>
      <c r="H726" s="11"/>
      <c r="I726" s="11"/>
      <c r="J726" s="12"/>
      <c r="K726" s="13"/>
      <c r="L726" s="12"/>
      <c r="M726" s="13"/>
      <c r="N726" s="13"/>
      <c r="O726" s="13"/>
    </row>
    <row r="727">
      <c r="B727" s="11"/>
      <c r="C727" s="11"/>
      <c r="D727" s="11"/>
      <c r="E727" s="15"/>
      <c r="F727" s="11"/>
      <c r="G727" s="11"/>
      <c r="H727" s="11"/>
      <c r="I727" s="11"/>
      <c r="J727" s="12"/>
      <c r="K727" s="13"/>
      <c r="L727" s="12"/>
      <c r="M727" s="13"/>
      <c r="N727" s="13"/>
      <c r="O727" s="13"/>
    </row>
    <row r="728">
      <c r="B728" s="11"/>
      <c r="C728" s="11"/>
      <c r="D728" s="11"/>
      <c r="E728" s="15"/>
      <c r="F728" s="11"/>
      <c r="G728" s="11"/>
      <c r="H728" s="11"/>
      <c r="I728" s="11"/>
      <c r="J728" s="12"/>
      <c r="K728" s="13"/>
      <c r="L728" s="12"/>
      <c r="M728" s="13"/>
      <c r="N728" s="13"/>
      <c r="O728" s="13"/>
    </row>
    <row r="729">
      <c r="B729" s="11"/>
      <c r="C729" s="11"/>
      <c r="D729" s="11"/>
      <c r="E729" s="15"/>
      <c r="F729" s="11"/>
      <c r="G729" s="11"/>
      <c r="H729" s="11"/>
      <c r="I729" s="11"/>
      <c r="J729" s="12"/>
      <c r="K729" s="13"/>
      <c r="L729" s="12"/>
      <c r="M729" s="13"/>
      <c r="N729" s="13"/>
      <c r="O729" s="13"/>
    </row>
    <row r="730">
      <c r="B730" s="11"/>
      <c r="C730" s="11"/>
      <c r="D730" s="11"/>
      <c r="E730" s="15"/>
      <c r="F730" s="11"/>
      <c r="G730" s="11"/>
      <c r="H730" s="11"/>
      <c r="I730" s="11"/>
      <c r="J730" s="12"/>
      <c r="K730" s="13"/>
      <c r="L730" s="12"/>
      <c r="M730" s="13"/>
      <c r="N730" s="13"/>
      <c r="O730" s="13"/>
    </row>
    <row r="731">
      <c r="B731" s="11"/>
      <c r="C731" s="11"/>
      <c r="D731" s="11"/>
      <c r="E731" s="15"/>
      <c r="F731" s="11"/>
      <c r="G731" s="11"/>
      <c r="H731" s="11"/>
      <c r="I731" s="11"/>
      <c r="J731" s="12"/>
      <c r="K731" s="13"/>
      <c r="L731" s="12"/>
      <c r="M731" s="13"/>
      <c r="N731" s="13"/>
      <c r="O731" s="13"/>
    </row>
    <row r="732">
      <c r="B732" s="11"/>
      <c r="C732" s="11"/>
      <c r="D732" s="11"/>
      <c r="E732" s="15"/>
      <c r="F732" s="11"/>
      <c r="G732" s="11"/>
      <c r="H732" s="11"/>
      <c r="I732" s="11"/>
      <c r="J732" s="12"/>
      <c r="K732" s="13"/>
      <c r="L732" s="12"/>
      <c r="M732" s="13"/>
      <c r="N732" s="13"/>
      <c r="O732" s="13"/>
    </row>
    <row r="733">
      <c r="B733" s="11"/>
      <c r="C733" s="11"/>
      <c r="D733" s="11"/>
      <c r="E733" s="15"/>
      <c r="F733" s="11"/>
      <c r="G733" s="11"/>
      <c r="H733" s="11"/>
      <c r="I733" s="11"/>
      <c r="J733" s="12"/>
      <c r="K733" s="13"/>
      <c r="L733" s="12"/>
      <c r="M733" s="13"/>
      <c r="N733" s="13"/>
      <c r="O733" s="13"/>
    </row>
    <row r="734">
      <c r="B734" s="11"/>
      <c r="C734" s="11"/>
      <c r="D734" s="11"/>
      <c r="E734" s="15"/>
      <c r="F734" s="11"/>
      <c r="G734" s="11"/>
      <c r="H734" s="11"/>
      <c r="I734" s="11"/>
      <c r="J734" s="12"/>
      <c r="K734" s="13"/>
      <c r="L734" s="12"/>
      <c r="M734" s="13"/>
      <c r="N734" s="13"/>
      <c r="O734" s="13"/>
    </row>
    <row r="735">
      <c r="B735" s="11"/>
      <c r="C735" s="11"/>
      <c r="D735" s="11"/>
      <c r="E735" s="15"/>
      <c r="F735" s="11"/>
      <c r="G735" s="11"/>
      <c r="H735" s="11"/>
      <c r="I735" s="11"/>
      <c r="J735" s="12"/>
      <c r="K735" s="13"/>
      <c r="L735" s="12"/>
      <c r="M735" s="13"/>
      <c r="N735" s="13"/>
      <c r="O735" s="13"/>
    </row>
    <row r="736">
      <c r="B736" s="11"/>
      <c r="C736" s="11"/>
      <c r="D736" s="11"/>
      <c r="E736" s="15"/>
      <c r="F736" s="11"/>
      <c r="G736" s="11"/>
      <c r="H736" s="11"/>
      <c r="I736" s="11"/>
      <c r="J736" s="12"/>
      <c r="K736" s="13"/>
      <c r="L736" s="12"/>
      <c r="M736" s="13"/>
      <c r="N736" s="13"/>
      <c r="O736" s="13"/>
    </row>
    <row r="737">
      <c r="B737" s="11"/>
      <c r="C737" s="11"/>
      <c r="D737" s="11"/>
      <c r="E737" s="15"/>
      <c r="F737" s="11"/>
      <c r="G737" s="11"/>
      <c r="H737" s="11"/>
      <c r="I737" s="11"/>
      <c r="J737" s="12"/>
      <c r="K737" s="13"/>
      <c r="L737" s="12"/>
      <c r="M737" s="13"/>
      <c r="N737" s="13"/>
      <c r="O737" s="13"/>
    </row>
    <row r="738">
      <c r="B738" s="11"/>
      <c r="C738" s="11"/>
      <c r="D738" s="11"/>
      <c r="E738" s="15"/>
      <c r="F738" s="11"/>
      <c r="G738" s="11"/>
      <c r="H738" s="11"/>
      <c r="I738" s="11"/>
      <c r="J738" s="12"/>
      <c r="K738" s="13"/>
      <c r="L738" s="12"/>
      <c r="M738" s="13"/>
      <c r="N738" s="13"/>
      <c r="O738" s="13"/>
    </row>
    <row r="739">
      <c r="B739" s="11"/>
      <c r="C739" s="11"/>
      <c r="D739" s="11"/>
      <c r="E739" s="15"/>
      <c r="F739" s="11"/>
      <c r="G739" s="11"/>
      <c r="H739" s="11"/>
      <c r="I739" s="11"/>
      <c r="J739" s="12"/>
      <c r="K739" s="13"/>
      <c r="L739" s="12"/>
      <c r="M739" s="13"/>
      <c r="N739" s="13"/>
      <c r="O739" s="13"/>
    </row>
    <row r="740">
      <c r="B740" s="11"/>
      <c r="C740" s="11"/>
      <c r="D740" s="11"/>
      <c r="E740" s="15"/>
      <c r="F740" s="11"/>
      <c r="G740" s="11"/>
      <c r="H740" s="11"/>
      <c r="I740" s="11"/>
      <c r="J740" s="12"/>
      <c r="K740" s="13"/>
      <c r="L740" s="12"/>
      <c r="M740" s="13"/>
      <c r="N740" s="13"/>
      <c r="O740" s="13"/>
    </row>
    <row r="741">
      <c r="B741" s="11"/>
      <c r="C741" s="11"/>
      <c r="D741" s="11"/>
      <c r="E741" s="15"/>
      <c r="F741" s="11"/>
      <c r="G741" s="11"/>
      <c r="H741" s="11"/>
      <c r="I741" s="11"/>
      <c r="J741" s="12"/>
      <c r="K741" s="13"/>
      <c r="L741" s="12"/>
      <c r="M741" s="13"/>
      <c r="N741" s="13"/>
      <c r="O741" s="13"/>
    </row>
    <row r="742">
      <c r="B742" s="11"/>
      <c r="C742" s="11"/>
      <c r="D742" s="11"/>
      <c r="E742" s="15"/>
      <c r="F742" s="11"/>
      <c r="G742" s="11"/>
      <c r="H742" s="11"/>
      <c r="I742" s="11"/>
      <c r="J742" s="12"/>
      <c r="K742" s="13"/>
      <c r="L742" s="12"/>
      <c r="M742" s="13"/>
      <c r="N742" s="13"/>
      <c r="O742" s="13"/>
    </row>
    <row r="743">
      <c r="B743" s="11"/>
      <c r="C743" s="11"/>
      <c r="D743" s="11"/>
      <c r="E743" s="15"/>
      <c r="F743" s="11"/>
      <c r="G743" s="11"/>
      <c r="H743" s="11"/>
      <c r="I743" s="11"/>
      <c r="J743" s="12"/>
      <c r="K743" s="13"/>
      <c r="L743" s="12"/>
      <c r="M743" s="13"/>
      <c r="N743" s="13"/>
      <c r="O743" s="13"/>
    </row>
    <row r="744">
      <c r="B744" s="11"/>
      <c r="C744" s="11"/>
      <c r="D744" s="11"/>
      <c r="E744" s="15"/>
      <c r="F744" s="11"/>
      <c r="G744" s="11"/>
      <c r="H744" s="11"/>
      <c r="I744" s="11"/>
      <c r="J744" s="12"/>
      <c r="K744" s="13"/>
      <c r="L744" s="12"/>
      <c r="M744" s="13"/>
      <c r="N744" s="13"/>
      <c r="O744" s="13"/>
    </row>
    <row r="745">
      <c r="B745" s="11"/>
      <c r="C745" s="11"/>
      <c r="D745" s="11"/>
      <c r="E745" s="15"/>
      <c r="F745" s="11"/>
      <c r="G745" s="11"/>
      <c r="H745" s="11"/>
      <c r="I745" s="11"/>
      <c r="J745" s="12"/>
      <c r="K745" s="13"/>
      <c r="L745" s="12"/>
      <c r="M745" s="13"/>
      <c r="N745" s="13"/>
      <c r="O745" s="13"/>
    </row>
    <row r="746">
      <c r="B746" s="11"/>
      <c r="C746" s="11"/>
      <c r="D746" s="11"/>
      <c r="E746" s="15"/>
      <c r="F746" s="11"/>
      <c r="G746" s="11"/>
      <c r="H746" s="11"/>
      <c r="I746" s="11"/>
      <c r="J746" s="12"/>
      <c r="K746" s="13"/>
      <c r="L746" s="12"/>
      <c r="M746" s="13"/>
      <c r="N746" s="13"/>
      <c r="O746" s="13"/>
    </row>
    <row r="747">
      <c r="B747" s="11"/>
      <c r="C747" s="11"/>
      <c r="D747" s="11"/>
      <c r="E747" s="15"/>
      <c r="F747" s="11"/>
      <c r="G747" s="11"/>
      <c r="H747" s="11"/>
      <c r="I747" s="11"/>
      <c r="J747" s="12"/>
      <c r="K747" s="13"/>
      <c r="L747" s="12"/>
      <c r="M747" s="13"/>
      <c r="N747" s="13"/>
      <c r="O747" s="13"/>
    </row>
    <row r="748">
      <c r="B748" s="11"/>
      <c r="C748" s="11"/>
      <c r="D748" s="11"/>
      <c r="E748" s="15"/>
      <c r="F748" s="11"/>
      <c r="G748" s="11"/>
      <c r="H748" s="11"/>
      <c r="I748" s="11"/>
      <c r="J748" s="12"/>
      <c r="K748" s="13"/>
      <c r="L748" s="12"/>
      <c r="M748" s="13"/>
      <c r="N748" s="13"/>
      <c r="O748" s="13"/>
    </row>
    <row r="749">
      <c r="B749" s="11"/>
      <c r="C749" s="11"/>
      <c r="D749" s="11"/>
      <c r="E749" s="15"/>
      <c r="F749" s="11"/>
      <c r="G749" s="11"/>
      <c r="H749" s="11"/>
      <c r="I749" s="11"/>
      <c r="J749" s="12"/>
      <c r="K749" s="13"/>
      <c r="L749" s="12"/>
      <c r="M749" s="13"/>
      <c r="N749" s="13"/>
      <c r="O749" s="13"/>
    </row>
    <row r="750">
      <c r="B750" s="11"/>
      <c r="C750" s="11"/>
      <c r="D750" s="11"/>
      <c r="E750" s="15"/>
      <c r="F750" s="11"/>
      <c r="G750" s="11"/>
      <c r="H750" s="11"/>
      <c r="I750" s="11"/>
      <c r="J750" s="12"/>
      <c r="K750" s="13"/>
      <c r="L750" s="12"/>
      <c r="M750" s="13"/>
      <c r="N750" s="13"/>
      <c r="O750" s="13"/>
    </row>
    <row r="751">
      <c r="B751" s="11"/>
      <c r="C751" s="11"/>
      <c r="D751" s="11"/>
      <c r="E751" s="15"/>
      <c r="F751" s="11"/>
      <c r="G751" s="11"/>
      <c r="H751" s="11"/>
      <c r="I751" s="11"/>
      <c r="J751" s="12"/>
      <c r="K751" s="13"/>
      <c r="L751" s="12"/>
      <c r="M751" s="13"/>
      <c r="N751" s="13"/>
      <c r="O751" s="13"/>
    </row>
    <row r="752">
      <c r="B752" s="11"/>
      <c r="C752" s="11"/>
      <c r="D752" s="11"/>
      <c r="E752" s="15"/>
      <c r="F752" s="11"/>
      <c r="G752" s="11"/>
      <c r="H752" s="11"/>
      <c r="I752" s="11"/>
      <c r="J752" s="12"/>
      <c r="K752" s="13"/>
      <c r="L752" s="12"/>
      <c r="M752" s="13"/>
      <c r="N752" s="13"/>
      <c r="O752" s="13"/>
    </row>
    <row r="753">
      <c r="B753" s="11"/>
      <c r="C753" s="11"/>
      <c r="D753" s="11"/>
      <c r="E753" s="15"/>
      <c r="F753" s="11"/>
      <c r="G753" s="11"/>
      <c r="H753" s="11"/>
      <c r="I753" s="11"/>
      <c r="J753" s="12"/>
      <c r="K753" s="13"/>
      <c r="L753" s="12"/>
      <c r="M753" s="13"/>
      <c r="N753" s="13"/>
      <c r="O753" s="13"/>
    </row>
    <row r="754">
      <c r="B754" s="11"/>
      <c r="C754" s="11"/>
      <c r="D754" s="11"/>
      <c r="E754" s="15"/>
      <c r="F754" s="11"/>
      <c r="G754" s="11"/>
      <c r="H754" s="11"/>
      <c r="I754" s="11"/>
      <c r="J754" s="12"/>
      <c r="K754" s="13"/>
      <c r="L754" s="12"/>
      <c r="M754" s="13"/>
      <c r="N754" s="13"/>
      <c r="O754" s="13"/>
    </row>
    <row r="755">
      <c r="B755" s="11"/>
      <c r="C755" s="11"/>
      <c r="D755" s="11"/>
      <c r="E755" s="15"/>
      <c r="F755" s="11"/>
      <c r="G755" s="11"/>
      <c r="H755" s="11"/>
      <c r="I755" s="11"/>
      <c r="J755" s="12"/>
      <c r="K755" s="13"/>
      <c r="L755" s="12"/>
      <c r="M755" s="13"/>
      <c r="N755" s="13"/>
      <c r="O755" s="13"/>
    </row>
    <row r="756">
      <c r="B756" s="11"/>
      <c r="C756" s="11"/>
      <c r="D756" s="11"/>
      <c r="E756" s="15"/>
      <c r="F756" s="11"/>
      <c r="G756" s="11"/>
      <c r="H756" s="11"/>
      <c r="I756" s="11"/>
      <c r="J756" s="12"/>
      <c r="K756" s="13"/>
      <c r="L756" s="12"/>
      <c r="M756" s="13"/>
      <c r="N756" s="13"/>
      <c r="O756" s="13"/>
    </row>
    <row r="757">
      <c r="B757" s="11"/>
      <c r="C757" s="11"/>
      <c r="D757" s="11"/>
      <c r="E757" s="15"/>
      <c r="F757" s="11"/>
      <c r="G757" s="11"/>
      <c r="H757" s="11"/>
      <c r="I757" s="11"/>
      <c r="J757" s="12"/>
      <c r="K757" s="13"/>
      <c r="L757" s="12"/>
      <c r="M757" s="13"/>
      <c r="N757" s="13"/>
      <c r="O757" s="13"/>
    </row>
    <row r="758">
      <c r="B758" s="11"/>
      <c r="C758" s="11"/>
      <c r="D758" s="11"/>
      <c r="E758" s="15"/>
      <c r="F758" s="11"/>
      <c r="G758" s="11"/>
      <c r="H758" s="11"/>
      <c r="I758" s="11"/>
      <c r="J758" s="12"/>
      <c r="K758" s="13"/>
      <c r="L758" s="12"/>
      <c r="M758" s="13"/>
      <c r="N758" s="13"/>
      <c r="O758" s="13"/>
    </row>
    <row r="759">
      <c r="B759" s="11"/>
      <c r="C759" s="11"/>
      <c r="D759" s="11"/>
      <c r="E759" s="15"/>
      <c r="F759" s="11"/>
      <c r="G759" s="11"/>
      <c r="H759" s="11"/>
      <c r="I759" s="11"/>
      <c r="J759" s="12"/>
      <c r="K759" s="13"/>
      <c r="L759" s="12"/>
      <c r="M759" s="13"/>
      <c r="N759" s="13"/>
      <c r="O759" s="13"/>
    </row>
    <row r="760">
      <c r="B760" s="11"/>
      <c r="C760" s="11"/>
      <c r="D760" s="11"/>
      <c r="E760" s="15"/>
      <c r="F760" s="11"/>
      <c r="G760" s="11"/>
      <c r="H760" s="11"/>
      <c r="I760" s="11"/>
      <c r="J760" s="12"/>
      <c r="K760" s="13"/>
      <c r="L760" s="12"/>
      <c r="M760" s="13"/>
      <c r="N760" s="13"/>
      <c r="O760" s="13"/>
    </row>
    <row r="761">
      <c r="B761" s="11"/>
      <c r="C761" s="11"/>
      <c r="D761" s="11"/>
      <c r="E761" s="15"/>
      <c r="F761" s="11"/>
      <c r="G761" s="11"/>
      <c r="H761" s="11"/>
      <c r="I761" s="11"/>
      <c r="J761" s="12"/>
      <c r="K761" s="13"/>
      <c r="L761" s="12"/>
      <c r="M761" s="13"/>
      <c r="N761" s="13"/>
      <c r="O761" s="13"/>
    </row>
    <row r="762">
      <c r="B762" s="11"/>
      <c r="C762" s="11"/>
      <c r="D762" s="11"/>
      <c r="E762" s="15"/>
      <c r="F762" s="11"/>
      <c r="G762" s="11"/>
      <c r="H762" s="11"/>
      <c r="I762" s="11"/>
      <c r="J762" s="12"/>
      <c r="K762" s="13"/>
      <c r="L762" s="12"/>
      <c r="M762" s="13"/>
      <c r="N762" s="13"/>
      <c r="O762" s="13"/>
    </row>
    <row r="763">
      <c r="B763" s="11"/>
      <c r="C763" s="11"/>
      <c r="D763" s="11"/>
      <c r="E763" s="15"/>
      <c r="F763" s="11"/>
      <c r="G763" s="11"/>
      <c r="H763" s="11"/>
      <c r="I763" s="11"/>
      <c r="J763" s="12"/>
      <c r="K763" s="13"/>
      <c r="L763" s="12"/>
      <c r="M763" s="13"/>
      <c r="N763" s="13"/>
      <c r="O763" s="13"/>
    </row>
    <row r="764">
      <c r="B764" s="11"/>
      <c r="C764" s="11"/>
      <c r="D764" s="11"/>
      <c r="E764" s="15"/>
      <c r="F764" s="11"/>
      <c r="G764" s="11"/>
      <c r="H764" s="11"/>
      <c r="I764" s="11"/>
      <c r="J764" s="12"/>
      <c r="K764" s="13"/>
      <c r="L764" s="12"/>
      <c r="M764" s="13"/>
      <c r="N764" s="13"/>
      <c r="O764" s="13"/>
    </row>
    <row r="765">
      <c r="B765" s="11"/>
      <c r="C765" s="11"/>
      <c r="D765" s="11"/>
      <c r="E765" s="15"/>
      <c r="F765" s="11"/>
      <c r="G765" s="11"/>
      <c r="H765" s="11"/>
      <c r="I765" s="11"/>
      <c r="J765" s="12"/>
      <c r="K765" s="13"/>
      <c r="L765" s="12"/>
      <c r="M765" s="13"/>
      <c r="N765" s="13"/>
      <c r="O765" s="13"/>
    </row>
    <row r="766">
      <c r="B766" s="11"/>
      <c r="C766" s="11"/>
      <c r="D766" s="11"/>
      <c r="E766" s="15"/>
      <c r="F766" s="11"/>
      <c r="G766" s="11"/>
      <c r="H766" s="11"/>
      <c r="I766" s="11"/>
      <c r="J766" s="12"/>
      <c r="K766" s="13"/>
      <c r="L766" s="12"/>
      <c r="M766" s="13"/>
      <c r="N766" s="13"/>
      <c r="O766" s="13"/>
    </row>
    <row r="767">
      <c r="B767" s="11"/>
      <c r="C767" s="11"/>
      <c r="D767" s="11"/>
      <c r="E767" s="15"/>
      <c r="F767" s="11"/>
      <c r="G767" s="11"/>
      <c r="H767" s="11"/>
      <c r="I767" s="11"/>
      <c r="J767" s="12"/>
      <c r="K767" s="13"/>
      <c r="L767" s="12"/>
      <c r="M767" s="13"/>
      <c r="N767" s="13"/>
      <c r="O767" s="13"/>
    </row>
    <row r="768">
      <c r="B768" s="11"/>
      <c r="C768" s="11"/>
      <c r="D768" s="11"/>
      <c r="E768" s="15"/>
      <c r="F768" s="11"/>
      <c r="G768" s="11"/>
      <c r="H768" s="11"/>
      <c r="I768" s="11"/>
      <c r="J768" s="12"/>
      <c r="K768" s="13"/>
      <c r="L768" s="12"/>
      <c r="M768" s="13"/>
      <c r="N768" s="13"/>
      <c r="O768" s="13"/>
    </row>
    <row r="769">
      <c r="B769" s="11"/>
      <c r="C769" s="11"/>
      <c r="D769" s="11"/>
      <c r="E769" s="15"/>
      <c r="F769" s="11"/>
      <c r="G769" s="11"/>
      <c r="H769" s="11"/>
      <c r="I769" s="11"/>
      <c r="J769" s="12"/>
      <c r="K769" s="13"/>
      <c r="L769" s="12"/>
      <c r="M769" s="13"/>
      <c r="N769" s="13"/>
      <c r="O769" s="13"/>
    </row>
    <row r="770">
      <c r="B770" s="11"/>
      <c r="C770" s="11"/>
      <c r="D770" s="11"/>
      <c r="E770" s="15"/>
      <c r="F770" s="11"/>
      <c r="G770" s="11"/>
      <c r="H770" s="11"/>
      <c r="I770" s="11"/>
      <c r="J770" s="12"/>
      <c r="K770" s="13"/>
      <c r="L770" s="12"/>
      <c r="M770" s="13"/>
      <c r="N770" s="13"/>
      <c r="O770" s="13"/>
    </row>
    <row r="771">
      <c r="B771" s="11"/>
      <c r="C771" s="11"/>
      <c r="D771" s="11"/>
      <c r="E771" s="15"/>
      <c r="F771" s="11"/>
      <c r="G771" s="11"/>
      <c r="H771" s="11"/>
      <c r="I771" s="11"/>
      <c r="J771" s="12"/>
      <c r="K771" s="13"/>
      <c r="L771" s="12"/>
      <c r="M771" s="13"/>
      <c r="N771" s="13"/>
      <c r="O771" s="13"/>
    </row>
    <row r="772">
      <c r="B772" s="11"/>
      <c r="C772" s="11"/>
      <c r="D772" s="11"/>
      <c r="E772" s="15"/>
      <c r="F772" s="11"/>
      <c r="G772" s="11"/>
      <c r="H772" s="11"/>
      <c r="I772" s="11"/>
      <c r="J772" s="12"/>
      <c r="K772" s="13"/>
      <c r="L772" s="12"/>
      <c r="M772" s="13"/>
      <c r="N772" s="13"/>
      <c r="O772" s="13"/>
    </row>
    <row r="773">
      <c r="B773" s="11"/>
      <c r="C773" s="11"/>
      <c r="D773" s="11"/>
      <c r="E773" s="15"/>
      <c r="F773" s="11"/>
      <c r="G773" s="11"/>
      <c r="H773" s="11"/>
      <c r="I773" s="11"/>
      <c r="J773" s="12"/>
      <c r="K773" s="13"/>
      <c r="L773" s="12"/>
      <c r="M773" s="13"/>
      <c r="N773" s="13"/>
      <c r="O773" s="13"/>
    </row>
    <row r="774">
      <c r="B774" s="11"/>
      <c r="C774" s="11"/>
      <c r="D774" s="11"/>
      <c r="E774" s="15"/>
      <c r="F774" s="11"/>
      <c r="G774" s="11"/>
      <c r="H774" s="11"/>
      <c r="I774" s="11"/>
      <c r="J774" s="12"/>
      <c r="K774" s="13"/>
      <c r="L774" s="12"/>
      <c r="M774" s="13"/>
      <c r="N774" s="13"/>
      <c r="O774" s="13"/>
    </row>
    <row r="775">
      <c r="B775" s="11"/>
      <c r="C775" s="11"/>
      <c r="D775" s="11"/>
      <c r="E775" s="15"/>
      <c r="F775" s="11"/>
      <c r="G775" s="11"/>
      <c r="H775" s="11"/>
      <c r="I775" s="11"/>
      <c r="J775" s="12"/>
      <c r="K775" s="13"/>
      <c r="L775" s="12"/>
      <c r="M775" s="13"/>
      <c r="N775" s="13"/>
      <c r="O775" s="13"/>
    </row>
    <row r="776">
      <c r="B776" s="11"/>
      <c r="C776" s="11"/>
      <c r="D776" s="11"/>
      <c r="E776" s="15"/>
      <c r="F776" s="11"/>
      <c r="G776" s="11"/>
      <c r="H776" s="11"/>
      <c r="I776" s="11"/>
      <c r="J776" s="12"/>
      <c r="K776" s="13"/>
      <c r="L776" s="12"/>
      <c r="M776" s="13"/>
      <c r="N776" s="13"/>
      <c r="O776" s="13"/>
    </row>
    <row r="777">
      <c r="B777" s="11"/>
      <c r="C777" s="11"/>
      <c r="D777" s="11"/>
      <c r="E777" s="15"/>
      <c r="F777" s="11"/>
      <c r="G777" s="11"/>
      <c r="H777" s="11"/>
      <c r="I777" s="11"/>
      <c r="J777" s="12"/>
      <c r="K777" s="13"/>
      <c r="L777" s="12"/>
      <c r="M777" s="13"/>
      <c r="N777" s="13"/>
      <c r="O777" s="13"/>
    </row>
    <row r="778">
      <c r="B778" s="11"/>
      <c r="C778" s="11"/>
      <c r="D778" s="11"/>
      <c r="E778" s="15"/>
      <c r="F778" s="11"/>
      <c r="G778" s="11"/>
      <c r="H778" s="11"/>
      <c r="I778" s="11"/>
      <c r="J778" s="12"/>
      <c r="K778" s="13"/>
      <c r="L778" s="12"/>
      <c r="M778" s="13"/>
      <c r="N778" s="13"/>
      <c r="O778" s="13"/>
    </row>
    <row r="779">
      <c r="B779" s="11"/>
      <c r="C779" s="11"/>
      <c r="D779" s="11"/>
      <c r="E779" s="15"/>
      <c r="F779" s="11"/>
      <c r="G779" s="11"/>
      <c r="H779" s="11"/>
      <c r="I779" s="11"/>
      <c r="J779" s="12"/>
      <c r="K779" s="13"/>
      <c r="L779" s="12"/>
      <c r="M779" s="13"/>
      <c r="N779" s="13"/>
      <c r="O779" s="13"/>
    </row>
    <row r="780">
      <c r="B780" s="11"/>
      <c r="C780" s="11"/>
      <c r="D780" s="11"/>
      <c r="E780" s="15"/>
      <c r="F780" s="11"/>
      <c r="G780" s="11"/>
      <c r="H780" s="11"/>
      <c r="I780" s="11"/>
      <c r="J780" s="12"/>
      <c r="K780" s="13"/>
      <c r="L780" s="12"/>
      <c r="M780" s="13"/>
      <c r="N780" s="13"/>
      <c r="O780" s="13"/>
    </row>
    <row r="781">
      <c r="B781" s="11"/>
      <c r="C781" s="11"/>
      <c r="D781" s="11"/>
      <c r="E781" s="15"/>
      <c r="F781" s="11"/>
      <c r="G781" s="11"/>
      <c r="H781" s="11"/>
      <c r="I781" s="11"/>
      <c r="J781" s="12"/>
      <c r="K781" s="13"/>
      <c r="L781" s="12"/>
      <c r="M781" s="13"/>
      <c r="N781" s="13"/>
      <c r="O781" s="13"/>
    </row>
    <row r="782">
      <c r="B782" s="11"/>
      <c r="C782" s="11"/>
      <c r="D782" s="11"/>
      <c r="E782" s="15"/>
      <c r="F782" s="11"/>
      <c r="G782" s="11"/>
      <c r="H782" s="11"/>
      <c r="I782" s="11"/>
      <c r="J782" s="12"/>
      <c r="K782" s="13"/>
      <c r="L782" s="12"/>
      <c r="M782" s="13"/>
      <c r="N782" s="13"/>
      <c r="O782" s="13"/>
    </row>
    <row r="783">
      <c r="B783" s="11"/>
      <c r="C783" s="11"/>
      <c r="D783" s="11"/>
      <c r="E783" s="15"/>
      <c r="F783" s="11"/>
      <c r="G783" s="11"/>
      <c r="H783" s="11"/>
      <c r="I783" s="11"/>
      <c r="J783" s="12"/>
      <c r="K783" s="13"/>
      <c r="L783" s="12"/>
      <c r="M783" s="13"/>
      <c r="N783" s="13"/>
      <c r="O783" s="13"/>
    </row>
    <row r="784">
      <c r="B784" s="11"/>
      <c r="C784" s="11"/>
      <c r="D784" s="11"/>
      <c r="E784" s="15"/>
      <c r="F784" s="11"/>
      <c r="G784" s="11"/>
      <c r="H784" s="11"/>
      <c r="I784" s="11"/>
      <c r="J784" s="12"/>
      <c r="K784" s="13"/>
      <c r="L784" s="12"/>
      <c r="M784" s="13"/>
      <c r="N784" s="13"/>
      <c r="O784" s="13"/>
    </row>
    <row r="785">
      <c r="B785" s="11"/>
      <c r="C785" s="11"/>
      <c r="D785" s="11"/>
      <c r="E785" s="15"/>
      <c r="F785" s="11"/>
      <c r="G785" s="11"/>
      <c r="H785" s="11"/>
      <c r="I785" s="11"/>
      <c r="J785" s="12"/>
      <c r="K785" s="13"/>
      <c r="L785" s="12"/>
      <c r="M785" s="13"/>
      <c r="N785" s="13"/>
      <c r="O785" s="13"/>
    </row>
    <row r="786">
      <c r="B786" s="11"/>
      <c r="C786" s="11"/>
      <c r="D786" s="11"/>
      <c r="E786" s="15"/>
      <c r="F786" s="11"/>
      <c r="G786" s="11"/>
      <c r="H786" s="11"/>
      <c r="I786" s="11"/>
      <c r="J786" s="12"/>
      <c r="K786" s="13"/>
      <c r="L786" s="12"/>
      <c r="M786" s="13"/>
      <c r="N786" s="13"/>
      <c r="O786" s="13"/>
    </row>
    <row r="787">
      <c r="B787" s="11"/>
      <c r="C787" s="11"/>
      <c r="D787" s="11"/>
      <c r="E787" s="15"/>
      <c r="F787" s="11"/>
      <c r="G787" s="11"/>
      <c r="H787" s="11"/>
      <c r="I787" s="11"/>
      <c r="J787" s="12"/>
      <c r="K787" s="13"/>
      <c r="L787" s="12"/>
      <c r="M787" s="13"/>
      <c r="N787" s="13"/>
      <c r="O787" s="13"/>
    </row>
    <row r="788">
      <c r="B788" s="11"/>
      <c r="C788" s="11"/>
      <c r="D788" s="11"/>
      <c r="E788" s="15"/>
      <c r="F788" s="11"/>
      <c r="G788" s="11"/>
      <c r="H788" s="11"/>
      <c r="I788" s="11"/>
      <c r="J788" s="12"/>
      <c r="K788" s="13"/>
      <c r="L788" s="12"/>
      <c r="M788" s="13"/>
      <c r="N788" s="13"/>
      <c r="O788" s="13"/>
    </row>
    <row r="789">
      <c r="B789" s="11"/>
      <c r="C789" s="11"/>
      <c r="D789" s="11"/>
      <c r="E789" s="15"/>
      <c r="F789" s="11"/>
      <c r="G789" s="11"/>
      <c r="H789" s="11"/>
      <c r="I789" s="11"/>
      <c r="J789" s="12"/>
      <c r="K789" s="13"/>
      <c r="L789" s="12"/>
      <c r="M789" s="13"/>
      <c r="N789" s="13"/>
      <c r="O789" s="13"/>
    </row>
    <row r="790">
      <c r="B790" s="11"/>
      <c r="C790" s="11"/>
      <c r="D790" s="11"/>
      <c r="E790" s="15"/>
      <c r="F790" s="11"/>
      <c r="G790" s="11"/>
      <c r="H790" s="11"/>
      <c r="I790" s="11"/>
      <c r="J790" s="12"/>
      <c r="K790" s="13"/>
      <c r="L790" s="12"/>
      <c r="M790" s="13"/>
      <c r="N790" s="13"/>
      <c r="O790" s="13"/>
    </row>
    <row r="791">
      <c r="B791" s="11"/>
      <c r="C791" s="11"/>
      <c r="D791" s="11"/>
      <c r="E791" s="15"/>
      <c r="F791" s="11"/>
      <c r="G791" s="11"/>
      <c r="H791" s="11"/>
      <c r="I791" s="11"/>
      <c r="J791" s="12"/>
      <c r="K791" s="13"/>
      <c r="L791" s="12"/>
      <c r="M791" s="13"/>
      <c r="N791" s="13"/>
      <c r="O791" s="13"/>
    </row>
    <row r="792">
      <c r="B792" s="11"/>
      <c r="C792" s="11"/>
      <c r="D792" s="11"/>
      <c r="E792" s="15"/>
      <c r="F792" s="11"/>
      <c r="G792" s="11"/>
      <c r="H792" s="11"/>
      <c r="I792" s="11"/>
      <c r="J792" s="12"/>
      <c r="K792" s="13"/>
      <c r="L792" s="12"/>
      <c r="M792" s="13"/>
      <c r="N792" s="13"/>
      <c r="O792" s="13"/>
    </row>
    <row r="793">
      <c r="B793" s="11"/>
      <c r="C793" s="11"/>
      <c r="D793" s="11"/>
      <c r="E793" s="15"/>
      <c r="F793" s="11"/>
      <c r="G793" s="11"/>
      <c r="H793" s="11"/>
      <c r="I793" s="11"/>
      <c r="J793" s="12"/>
      <c r="K793" s="13"/>
      <c r="L793" s="12"/>
      <c r="M793" s="13"/>
      <c r="N793" s="13"/>
      <c r="O793" s="13"/>
    </row>
    <row r="794">
      <c r="B794" s="11"/>
      <c r="C794" s="11"/>
      <c r="D794" s="11"/>
      <c r="E794" s="15"/>
      <c r="F794" s="11"/>
      <c r="G794" s="11"/>
      <c r="H794" s="11"/>
      <c r="I794" s="11"/>
      <c r="J794" s="12"/>
      <c r="K794" s="13"/>
      <c r="L794" s="12"/>
      <c r="M794" s="13"/>
      <c r="N794" s="13"/>
      <c r="O794" s="13"/>
    </row>
    <row r="795">
      <c r="B795" s="11"/>
      <c r="C795" s="11"/>
      <c r="D795" s="11"/>
      <c r="E795" s="15"/>
      <c r="F795" s="11"/>
      <c r="G795" s="11"/>
      <c r="H795" s="11"/>
      <c r="I795" s="11"/>
      <c r="J795" s="12"/>
      <c r="K795" s="13"/>
      <c r="L795" s="12"/>
      <c r="M795" s="13"/>
      <c r="N795" s="13"/>
      <c r="O795" s="13"/>
    </row>
    <row r="796">
      <c r="B796" s="11"/>
      <c r="C796" s="11"/>
      <c r="D796" s="11"/>
      <c r="E796" s="15"/>
      <c r="F796" s="11"/>
      <c r="G796" s="11"/>
      <c r="H796" s="11"/>
      <c r="I796" s="11"/>
      <c r="J796" s="12"/>
      <c r="K796" s="13"/>
      <c r="L796" s="12"/>
      <c r="M796" s="13"/>
      <c r="N796" s="13"/>
      <c r="O796" s="13"/>
    </row>
    <row r="797">
      <c r="B797" s="11"/>
      <c r="C797" s="11"/>
      <c r="D797" s="11"/>
      <c r="E797" s="15"/>
      <c r="F797" s="11"/>
      <c r="G797" s="11"/>
      <c r="H797" s="11"/>
      <c r="I797" s="11"/>
      <c r="J797" s="12"/>
      <c r="K797" s="13"/>
      <c r="L797" s="12"/>
      <c r="M797" s="13"/>
      <c r="N797" s="13"/>
      <c r="O797" s="13"/>
    </row>
    <row r="798">
      <c r="B798" s="11"/>
      <c r="C798" s="11"/>
      <c r="D798" s="11"/>
      <c r="E798" s="15"/>
      <c r="F798" s="11"/>
      <c r="G798" s="11"/>
      <c r="H798" s="11"/>
      <c r="I798" s="11"/>
      <c r="J798" s="12"/>
      <c r="K798" s="13"/>
      <c r="L798" s="12"/>
      <c r="M798" s="13"/>
      <c r="N798" s="13"/>
      <c r="O798" s="13"/>
    </row>
    <row r="799">
      <c r="B799" s="11"/>
      <c r="C799" s="11"/>
      <c r="D799" s="11"/>
      <c r="E799" s="15"/>
      <c r="F799" s="11"/>
      <c r="G799" s="11"/>
      <c r="H799" s="11"/>
      <c r="I799" s="11"/>
      <c r="J799" s="12"/>
      <c r="K799" s="13"/>
      <c r="L799" s="12"/>
      <c r="M799" s="13"/>
      <c r="N799" s="13"/>
      <c r="O799" s="13"/>
    </row>
    <row r="800">
      <c r="B800" s="11"/>
      <c r="C800" s="11"/>
      <c r="D800" s="11"/>
      <c r="E800" s="15"/>
      <c r="F800" s="11"/>
      <c r="G800" s="11"/>
      <c r="H800" s="11"/>
      <c r="I800" s="11"/>
      <c r="J800" s="12"/>
      <c r="K800" s="13"/>
      <c r="L800" s="12"/>
      <c r="M800" s="13"/>
      <c r="N800" s="13"/>
      <c r="O800" s="13"/>
    </row>
    <row r="801">
      <c r="B801" s="11"/>
      <c r="C801" s="11"/>
      <c r="D801" s="11"/>
      <c r="E801" s="15"/>
      <c r="F801" s="11"/>
      <c r="G801" s="11"/>
      <c r="H801" s="11"/>
      <c r="I801" s="11"/>
      <c r="J801" s="12"/>
      <c r="K801" s="13"/>
      <c r="L801" s="12"/>
      <c r="M801" s="13"/>
      <c r="N801" s="13"/>
      <c r="O801" s="13"/>
    </row>
    <row r="802">
      <c r="B802" s="11"/>
      <c r="C802" s="11"/>
      <c r="D802" s="11"/>
      <c r="E802" s="15"/>
      <c r="F802" s="11"/>
      <c r="G802" s="11"/>
      <c r="H802" s="11"/>
      <c r="I802" s="11"/>
      <c r="J802" s="12"/>
      <c r="K802" s="13"/>
      <c r="L802" s="12"/>
      <c r="M802" s="13"/>
      <c r="N802" s="13"/>
      <c r="O802" s="13"/>
    </row>
    <row r="803">
      <c r="B803" s="11"/>
      <c r="C803" s="11"/>
      <c r="D803" s="11"/>
      <c r="E803" s="15"/>
      <c r="F803" s="11"/>
      <c r="G803" s="11"/>
      <c r="H803" s="11"/>
      <c r="I803" s="11"/>
      <c r="J803" s="12"/>
      <c r="K803" s="13"/>
      <c r="L803" s="12"/>
      <c r="M803" s="13"/>
      <c r="N803" s="13"/>
      <c r="O803" s="13"/>
    </row>
    <row r="804">
      <c r="B804" s="11"/>
      <c r="C804" s="11"/>
      <c r="D804" s="11"/>
      <c r="E804" s="15"/>
      <c r="F804" s="11"/>
      <c r="G804" s="11"/>
      <c r="H804" s="11"/>
      <c r="I804" s="11"/>
      <c r="J804" s="12"/>
      <c r="K804" s="13"/>
      <c r="L804" s="12"/>
      <c r="M804" s="13"/>
      <c r="N804" s="13"/>
      <c r="O804" s="13"/>
    </row>
    <row r="805">
      <c r="B805" s="11"/>
      <c r="C805" s="11"/>
      <c r="D805" s="11"/>
      <c r="E805" s="15"/>
      <c r="F805" s="11"/>
      <c r="G805" s="11"/>
      <c r="H805" s="11"/>
      <c r="I805" s="11"/>
      <c r="J805" s="12"/>
      <c r="K805" s="13"/>
      <c r="L805" s="12"/>
      <c r="M805" s="13"/>
      <c r="N805" s="13"/>
      <c r="O805" s="13"/>
    </row>
    <row r="806">
      <c r="B806" s="11"/>
      <c r="C806" s="11"/>
      <c r="D806" s="11"/>
      <c r="E806" s="15"/>
      <c r="F806" s="11"/>
      <c r="G806" s="11"/>
      <c r="H806" s="11"/>
      <c r="I806" s="11"/>
      <c r="J806" s="12"/>
      <c r="K806" s="13"/>
      <c r="L806" s="12"/>
      <c r="M806" s="13"/>
      <c r="N806" s="13"/>
      <c r="O806" s="13"/>
    </row>
    <row r="807">
      <c r="B807" s="11"/>
      <c r="C807" s="11"/>
      <c r="D807" s="11"/>
      <c r="E807" s="15"/>
      <c r="F807" s="11"/>
      <c r="G807" s="11"/>
      <c r="H807" s="11"/>
      <c r="I807" s="11"/>
      <c r="J807" s="12"/>
      <c r="K807" s="13"/>
      <c r="L807" s="12"/>
      <c r="M807" s="13"/>
      <c r="N807" s="13"/>
      <c r="O807" s="13"/>
    </row>
    <row r="808">
      <c r="B808" s="11"/>
      <c r="C808" s="11"/>
      <c r="D808" s="11"/>
      <c r="E808" s="15"/>
      <c r="F808" s="11"/>
      <c r="G808" s="11"/>
      <c r="H808" s="11"/>
      <c r="I808" s="11"/>
      <c r="J808" s="12"/>
      <c r="K808" s="13"/>
      <c r="L808" s="12"/>
      <c r="M808" s="13"/>
      <c r="N808" s="13"/>
      <c r="O808" s="13"/>
    </row>
    <row r="809">
      <c r="B809" s="11"/>
      <c r="C809" s="11"/>
      <c r="D809" s="11"/>
      <c r="E809" s="15"/>
      <c r="F809" s="11"/>
      <c r="G809" s="11"/>
      <c r="H809" s="11"/>
      <c r="I809" s="11"/>
      <c r="J809" s="12"/>
      <c r="K809" s="13"/>
      <c r="L809" s="12"/>
      <c r="M809" s="13"/>
      <c r="N809" s="13"/>
      <c r="O809" s="13"/>
    </row>
    <row r="810">
      <c r="B810" s="11"/>
      <c r="C810" s="11"/>
      <c r="D810" s="11"/>
      <c r="E810" s="15"/>
      <c r="F810" s="11"/>
      <c r="G810" s="11"/>
      <c r="H810" s="11"/>
      <c r="I810" s="11"/>
      <c r="J810" s="12"/>
      <c r="K810" s="13"/>
      <c r="L810" s="12"/>
      <c r="M810" s="13"/>
      <c r="N810" s="13"/>
      <c r="O810" s="13"/>
    </row>
    <row r="811">
      <c r="B811" s="11"/>
      <c r="C811" s="11"/>
      <c r="D811" s="11"/>
      <c r="E811" s="15"/>
      <c r="F811" s="11"/>
      <c r="G811" s="11"/>
      <c r="H811" s="11"/>
      <c r="I811" s="11"/>
      <c r="J811" s="12"/>
      <c r="K811" s="13"/>
      <c r="L811" s="12"/>
      <c r="M811" s="13"/>
      <c r="N811" s="13"/>
      <c r="O811" s="13"/>
    </row>
    <row r="812">
      <c r="B812" s="11"/>
      <c r="C812" s="11"/>
      <c r="D812" s="11"/>
      <c r="E812" s="15"/>
      <c r="F812" s="11"/>
      <c r="G812" s="11"/>
      <c r="H812" s="11"/>
      <c r="I812" s="11"/>
      <c r="J812" s="12"/>
      <c r="K812" s="13"/>
      <c r="L812" s="12"/>
      <c r="M812" s="13"/>
      <c r="N812" s="13"/>
      <c r="O812" s="13"/>
    </row>
    <row r="813">
      <c r="B813" s="11"/>
      <c r="C813" s="11"/>
      <c r="D813" s="11"/>
      <c r="E813" s="15"/>
      <c r="F813" s="11"/>
      <c r="G813" s="11"/>
      <c r="H813" s="11"/>
      <c r="I813" s="11"/>
      <c r="J813" s="12"/>
      <c r="K813" s="13"/>
      <c r="L813" s="12"/>
      <c r="M813" s="13"/>
      <c r="N813" s="13"/>
      <c r="O813" s="13"/>
    </row>
    <row r="814">
      <c r="B814" s="11"/>
      <c r="C814" s="11"/>
      <c r="D814" s="11"/>
      <c r="E814" s="15"/>
      <c r="F814" s="11"/>
      <c r="G814" s="11"/>
      <c r="H814" s="11"/>
      <c r="I814" s="11"/>
      <c r="J814" s="12"/>
      <c r="K814" s="13"/>
      <c r="L814" s="12"/>
      <c r="M814" s="13"/>
      <c r="N814" s="13"/>
      <c r="O814" s="13"/>
    </row>
    <row r="815">
      <c r="B815" s="11"/>
      <c r="C815" s="11"/>
      <c r="D815" s="11"/>
      <c r="E815" s="15"/>
      <c r="F815" s="11"/>
      <c r="G815" s="11"/>
      <c r="H815" s="11"/>
      <c r="I815" s="11"/>
      <c r="J815" s="12"/>
      <c r="K815" s="13"/>
      <c r="L815" s="12"/>
      <c r="M815" s="13"/>
      <c r="N815" s="13"/>
      <c r="O815" s="13"/>
    </row>
    <row r="816">
      <c r="B816" s="11"/>
      <c r="C816" s="11"/>
      <c r="D816" s="11"/>
      <c r="E816" s="15"/>
      <c r="F816" s="11"/>
      <c r="G816" s="11"/>
      <c r="H816" s="11"/>
      <c r="I816" s="11"/>
      <c r="J816" s="12"/>
      <c r="K816" s="13"/>
      <c r="L816" s="12"/>
      <c r="M816" s="13"/>
      <c r="N816" s="13"/>
      <c r="O816" s="13"/>
    </row>
    <row r="817">
      <c r="B817" s="11"/>
      <c r="C817" s="11"/>
      <c r="D817" s="11"/>
      <c r="E817" s="15"/>
      <c r="F817" s="11"/>
      <c r="G817" s="11"/>
      <c r="H817" s="11"/>
      <c r="I817" s="11"/>
      <c r="J817" s="12"/>
      <c r="K817" s="13"/>
      <c r="L817" s="12"/>
      <c r="M817" s="13"/>
      <c r="N817" s="13"/>
      <c r="O817" s="13"/>
    </row>
    <row r="818">
      <c r="B818" s="11"/>
      <c r="C818" s="11"/>
      <c r="D818" s="11"/>
      <c r="E818" s="15"/>
      <c r="F818" s="11"/>
      <c r="G818" s="11"/>
      <c r="H818" s="11"/>
      <c r="I818" s="11"/>
      <c r="J818" s="12"/>
      <c r="K818" s="13"/>
      <c r="L818" s="12"/>
      <c r="M818" s="13"/>
      <c r="N818" s="13"/>
      <c r="O818" s="13"/>
    </row>
    <row r="819">
      <c r="B819" s="11"/>
      <c r="C819" s="11"/>
      <c r="D819" s="11"/>
      <c r="E819" s="15"/>
      <c r="F819" s="11"/>
      <c r="G819" s="11"/>
      <c r="H819" s="11"/>
      <c r="I819" s="11"/>
      <c r="J819" s="12"/>
      <c r="K819" s="13"/>
      <c r="L819" s="12"/>
      <c r="M819" s="13"/>
      <c r="N819" s="13"/>
      <c r="O819" s="13"/>
    </row>
    <row r="820">
      <c r="B820" s="11"/>
      <c r="C820" s="11"/>
      <c r="D820" s="11"/>
      <c r="E820" s="15"/>
      <c r="F820" s="11"/>
      <c r="G820" s="11"/>
      <c r="H820" s="11"/>
      <c r="I820" s="11"/>
      <c r="J820" s="12"/>
      <c r="K820" s="13"/>
      <c r="L820" s="12"/>
      <c r="M820" s="13"/>
      <c r="N820" s="13"/>
      <c r="O820" s="13"/>
    </row>
    <row r="821">
      <c r="B821" s="11"/>
      <c r="C821" s="11"/>
      <c r="D821" s="11"/>
      <c r="E821" s="15"/>
      <c r="F821" s="11"/>
      <c r="G821" s="11"/>
      <c r="H821" s="11"/>
      <c r="I821" s="11"/>
      <c r="J821" s="12"/>
      <c r="K821" s="13"/>
      <c r="L821" s="12"/>
      <c r="M821" s="13"/>
      <c r="N821" s="13"/>
      <c r="O821" s="13"/>
    </row>
    <row r="822">
      <c r="B822" s="11"/>
      <c r="C822" s="11"/>
      <c r="D822" s="11"/>
      <c r="E822" s="15"/>
      <c r="F822" s="11"/>
      <c r="G822" s="11"/>
      <c r="H822" s="11"/>
      <c r="I822" s="11"/>
      <c r="J822" s="12"/>
      <c r="K822" s="13"/>
      <c r="L822" s="12"/>
      <c r="M822" s="13"/>
      <c r="N822" s="13"/>
      <c r="O822" s="13"/>
    </row>
    <row r="823">
      <c r="B823" s="11"/>
      <c r="C823" s="11"/>
      <c r="D823" s="11"/>
      <c r="E823" s="15"/>
      <c r="F823" s="11"/>
      <c r="G823" s="11"/>
      <c r="H823" s="11"/>
      <c r="I823" s="11"/>
      <c r="J823" s="12"/>
      <c r="K823" s="13"/>
      <c r="L823" s="12"/>
      <c r="M823" s="13"/>
      <c r="N823" s="13"/>
      <c r="O823" s="13"/>
    </row>
    <row r="824">
      <c r="B824" s="11"/>
      <c r="C824" s="11"/>
      <c r="D824" s="11"/>
      <c r="E824" s="15"/>
      <c r="F824" s="11"/>
      <c r="G824" s="11"/>
      <c r="H824" s="11"/>
      <c r="I824" s="11"/>
      <c r="J824" s="12"/>
      <c r="K824" s="13"/>
      <c r="L824" s="12"/>
      <c r="M824" s="13"/>
      <c r="N824" s="13"/>
      <c r="O824" s="13"/>
    </row>
    <row r="825">
      <c r="B825" s="11"/>
      <c r="C825" s="11"/>
      <c r="D825" s="11"/>
      <c r="E825" s="15"/>
      <c r="F825" s="11"/>
      <c r="G825" s="11"/>
      <c r="H825" s="11"/>
      <c r="I825" s="11"/>
      <c r="J825" s="12"/>
      <c r="K825" s="13"/>
      <c r="L825" s="12"/>
      <c r="M825" s="13"/>
      <c r="N825" s="13"/>
      <c r="O825" s="13"/>
    </row>
    <row r="826">
      <c r="B826" s="11"/>
      <c r="C826" s="11"/>
      <c r="D826" s="11"/>
      <c r="E826" s="15"/>
      <c r="F826" s="11"/>
      <c r="G826" s="11"/>
      <c r="H826" s="11"/>
      <c r="I826" s="11"/>
      <c r="J826" s="12"/>
      <c r="K826" s="13"/>
      <c r="L826" s="12"/>
      <c r="M826" s="13"/>
      <c r="N826" s="13"/>
      <c r="O826" s="13"/>
    </row>
    <row r="827">
      <c r="B827" s="11"/>
      <c r="C827" s="11"/>
      <c r="D827" s="11"/>
      <c r="E827" s="15"/>
      <c r="F827" s="11"/>
      <c r="G827" s="11"/>
      <c r="H827" s="11"/>
      <c r="I827" s="11"/>
      <c r="J827" s="12"/>
      <c r="K827" s="13"/>
      <c r="L827" s="12"/>
      <c r="M827" s="13"/>
      <c r="N827" s="13"/>
      <c r="O827" s="13"/>
    </row>
    <row r="828">
      <c r="B828" s="11"/>
      <c r="C828" s="11"/>
      <c r="D828" s="11"/>
      <c r="E828" s="15"/>
      <c r="F828" s="11"/>
      <c r="G828" s="11"/>
      <c r="H828" s="11"/>
      <c r="I828" s="11"/>
      <c r="J828" s="12"/>
      <c r="K828" s="13"/>
      <c r="L828" s="12"/>
      <c r="M828" s="13"/>
      <c r="N828" s="13"/>
      <c r="O828" s="13"/>
    </row>
    <row r="829">
      <c r="B829" s="11"/>
      <c r="C829" s="11"/>
      <c r="D829" s="11"/>
      <c r="E829" s="15"/>
      <c r="F829" s="11"/>
      <c r="G829" s="11"/>
      <c r="H829" s="11"/>
      <c r="I829" s="11"/>
      <c r="J829" s="12"/>
      <c r="K829" s="13"/>
      <c r="L829" s="12"/>
      <c r="M829" s="13"/>
      <c r="N829" s="13"/>
      <c r="O829" s="13"/>
    </row>
    <row r="830">
      <c r="B830" s="11"/>
      <c r="C830" s="11"/>
      <c r="D830" s="11"/>
      <c r="E830" s="15"/>
      <c r="F830" s="11"/>
      <c r="G830" s="11"/>
      <c r="H830" s="11"/>
      <c r="I830" s="11"/>
      <c r="J830" s="12"/>
      <c r="K830" s="13"/>
      <c r="L830" s="12"/>
      <c r="M830" s="13"/>
      <c r="N830" s="13"/>
      <c r="O830" s="13"/>
    </row>
    <row r="831">
      <c r="B831" s="11"/>
      <c r="C831" s="11"/>
      <c r="D831" s="11"/>
      <c r="E831" s="15"/>
      <c r="F831" s="11"/>
      <c r="G831" s="11"/>
      <c r="H831" s="11"/>
      <c r="I831" s="11"/>
      <c r="J831" s="12"/>
      <c r="K831" s="13"/>
      <c r="L831" s="12"/>
      <c r="M831" s="13"/>
      <c r="N831" s="13"/>
      <c r="O831" s="13"/>
    </row>
    <row r="832">
      <c r="B832" s="11"/>
      <c r="C832" s="11"/>
      <c r="D832" s="11"/>
      <c r="E832" s="15"/>
      <c r="F832" s="11"/>
      <c r="G832" s="11"/>
      <c r="H832" s="11"/>
      <c r="I832" s="11"/>
      <c r="J832" s="12"/>
      <c r="K832" s="13"/>
      <c r="L832" s="12"/>
      <c r="M832" s="13"/>
      <c r="N832" s="13"/>
      <c r="O832" s="13"/>
    </row>
    <row r="833">
      <c r="B833" s="11"/>
      <c r="C833" s="11"/>
      <c r="D833" s="11"/>
      <c r="E833" s="15"/>
      <c r="F833" s="11"/>
      <c r="G833" s="11"/>
      <c r="H833" s="11"/>
      <c r="I833" s="11"/>
      <c r="J833" s="12"/>
      <c r="K833" s="13"/>
      <c r="L833" s="12"/>
      <c r="M833" s="13"/>
      <c r="N833" s="13"/>
      <c r="O833" s="13"/>
    </row>
    <row r="834">
      <c r="B834" s="11"/>
      <c r="C834" s="11"/>
      <c r="D834" s="11"/>
      <c r="E834" s="15"/>
      <c r="F834" s="11"/>
      <c r="G834" s="11"/>
      <c r="H834" s="11"/>
      <c r="I834" s="11"/>
      <c r="J834" s="12"/>
      <c r="K834" s="13"/>
      <c r="L834" s="12"/>
      <c r="M834" s="13"/>
      <c r="N834" s="13"/>
      <c r="O834" s="13"/>
    </row>
    <row r="835">
      <c r="B835" s="11"/>
      <c r="C835" s="11"/>
      <c r="D835" s="11"/>
      <c r="E835" s="15"/>
      <c r="F835" s="11"/>
      <c r="G835" s="11"/>
      <c r="H835" s="11"/>
      <c r="I835" s="11"/>
      <c r="J835" s="12"/>
      <c r="K835" s="13"/>
      <c r="L835" s="12"/>
      <c r="M835" s="13"/>
      <c r="N835" s="13"/>
      <c r="O835" s="13"/>
    </row>
    <row r="836">
      <c r="B836" s="11"/>
      <c r="C836" s="11"/>
      <c r="D836" s="11"/>
      <c r="E836" s="15"/>
      <c r="F836" s="11"/>
      <c r="G836" s="11"/>
      <c r="H836" s="11"/>
      <c r="I836" s="11"/>
      <c r="J836" s="12"/>
      <c r="K836" s="13"/>
      <c r="L836" s="12"/>
      <c r="M836" s="13"/>
      <c r="N836" s="13"/>
      <c r="O836" s="13"/>
    </row>
    <row r="837">
      <c r="B837" s="11"/>
      <c r="C837" s="11"/>
      <c r="D837" s="11"/>
      <c r="E837" s="15"/>
      <c r="F837" s="11"/>
      <c r="G837" s="11"/>
      <c r="H837" s="11"/>
      <c r="I837" s="11"/>
      <c r="J837" s="12"/>
      <c r="K837" s="13"/>
      <c r="L837" s="12"/>
      <c r="M837" s="13"/>
      <c r="N837" s="13"/>
      <c r="O837" s="13"/>
    </row>
    <row r="838">
      <c r="B838" s="11"/>
      <c r="C838" s="11"/>
      <c r="D838" s="11"/>
      <c r="E838" s="15"/>
      <c r="F838" s="11"/>
      <c r="G838" s="11"/>
      <c r="H838" s="11"/>
      <c r="I838" s="11"/>
      <c r="J838" s="12"/>
      <c r="K838" s="13"/>
      <c r="L838" s="12"/>
      <c r="M838" s="13"/>
      <c r="N838" s="13"/>
      <c r="O838" s="13"/>
    </row>
    <row r="839">
      <c r="B839" s="11"/>
      <c r="C839" s="11"/>
      <c r="D839" s="11"/>
      <c r="E839" s="15"/>
      <c r="F839" s="11"/>
      <c r="G839" s="11"/>
      <c r="H839" s="11"/>
      <c r="I839" s="11"/>
      <c r="J839" s="12"/>
      <c r="K839" s="13"/>
      <c r="L839" s="12"/>
      <c r="M839" s="13"/>
      <c r="N839" s="13"/>
      <c r="O839" s="13"/>
    </row>
    <row r="840">
      <c r="B840" s="11"/>
      <c r="C840" s="11"/>
      <c r="D840" s="11"/>
      <c r="E840" s="15"/>
      <c r="F840" s="11"/>
      <c r="G840" s="11"/>
      <c r="H840" s="11"/>
      <c r="I840" s="11"/>
      <c r="J840" s="12"/>
      <c r="K840" s="13"/>
      <c r="L840" s="12"/>
      <c r="M840" s="13"/>
      <c r="N840" s="13"/>
      <c r="O840" s="13"/>
    </row>
    <row r="841">
      <c r="B841" s="11"/>
      <c r="C841" s="11"/>
      <c r="D841" s="11"/>
      <c r="E841" s="15"/>
      <c r="F841" s="11"/>
      <c r="G841" s="11"/>
      <c r="H841" s="11"/>
      <c r="I841" s="11"/>
      <c r="J841" s="12"/>
      <c r="K841" s="13"/>
      <c r="L841" s="12"/>
      <c r="M841" s="13"/>
      <c r="N841" s="13"/>
      <c r="O841" s="13"/>
    </row>
    <row r="842">
      <c r="B842" s="11"/>
      <c r="C842" s="11"/>
      <c r="D842" s="11"/>
      <c r="E842" s="15"/>
      <c r="F842" s="11"/>
      <c r="G842" s="11"/>
      <c r="H842" s="11"/>
      <c r="I842" s="11"/>
      <c r="J842" s="12"/>
      <c r="K842" s="13"/>
      <c r="L842" s="12"/>
      <c r="M842" s="13"/>
      <c r="N842" s="13"/>
      <c r="O842" s="13"/>
    </row>
    <row r="843">
      <c r="B843" s="11"/>
      <c r="C843" s="11"/>
      <c r="D843" s="11"/>
      <c r="E843" s="15"/>
      <c r="F843" s="11"/>
      <c r="G843" s="11"/>
      <c r="H843" s="11"/>
      <c r="I843" s="11"/>
      <c r="J843" s="12"/>
      <c r="K843" s="13"/>
      <c r="L843" s="12"/>
      <c r="M843" s="13"/>
      <c r="N843" s="13"/>
      <c r="O843" s="13"/>
    </row>
    <row r="844">
      <c r="B844" s="11"/>
      <c r="C844" s="11"/>
      <c r="D844" s="11"/>
      <c r="E844" s="15"/>
      <c r="F844" s="11"/>
      <c r="G844" s="11"/>
      <c r="H844" s="11"/>
      <c r="I844" s="11"/>
      <c r="J844" s="12"/>
      <c r="K844" s="13"/>
      <c r="L844" s="12"/>
      <c r="M844" s="13"/>
      <c r="N844" s="13"/>
      <c r="O844" s="13"/>
    </row>
    <row r="845">
      <c r="B845" s="11"/>
      <c r="C845" s="11"/>
      <c r="D845" s="11"/>
      <c r="E845" s="15"/>
      <c r="F845" s="11"/>
      <c r="G845" s="11"/>
      <c r="H845" s="11"/>
      <c r="I845" s="11"/>
      <c r="J845" s="12"/>
      <c r="K845" s="13"/>
      <c r="L845" s="12"/>
      <c r="M845" s="13"/>
      <c r="N845" s="13"/>
      <c r="O845" s="13"/>
    </row>
    <row r="846">
      <c r="B846" s="11"/>
      <c r="C846" s="11"/>
      <c r="D846" s="11"/>
      <c r="E846" s="15"/>
      <c r="F846" s="11"/>
      <c r="G846" s="11"/>
      <c r="H846" s="11"/>
      <c r="I846" s="11"/>
      <c r="J846" s="12"/>
      <c r="K846" s="13"/>
      <c r="L846" s="12"/>
      <c r="M846" s="13"/>
      <c r="N846" s="13"/>
      <c r="O846" s="13"/>
    </row>
    <row r="847">
      <c r="B847" s="11"/>
      <c r="C847" s="11"/>
      <c r="D847" s="11"/>
      <c r="E847" s="15"/>
      <c r="F847" s="11"/>
      <c r="G847" s="11"/>
      <c r="H847" s="11"/>
      <c r="I847" s="11"/>
      <c r="J847" s="12"/>
      <c r="K847" s="13"/>
      <c r="L847" s="12"/>
      <c r="M847" s="13"/>
      <c r="N847" s="13"/>
      <c r="O847" s="13"/>
    </row>
    <row r="848">
      <c r="B848" s="11"/>
      <c r="C848" s="11"/>
      <c r="D848" s="11"/>
      <c r="E848" s="15"/>
      <c r="F848" s="11"/>
      <c r="G848" s="11"/>
      <c r="H848" s="11"/>
      <c r="I848" s="11"/>
      <c r="J848" s="12"/>
      <c r="K848" s="13"/>
      <c r="L848" s="12"/>
      <c r="M848" s="13"/>
      <c r="N848" s="13"/>
      <c r="O848" s="13"/>
    </row>
    <row r="849">
      <c r="B849" s="11"/>
      <c r="C849" s="11"/>
      <c r="D849" s="11"/>
      <c r="E849" s="15"/>
      <c r="F849" s="11"/>
      <c r="G849" s="11"/>
      <c r="H849" s="11"/>
      <c r="I849" s="11"/>
      <c r="J849" s="12"/>
      <c r="K849" s="13"/>
      <c r="L849" s="12"/>
      <c r="M849" s="13"/>
      <c r="N849" s="13"/>
      <c r="O849" s="13"/>
    </row>
    <row r="850">
      <c r="B850" s="11"/>
      <c r="C850" s="11"/>
      <c r="D850" s="11"/>
      <c r="E850" s="15"/>
      <c r="F850" s="11"/>
      <c r="G850" s="11"/>
      <c r="H850" s="11"/>
      <c r="I850" s="11"/>
      <c r="J850" s="12"/>
      <c r="K850" s="13"/>
      <c r="L850" s="12"/>
      <c r="M850" s="13"/>
      <c r="N850" s="13"/>
      <c r="O850" s="13"/>
    </row>
    <row r="851">
      <c r="B851" s="11"/>
      <c r="C851" s="11"/>
      <c r="D851" s="11"/>
      <c r="E851" s="15"/>
      <c r="F851" s="11"/>
      <c r="G851" s="11"/>
      <c r="H851" s="11"/>
      <c r="I851" s="11"/>
      <c r="J851" s="12"/>
      <c r="K851" s="13"/>
      <c r="L851" s="12"/>
      <c r="M851" s="13"/>
      <c r="N851" s="13"/>
      <c r="O851" s="13"/>
    </row>
    <row r="852">
      <c r="B852" s="11"/>
      <c r="C852" s="11"/>
      <c r="D852" s="11"/>
      <c r="E852" s="15"/>
      <c r="F852" s="11"/>
      <c r="G852" s="11"/>
      <c r="H852" s="11"/>
      <c r="I852" s="11"/>
      <c r="J852" s="12"/>
      <c r="K852" s="13"/>
      <c r="L852" s="12"/>
      <c r="M852" s="13"/>
      <c r="N852" s="13"/>
      <c r="O852" s="13"/>
    </row>
    <row r="853">
      <c r="B853" s="11"/>
      <c r="C853" s="11"/>
      <c r="D853" s="11"/>
      <c r="E853" s="15"/>
      <c r="F853" s="11"/>
      <c r="G853" s="11"/>
      <c r="H853" s="11"/>
      <c r="I853" s="11"/>
      <c r="J853" s="12"/>
      <c r="K853" s="13"/>
      <c r="L853" s="12"/>
      <c r="M853" s="13"/>
      <c r="N853" s="13"/>
      <c r="O853" s="13"/>
    </row>
    <row r="854">
      <c r="B854" s="11"/>
      <c r="C854" s="11"/>
      <c r="D854" s="11"/>
      <c r="E854" s="15"/>
      <c r="F854" s="11"/>
      <c r="G854" s="11"/>
      <c r="H854" s="11"/>
      <c r="I854" s="11"/>
      <c r="J854" s="12"/>
      <c r="K854" s="13"/>
      <c r="L854" s="12"/>
      <c r="M854" s="13"/>
      <c r="N854" s="13"/>
      <c r="O854" s="13"/>
    </row>
    <row r="855">
      <c r="B855" s="11"/>
      <c r="C855" s="11"/>
      <c r="D855" s="11"/>
      <c r="E855" s="15"/>
      <c r="F855" s="11"/>
      <c r="G855" s="11"/>
      <c r="H855" s="11"/>
      <c r="I855" s="11"/>
      <c r="J855" s="12"/>
      <c r="K855" s="13"/>
      <c r="L855" s="12"/>
      <c r="M855" s="13"/>
      <c r="N855" s="13"/>
      <c r="O855" s="13"/>
    </row>
    <row r="856">
      <c r="B856" s="11"/>
      <c r="C856" s="11"/>
      <c r="D856" s="11"/>
      <c r="E856" s="15"/>
      <c r="F856" s="11"/>
      <c r="G856" s="11"/>
      <c r="H856" s="11"/>
      <c r="I856" s="11"/>
      <c r="J856" s="12"/>
      <c r="K856" s="13"/>
      <c r="L856" s="12"/>
      <c r="M856" s="13"/>
      <c r="N856" s="13"/>
      <c r="O856" s="13"/>
    </row>
    <row r="857">
      <c r="B857" s="11"/>
      <c r="C857" s="11"/>
      <c r="D857" s="11"/>
      <c r="E857" s="15"/>
      <c r="F857" s="11"/>
      <c r="G857" s="11"/>
      <c r="H857" s="11"/>
      <c r="I857" s="11"/>
      <c r="J857" s="12"/>
      <c r="K857" s="13"/>
      <c r="L857" s="12"/>
      <c r="M857" s="13"/>
      <c r="N857" s="13"/>
      <c r="O857" s="13"/>
    </row>
    <row r="858">
      <c r="B858" s="11"/>
      <c r="C858" s="11"/>
      <c r="D858" s="11"/>
      <c r="E858" s="15"/>
      <c r="F858" s="11"/>
      <c r="G858" s="11"/>
      <c r="H858" s="11"/>
      <c r="I858" s="11"/>
      <c r="J858" s="12"/>
      <c r="K858" s="13"/>
      <c r="L858" s="12"/>
      <c r="M858" s="13"/>
      <c r="N858" s="13"/>
      <c r="O858" s="13"/>
    </row>
    <row r="859">
      <c r="B859" s="11"/>
      <c r="C859" s="11"/>
      <c r="D859" s="11"/>
      <c r="E859" s="15"/>
      <c r="F859" s="11"/>
      <c r="G859" s="11"/>
      <c r="H859" s="11"/>
      <c r="I859" s="11"/>
      <c r="J859" s="12"/>
      <c r="K859" s="13"/>
      <c r="L859" s="12"/>
      <c r="M859" s="13"/>
      <c r="N859" s="13"/>
      <c r="O859" s="13"/>
    </row>
    <row r="860">
      <c r="B860" s="11"/>
      <c r="C860" s="11"/>
      <c r="D860" s="11"/>
      <c r="E860" s="15"/>
      <c r="F860" s="11"/>
      <c r="G860" s="11"/>
      <c r="H860" s="11"/>
      <c r="I860" s="11"/>
      <c r="J860" s="12"/>
      <c r="K860" s="13"/>
      <c r="L860" s="12"/>
      <c r="M860" s="13"/>
      <c r="N860" s="13"/>
      <c r="O860" s="13"/>
    </row>
    <row r="861">
      <c r="B861" s="11"/>
      <c r="C861" s="11"/>
      <c r="D861" s="11"/>
      <c r="E861" s="15"/>
      <c r="F861" s="11"/>
      <c r="G861" s="11"/>
      <c r="H861" s="11"/>
      <c r="I861" s="11"/>
      <c r="J861" s="12"/>
      <c r="K861" s="13"/>
      <c r="L861" s="12"/>
      <c r="M861" s="13"/>
      <c r="N861" s="13"/>
      <c r="O861" s="13"/>
    </row>
    <row r="862">
      <c r="B862" s="11"/>
      <c r="C862" s="11"/>
      <c r="D862" s="11"/>
      <c r="E862" s="15"/>
      <c r="F862" s="11"/>
      <c r="G862" s="11"/>
      <c r="H862" s="11"/>
      <c r="I862" s="11"/>
      <c r="J862" s="12"/>
      <c r="K862" s="13"/>
      <c r="L862" s="12"/>
      <c r="M862" s="13"/>
      <c r="N862" s="13"/>
      <c r="O862" s="13"/>
    </row>
    <row r="863">
      <c r="B863" s="11"/>
      <c r="C863" s="11"/>
      <c r="D863" s="11"/>
      <c r="E863" s="15"/>
      <c r="F863" s="11"/>
      <c r="G863" s="11"/>
      <c r="H863" s="11"/>
      <c r="I863" s="11"/>
      <c r="J863" s="12"/>
      <c r="K863" s="13"/>
      <c r="L863" s="12"/>
      <c r="M863" s="13"/>
      <c r="N863" s="13"/>
      <c r="O863" s="13"/>
    </row>
    <row r="864">
      <c r="B864" s="11"/>
      <c r="C864" s="11"/>
      <c r="D864" s="11"/>
      <c r="E864" s="15"/>
      <c r="F864" s="11"/>
      <c r="G864" s="11"/>
      <c r="H864" s="11"/>
      <c r="I864" s="11"/>
      <c r="J864" s="12"/>
      <c r="K864" s="13"/>
      <c r="L864" s="12"/>
      <c r="M864" s="13"/>
      <c r="N864" s="13"/>
      <c r="O864" s="13"/>
    </row>
    <row r="865">
      <c r="B865" s="11"/>
      <c r="C865" s="11"/>
      <c r="D865" s="11"/>
      <c r="E865" s="15"/>
      <c r="F865" s="11"/>
      <c r="G865" s="11"/>
      <c r="H865" s="11"/>
      <c r="I865" s="11"/>
      <c r="J865" s="12"/>
      <c r="K865" s="13"/>
      <c r="L865" s="12"/>
      <c r="M865" s="13"/>
      <c r="N865" s="13"/>
      <c r="O865" s="13"/>
    </row>
    <row r="866">
      <c r="B866" s="11"/>
      <c r="C866" s="11"/>
      <c r="D866" s="11"/>
      <c r="E866" s="15"/>
      <c r="F866" s="11"/>
      <c r="G866" s="11"/>
      <c r="H866" s="11"/>
      <c r="I866" s="11"/>
      <c r="J866" s="12"/>
      <c r="K866" s="13"/>
      <c r="L866" s="12"/>
      <c r="M866" s="13"/>
      <c r="N866" s="13"/>
      <c r="O866" s="13"/>
    </row>
    <row r="867">
      <c r="B867" s="11"/>
      <c r="C867" s="11"/>
      <c r="D867" s="11"/>
      <c r="E867" s="15"/>
      <c r="F867" s="11"/>
      <c r="G867" s="11"/>
      <c r="H867" s="11"/>
      <c r="I867" s="11"/>
      <c r="J867" s="12"/>
      <c r="K867" s="13"/>
      <c r="L867" s="12"/>
      <c r="M867" s="13"/>
      <c r="N867" s="13"/>
      <c r="O867" s="13"/>
    </row>
    <row r="868">
      <c r="B868" s="11"/>
      <c r="C868" s="11"/>
      <c r="D868" s="11"/>
      <c r="E868" s="15"/>
      <c r="F868" s="11"/>
      <c r="G868" s="11"/>
      <c r="H868" s="11"/>
      <c r="I868" s="11"/>
      <c r="J868" s="12"/>
      <c r="K868" s="13"/>
      <c r="L868" s="12"/>
      <c r="M868" s="13"/>
      <c r="N868" s="13"/>
      <c r="O868" s="13"/>
    </row>
    <row r="869">
      <c r="B869" s="11"/>
      <c r="C869" s="11"/>
      <c r="D869" s="11"/>
      <c r="E869" s="15"/>
      <c r="F869" s="11"/>
      <c r="G869" s="11"/>
      <c r="H869" s="11"/>
      <c r="I869" s="11"/>
      <c r="J869" s="12"/>
      <c r="K869" s="13"/>
      <c r="L869" s="12"/>
      <c r="M869" s="13"/>
      <c r="N869" s="13"/>
      <c r="O869" s="13"/>
    </row>
    <row r="870">
      <c r="B870" s="11"/>
      <c r="C870" s="11"/>
      <c r="D870" s="11"/>
      <c r="E870" s="15"/>
      <c r="F870" s="11"/>
      <c r="G870" s="11"/>
      <c r="H870" s="11"/>
      <c r="I870" s="11"/>
      <c r="J870" s="12"/>
      <c r="K870" s="13"/>
      <c r="L870" s="12"/>
      <c r="M870" s="13"/>
      <c r="N870" s="13"/>
      <c r="O870" s="13"/>
    </row>
    <row r="871">
      <c r="B871" s="11"/>
      <c r="C871" s="11"/>
      <c r="D871" s="11"/>
      <c r="E871" s="15"/>
      <c r="F871" s="11"/>
      <c r="G871" s="11"/>
      <c r="H871" s="11"/>
      <c r="I871" s="11"/>
      <c r="J871" s="12"/>
      <c r="K871" s="13"/>
      <c r="L871" s="12"/>
      <c r="M871" s="13"/>
      <c r="N871" s="13"/>
      <c r="O871" s="13"/>
    </row>
    <row r="872">
      <c r="B872" s="11"/>
      <c r="C872" s="11"/>
      <c r="D872" s="11"/>
      <c r="E872" s="15"/>
      <c r="F872" s="11"/>
      <c r="G872" s="11"/>
      <c r="H872" s="11"/>
      <c r="I872" s="11"/>
      <c r="J872" s="12"/>
      <c r="K872" s="13"/>
      <c r="L872" s="12"/>
      <c r="M872" s="13"/>
      <c r="N872" s="13"/>
      <c r="O872" s="13"/>
    </row>
    <row r="873">
      <c r="B873" s="11"/>
      <c r="C873" s="11"/>
      <c r="D873" s="11"/>
      <c r="E873" s="15"/>
      <c r="F873" s="11"/>
      <c r="G873" s="11"/>
      <c r="H873" s="11"/>
      <c r="I873" s="11"/>
      <c r="J873" s="12"/>
      <c r="K873" s="13"/>
      <c r="L873" s="12"/>
      <c r="M873" s="13"/>
      <c r="N873" s="13"/>
      <c r="O873" s="13"/>
    </row>
    <row r="874">
      <c r="B874" s="11"/>
      <c r="C874" s="11"/>
      <c r="D874" s="11"/>
      <c r="E874" s="15"/>
      <c r="F874" s="11"/>
      <c r="G874" s="11"/>
      <c r="H874" s="11"/>
      <c r="I874" s="11"/>
      <c r="J874" s="12"/>
      <c r="K874" s="13"/>
      <c r="L874" s="12"/>
      <c r="M874" s="13"/>
      <c r="N874" s="13"/>
      <c r="O874" s="13"/>
    </row>
    <row r="875">
      <c r="B875" s="11"/>
      <c r="C875" s="11"/>
      <c r="D875" s="11"/>
      <c r="E875" s="15"/>
      <c r="F875" s="11"/>
      <c r="G875" s="11"/>
      <c r="H875" s="11"/>
      <c r="I875" s="11"/>
      <c r="J875" s="12"/>
      <c r="K875" s="13"/>
      <c r="L875" s="12"/>
      <c r="M875" s="13"/>
      <c r="N875" s="13"/>
      <c r="O875" s="13"/>
    </row>
    <row r="876">
      <c r="B876" s="11"/>
      <c r="C876" s="11"/>
      <c r="D876" s="11"/>
      <c r="E876" s="15"/>
      <c r="F876" s="11"/>
      <c r="G876" s="11"/>
      <c r="H876" s="11"/>
      <c r="I876" s="11"/>
      <c r="J876" s="12"/>
      <c r="K876" s="13"/>
      <c r="L876" s="12"/>
      <c r="M876" s="13"/>
      <c r="N876" s="13"/>
      <c r="O876" s="13"/>
    </row>
    <row r="877">
      <c r="B877" s="11"/>
      <c r="C877" s="11"/>
      <c r="D877" s="11"/>
      <c r="E877" s="15"/>
      <c r="F877" s="11"/>
      <c r="G877" s="11"/>
      <c r="H877" s="11"/>
      <c r="I877" s="11"/>
      <c r="J877" s="12"/>
      <c r="K877" s="13"/>
      <c r="L877" s="12"/>
      <c r="M877" s="13"/>
      <c r="N877" s="13"/>
      <c r="O877" s="13"/>
    </row>
    <row r="878">
      <c r="B878" s="11"/>
      <c r="C878" s="11"/>
      <c r="D878" s="11"/>
      <c r="E878" s="15"/>
      <c r="F878" s="11"/>
      <c r="G878" s="11"/>
      <c r="H878" s="11"/>
      <c r="I878" s="11"/>
      <c r="J878" s="12"/>
      <c r="K878" s="13"/>
      <c r="L878" s="12"/>
      <c r="M878" s="13"/>
      <c r="N878" s="13"/>
      <c r="O878" s="13"/>
    </row>
    <row r="879">
      <c r="B879" s="11"/>
      <c r="C879" s="11"/>
      <c r="D879" s="11"/>
      <c r="E879" s="15"/>
      <c r="F879" s="11"/>
      <c r="G879" s="11"/>
      <c r="H879" s="11"/>
      <c r="I879" s="11"/>
      <c r="J879" s="12"/>
      <c r="K879" s="13"/>
      <c r="L879" s="12"/>
      <c r="M879" s="13"/>
      <c r="N879" s="13"/>
      <c r="O879" s="13"/>
    </row>
    <row r="880">
      <c r="B880" s="11"/>
      <c r="C880" s="11"/>
      <c r="D880" s="11"/>
      <c r="E880" s="15"/>
      <c r="F880" s="11"/>
      <c r="G880" s="11"/>
      <c r="H880" s="11"/>
      <c r="I880" s="11"/>
      <c r="J880" s="12"/>
      <c r="K880" s="13"/>
      <c r="L880" s="12"/>
      <c r="M880" s="13"/>
      <c r="N880" s="13"/>
      <c r="O880" s="13"/>
    </row>
    <row r="881">
      <c r="B881" s="11"/>
      <c r="C881" s="11"/>
      <c r="D881" s="11"/>
      <c r="E881" s="15"/>
      <c r="F881" s="11"/>
      <c r="G881" s="11"/>
      <c r="H881" s="11"/>
      <c r="I881" s="11"/>
      <c r="J881" s="12"/>
      <c r="K881" s="13"/>
      <c r="L881" s="12"/>
      <c r="M881" s="13"/>
      <c r="N881" s="13"/>
      <c r="O881" s="13"/>
    </row>
    <row r="882">
      <c r="B882" s="11"/>
      <c r="C882" s="11"/>
      <c r="D882" s="11"/>
      <c r="E882" s="15"/>
      <c r="F882" s="11"/>
      <c r="G882" s="11"/>
      <c r="H882" s="11"/>
      <c r="I882" s="11"/>
      <c r="J882" s="12"/>
      <c r="K882" s="13"/>
      <c r="L882" s="12"/>
      <c r="M882" s="13"/>
      <c r="N882" s="13"/>
      <c r="O882" s="13"/>
    </row>
    <row r="883">
      <c r="B883" s="11"/>
      <c r="C883" s="11"/>
      <c r="D883" s="11"/>
      <c r="E883" s="15"/>
      <c r="F883" s="11"/>
      <c r="G883" s="11"/>
      <c r="H883" s="11"/>
      <c r="I883" s="11"/>
      <c r="J883" s="12"/>
      <c r="K883" s="13"/>
      <c r="L883" s="12"/>
      <c r="M883" s="13"/>
      <c r="N883" s="13"/>
      <c r="O883" s="13"/>
    </row>
    <row r="884">
      <c r="B884" s="11"/>
      <c r="C884" s="11"/>
      <c r="D884" s="11"/>
      <c r="E884" s="15"/>
      <c r="F884" s="11"/>
      <c r="G884" s="11"/>
      <c r="H884" s="11"/>
      <c r="I884" s="11"/>
      <c r="J884" s="12"/>
      <c r="K884" s="13"/>
      <c r="L884" s="12"/>
      <c r="M884" s="13"/>
      <c r="N884" s="13"/>
      <c r="O884" s="13"/>
    </row>
    <row r="885">
      <c r="B885" s="11"/>
      <c r="C885" s="11"/>
      <c r="D885" s="11"/>
      <c r="E885" s="15"/>
      <c r="F885" s="11"/>
      <c r="G885" s="11"/>
      <c r="H885" s="11"/>
      <c r="I885" s="11"/>
      <c r="J885" s="12"/>
      <c r="K885" s="13"/>
      <c r="L885" s="12"/>
      <c r="M885" s="13"/>
      <c r="N885" s="13"/>
      <c r="O885" s="13"/>
    </row>
    <row r="886">
      <c r="B886" s="11"/>
      <c r="C886" s="11"/>
      <c r="D886" s="11"/>
      <c r="E886" s="15"/>
      <c r="F886" s="11"/>
      <c r="G886" s="11"/>
      <c r="H886" s="11"/>
      <c r="I886" s="11"/>
      <c r="J886" s="12"/>
      <c r="K886" s="13"/>
      <c r="L886" s="12"/>
      <c r="M886" s="13"/>
      <c r="N886" s="13"/>
      <c r="O886" s="13"/>
    </row>
    <row r="887">
      <c r="B887" s="11"/>
      <c r="C887" s="11"/>
      <c r="D887" s="11"/>
      <c r="E887" s="15"/>
      <c r="F887" s="11"/>
      <c r="G887" s="11"/>
      <c r="H887" s="11"/>
      <c r="I887" s="11"/>
      <c r="J887" s="12"/>
      <c r="K887" s="13"/>
      <c r="L887" s="12"/>
      <c r="M887" s="13"/>
      <c r="N887" s="13"/>
      <c r="O887" s="13"/>
    </row>
    <row r="888">
      <c r="B888" s="11"/>
      <c r="C888" s="11"/>
      <c r="D888" s="11"/>
      <c r="E888" s="15"/>
      <c r="F888" s="11"/>
      <c r="G888" s="11"/>
      <c r="H888" s="11"/>
      <c r="I888" s="11"/>
      <c r="J888" s="12"/>
      <c r="K888" s="13"/>
      <c r="L888" s="12"/>
      <c r="M888" s="13"/>
      <c r="N888" s="13"/>
      <c r="O888" s="13"/>
    </row>
    <row r="889">
      <c r="B889" s="11"/>
      <c r="C889" s="11"/>
      <c r="D889" s="11"/>
      <c r="E889" s="15"/>
      <c r="F889" s="11"/>
      <c r="G889" s="11"/>
      <c r="H889" s="11"/>
      <c r="I889" s="11"/>
      <c r="J889" s="12"/>
      <c r="K889" s="13"/>
      <c r="L889" s="12"/>
      <c r="M889" s="13"/>
      <c r="N889" s="13"/>
      <c r="O889" s="13"/>
    </row>
    <row r="890">
      <c r="B890" s="11"/>
      <c r="C890" s="11"/>
      <c r="D890" s="11"/>
      <c r="E890" s="15"/>
      <c r="F890" s="11"/>
      <c r="G890" s="11"/>
      <c r="H890" s="11"/>
      <c r="I890" s="11"/>
      <c r="J890" s="12"/>
      <c r="K890" s="13"/>
      <c r="L890" s="12"/>
      <c r="M890" s="13"/>
      <c r="N890" s="13"/>
      <c r="O890" s="13"/>
    </row>
    <row r="891">
      <c r="B891" s="11"/>
      <c r="C891" s="11"/>
      <c r="D891" s="11"/>
      <c r="E891" s="15"/>
      <c r="F891" s="11"/>
      <c r="G891" s="11"/>
      <c r="H891" s="11"/>
      <c r="I891" s="11"/>
      <c r="J891" s="12"/>
      <c r="K891" s="13"/>
      <c r="L891" s="12"/>
      <c r="M891" s="13"/>
      <c r="N891" s="13"/>
      <c r="O891" s="13"/>
    </row>
    <row r="892">
      <c r="B892" s="11"/>
      <c r="C892" s="11"/>
      <c r="D892" s="11"/>
      <c r="E892" s="15"/>
      <c r="F892" s="11"/>
      <c r="G892" s="11"/>
      <c r="H892" s="11"/>
      <c r="I892" s="11"/>
      <c r="J892" s="12"/>
      <c r="K892" s="13"/>
      <c r="L892" s="12"/>
      <c r="M892" s="13"/>
      <c r="N892" s="13"/>
      <c r="O892" s="13"/>
    </row>
    <row r="893">
      <c r="B893" s="11"/>
      <c r="C893" s="11"/>
      <c r="D893" s="11"/>
      <c r="E893" s="15"/>
      <c r="F893" s="11"/>
      <c r="G893" s="11"/>
      <c r="H893" s="11"/>
      <c r="I893" s="11"/>
      <c r="J893" s="12"/>
      <c r="K893" s="13"/>
      <c r="L893" s="12"/>
      <c r="M893" s="13"/>
      <c r="N893" s="13"/>
      <c r="O893" s="13"/>
    </row>
    <row r="894">
      <c r="B894" s="11"/>
      <c r="C894" s="11"/>
      <c r="D894" s="11"/>
      <c r="E894" s="15"/>
      <c r="F894" s="11"/>
      <c r="G894" s="11"/>
      <c r="H894" s="11"/>
      <c r="I894" s="11"/>
      <c r="J894" s="12"/>
      <c r="K894" s="13"/>
      <c r="L894" s="12"/>
      <c r="M894" s="13"/>
      <c r="N894" s="13"/>
      <c r="O894" s="13"/>
    </row>
    <row r="895">
      <c r="B895" s="11"/>
      <c r="C895" s="11"/>
      <c r="D895" s="11"/>
      <c r="E895" s="15"/>
      <c r="F895" s="11"/>
      <c r="G895" s="11"/>
      <c r="H895" s="11"/>
      <c r="I895" s="11"/>
      <c r="J895" s="12"/>
      <c r="K895" s="13"/>
      <c r="L895" s="12"/>
      <c r="M895" s="13"/>
      <c r="N895" s="13"/>
      <c r="O895" s="13"/>
    </row>
    <row r="896">
      <c r="B896" s="11"/>
      <c r="C896" s="11"/>
      <c r="D896" s="11"/>
      <c r="E896" s="15"/>
      <c r="F896" s="11"/>
      <c r="G896" s="11"/>
      <c r="H896" s="11"/>
      <c r="I896" s="11"/>
      <c r="J896" s="12"/>
      <c r="K896" s="13"/>
      <c r="L896" s="12"/>
      <c r="M896" s="13"/>
      <c r="N896" s="13"/>
      <c r="O896" s="13"/>
    </row>
    <row r="897">
      <c r="B897" s="11"/>
      <c r="C897" s="11"/>
      <c r="D897" s="11"/>
      <c r="E897" s="15"/>
      <c r="F897" s="11"/>
      <c r="G897" s="11"/>
      <c r="H897" s="11"/>
      <c r="I897" s="11"/>
      <c r="J897" s="12"/>
      <c r="K897" s="13"/>
      <c r="L897" s="12"/>
      <c r="M897" s="13"/>
      <c r="N897" s="13"/>
      <c r="O897" s="13"/>
    </row>
    <row r="898">
      <c r="B898" s="11"/>
      <c r="C898" s="11"/>
      <c r="D898" s="11"/>
      <c r="E898" s="15"/>
      <c r="F898" s="11"/>
      <c r="G898" s="11"/>
      <c r="H898" s="11"/>
      <c r="I898" s="11"/>
      <c r="J898" s="12"/>
      <c r="K898" s="13"/>
      <c r="L898" s="12"/>
      <c r="M898" s="13"/>
      <c r="N898" s="13"/>
      <c r="O898" s="13"/>
    </row>
    <row r="899">
      <c r="B899" s="11"/>
      <c r="C899" s="11"/>
      <c r="D899" s="11"/>
      <c r="E899" s="15"/>
      <c r="F899" s="11"/>
      <c r="G899" s="11"/>
      <c r="H899" s="11"/>
      <c r="I899" s="11"/>
      <c r="J899" s="12"/>
      <c r="K899" s="13"/>
      <c r="L899" s="12"/>
      <c r="M899" s="13"/>
      <c r="N899" s="13"/>
      <c r="O899" s="13"/>
    </row>
    <row r="900">
      <c r="B900" s="11"/>
      <c r="C900" s="11"/>
      <c r="D900" s="11"/>
      <c r="E900" s="15"/>
      <c r="F900" s="11"/>
      <c r="G900" s="11"/>
      <c r="H900" s="11"/>
      <c r="I900" s="11"/>
      <c r="J900" s="12"/>
      <c r="K900" s="13"/>
      <c r="L900" s="12"/>
      <c r="M900" s="13"/>
      <c r="N900" s="13"/>
      <c r="O900" s="13"/>
    </row>
    <row r="901">
      <c r="B901" s="11"/>
      <c r="C901" s="11"/>
      <c r="D901" s="11"/>
      <c r="E901" s="15"/>
      <c r="F901" s="11"/>
      <c r="G901" s="11"/>
      <c r="H901" s="11"/>
      <c r="I901" s="11"/>
      <c r="J901" s="12"/>
      <c r="K901" s="13"/>
      <c r="L901" s="12"/>
      <c r="M901" s="13"/>
      <c r="N901" s="13"/>
      <c r="O901" s="13"/>
    </row>
    <row r="902">
      <c r="B902" s="11"/>
      <c r="C902" s="11"/>
      <c r="D902" s="11"/>
      <c r="E902" s="15"/>
      <c r="F902" s="11"/>
      <c r="G902" s="11"/>
      <c r="H902" s="11"/>
      <c r="I902" s="11"/>
      <c r="J902" s="12"/>
      <c r="K902" s="13"/>
      <c r="L902" s="12"/>
      <c r="M902" s="13"/>
      <c r="N902" s="13"/>
      <c r="O902" s="13"/>
    </row>
    <row r="903">
      <c r="B903" s="11"/>
      <c r="C903" s="11"/>
      <c r="D903" s="11"/>
      <c r="E903" s="15"/>
      <c r="F903" s="11"/>
      <c r="G903" s="11"/>
      <c r="H903" s="11"/>
      <c r="I903" s="11"/>
      <c r="J903" s="12"/>
      <c r="K903" s="13"/>
      <c r="L903" s="12"/>
      <c r="M903" s="13"/>
      <c r="N903" s="13"/>
      <c r="O903" s="13"/>
    </row>
    <row r="904">
      <c r="B904" s="11"/>
      <c r="C904" s="11"/>
      <c r="D904" s="11"/>
      <c r="E904" s="15"/>
      <c r="F904" s="11"/>
      <c r="G904" s="11"/>
      <c r="H904" s="11"/>
      <c r="I904" s="11"/>
      <c r="J904" s="12"/>
      <c r="K904" s="13"/>
      <c r="L904" s="12"/>
      <c r="M904" s="13"/>
      <c r="N904" s="13"/>
      <c r="O904" s="13"/>
    </row>
    <row r="905">
      <c r="B905" s="11"/>
      <c r="C905" s="11"/>
      <c r="D905" s="11"/>
      <c r="E905" s="15"/>
      <c r="F905" s="11"/>
      <c r="G905" s="11"/>
      <c r="H905" s="11"/>
      <c r="I905" s="11"/>
      <c r="J905" s="12"/>
      <c r="K905" s="13"/>
      <c r="L905" s="12"/>
      <c r="M905" s="13"/>
      <c r="N905" s="13"/>
      <c r="O905" s="13"/>
    </row>
    <row r="906">
      <c r="B906" s="11"/>
      <c r="C906" s="11"/>
      <c r="D906" s="11"/>
      <c r="E906" s="15"/>
      <c r="F906" s="11"/>
      <c r="G906" s="11"/>
      <c r="H906" s="11"/>
      <c r="I906" s="11"/>
      <c r="J906" s="12"/>
      <c r="K906" s="13"/>
      <c r="L906" s="12"/>
      <c r="M906" s="13"/>
      <c r="N906" s="13"/>
      <c r="O906" s="13"/>
    </row>
    <row r="907">
      <c r="B907" s="11"/>
      <c r="C907" s="11"/>
      <c r="D907" s="11"/>
      <c r="E907" s="15"/>
      <c r="F907" s="11"/>
      <c r="G907" s="11"/>
      <c r="H907" s="11"/>
      <c r="I907" s="11"/>
      <c r="J907" s="12"/>
      <c r="K907" s="13"/>
      <c r="L907" s="12"/>
      <c r="M907" s="13"/>
      <c r="N907" s="13"/>
      <c r="O907" s="13"/>
    </row>
    <row r="908">
      <c r="B908" s="11"/>
      <c r="C908" s="11"/>
      <c r="D908" s="11"/>
      <c r="E908" s="15"/>
      <c r="F908" s="11"/>
      <c r="G908" s="11"/>
      <c r="H908" s="11"/>
      <c r="I908" s="11"/>
      <c r="J908" s="12"/>
      <c r="K908" s="13"/>
      <c r="L908" s="12"/>
      <c r="M908" s="13"/>
      <c r="N908" s="13"/>
      <c r="O908" s="13"/>
    </row>
    <row r="909">
      <c r="B909" s="11"/>
      <c r="C909" s="11"/>
      <c r="D909" s="11"/>
      <c r="E909" s="15"/>
      <c r="F909" s="11"/>
      <c r="G909" s="11"/>
      <c r="H909" s="11"/>
      <c r="I909" s="11"/>
      <c r="J909" s="12"/>
      <c r="K909" s="13"/>
      <c r="L909" s="12"/>
      <c r="M909" s="13"/>
      <c r="N909" s="13"/>
      <c r="O909" s="13"/>
    </row>
    <row r="910">
      <c r="B910" s="11"/>
      <c r="C910" s="11"/>
      <c r="D910" s="11"/>
      <c r="E910" s="15"/>
      <c r="F910" s="11"/>
      <c r="G910" s="11"/>
      <c r="H910" s="11"/>
      <c r="I910" s="11"/>
      <c r="J910" s="12"/>
      <c r="K910" s="13"/>
      <c r="L910" s="12"/>
      <c r="M910" s="13"/>
      <c r="N910" s="13"/>
      <c r="O910" s="13"/>
    </row>
    <row r="911">
      <c r="B911" s="11"/>
      <c r="C911" s="11"/>
      <c r="D911" s="11"/>
      <c r="E911" s="15"/>
      <c r="F911" s="11"/>
      <c r="G911" s="11"/>
      <c r="H911" s="11"/>
      <c r="I911" s="11"/>
      <c r="J911" s="12"/>
      <c r="K911" s="13"/>
      <c r="L911" s="12"/>
      <c r="M911" s="13"/>
      <c r="N911" s="13"/>
      <c r="O911" s="13"/>
    </row>
    <row r="912">
      <c r="B912" s="11"/>
      <c r="C912" s="11"/>
      <c r="D912" s="11"/>
      <c r="E912" s="15"/>
      <c r="F912" s="11"/>
      <c r="G912" s="11"/>
      <c r="H912" s="11"/>
      <c r="I912" s="11"/>
      <c r="J912" s="12"/>
      <c r="K912" s="13"/>
      <c r="L912" s="12"/>
      <c r="M912" s="13"/>
      <c r="N912" s="13"/>
      <c r="O912" s="13"/>
    </row>
    <row r="913">
      <c r="B913" s="11"/>
      <c r="C913" s="11"/>
      <c r="D913" s="11"/>
      <c r="E913" s="15"/>
      <c r="F913" s="11"/>
      <c r="G913" s="11"/>
      <c r="H913" s="11"/>
      <c r="I913" s="11"/>
      <c r="J913" s="12"/>
      <c r="K913" s="13"/>
      <c r="L913" s="12"/>
      <c r="M913" s="13"/>
      <c r="N913" s="13"/>
      <c r="O913" s="13"/>
    </row>
    <row r="914">
      <c r="B914" s="11"/>
      <c r="C914" s="11"/>
      <c r="D914" s="11"/>
      <c r="E914" s="15"/>
      <c r="F914" s="11"/>
      <c r="G914" s="11"/>
      <c r="H914" s="11"/>
      <c r="I914" s="11"/>
      <c r="J914" s="12"/>
      <c r="K914" s="13"/>
      <c r="L914" s="12"/>
      <c r="M914" s="13"/>
      <c r="N914" s="13"/>
      <c r="O914" s="13"/>
    </row>
    <row r="915">
      <c r="B915" s="11"/>
      <c r="C915" s="11"/>
      <c r="D915" s="11"/>
      <c r="E915" s="15"/>
      <c r="F915" s="11"/>
      <c r="G915" s="11"/>
      <c r="H915" s="11"/>
      <c r="I915" s="11"/>
      <c r="J915" s="12"/>
      <c r="K915" s="13"/>
      <c r="L915" s="12"/>
      <c r="M915" s="13"/>
      <c r="N915" s="13"/>
      <c r="O915" s="13"/>
    </row>
    <row r="916">
      <c r="B916" s="11"/>
      <c r="C916" s="11"/>
      <c r="D916" s="11"/>
      <c r="E916" s="15"/>
      <c r="F916" s="11"/>
      <c r="G916" s="11"/>
      <c r="H916" s="11"/>
      <c r="I916" s="11"/>
      <c r="J916" s="12"/>
      <c r="K916" s="13"/>
      <c r="L916" s="12"/>
      <c r="M916" s="13"/>
      <c r="N916" s="13"/>
      <c r="O916" s="13"/>
    </row>
    <row r="917">
      <c r="B917" s="11"/>
      <c r="C917" s="11"/>
      <c r="D917" s="11"/>
      <c r="E917" s="15"/>
      <c r="F917" s="11"/>
      <c r="G917" s="11"/>
      <c r="H917" s="11"/>
      <c r="I917" s="11"/>
      <c r="J917" s="12"/>
      <c r="K917" s="13"/>
      <c r="L917" s="12"/>
      <c r="M917" s="13"/>
      <c r="N917" s="13"/>
      <c r="O917" s="13"/>
    </row>
    <row r="918">
      <c r="B918" s="11"/>
      <c r="C918" s="11"/>
      <c r="D918" s="11"/>
      <c r="E918" s="15"/>
      <c r="F918" s="11"/>
      <c r="G918" s="11"/>
      <c r="H918" s="11"/>
      <c r="I918" s="11"/>
      <c r="J918" s="12"/>
      <c r="K918" s="13"/>
      <c r="L918" s="12"/>
      <c r="M918" s="13"/>
      <c r="N918" s="13"/>
      <c r="O918" s="13"/>
    </row>
    <row r="919">
      <c r="B919" s="11"/>
      <c r="C919" s="11"/>
      <c r="D919" s="11"/>
      <c r="E919" s="15"/>
      <c r="F919" s="11"/>
      <c r="G919" s="11"/>
      <c r="H919" s="11"/>
      <c r="I919" s="11"/>
      <c r="J919" s="12"/>
      <c r="K919" s="13"/>
      <c r="L919" s="12"/>
      <c r="M919" s="13"/>
      <c r="N919" s="13"/>
      <c r="O919" s="13"/>
    </row>
    <row r="920">
      <c r="B920" s="11"/>
      <c r="C920" s="11"/>
      <c r="D920" s="11"/>
      <c r="E920" s="15"/>
      <c r="F920" s="11"/>
      <c r="G920" s="11"/>
      <c r="H920" s="11"/>
      <c r="I920" s="11"/>
      <c r="J920" s="12"/>
      <c r="K920" s="13"/>
      <c r="L920" s="12"/>
      <c r="M920" s="13"/>
      <c r="N920" s="13"/>
      <c r="O920" s="13"/>
    </row>
    <row r="921">
      <c r="B921" s="11"/>
      <c r="C921" s="11"/>
      <c r="D921" s="11"/>
      <c r="E921" s="15"/>
      <c r="F921" s="11"/>
      <c r="G921" s="11"/>
      <c r="H921" s="11"/>
      <c r="I921" s="11"/>
      <c r="J921" s="12"/>
      <c r="K921" s="13"/>
      <c r="L921" s="12"/>
      <c r="M921" s="13"/>
      <c r="N921" s="13"/>
      <c r="O921" s="13"/>
    </row>
    <row r="922">
      <c r="B922" s="11"/>
      <c r="C922" s="11"/>
      <c r="D922" s="11"/>
      <c r="E922" s="15"/>
      <c r="F922" s="11"/>
      <c r="G922" s="11"/>
      <c r="H922" s="11"/>
      <c r="I922" s="11"/>
      <c r="J922" s="12"/>
      <c r="K922" s="13"/>
      <c r="L922" s="12"/>
      <c r="M922" s="13"/>
      <c r="N922" s="13"/>
      <c r="O922" s="13"/>
    </row>
    <row r="923">
      <c r="B923" s="11"/>
      <c r="C923" s="11"/>
      <c r="D923" s="11"/>
      <c r="E923" s="15"/>
      <c r="F923" s="11"/>
      <c r="G923" s="11"/>
      <c r="H923" s="11"/>
      <c r="I923" s="11"/>
      <c r="J923" s="12"/>
      <c r="K923" s="13"/>
      <c r="L923" s="12"/>
      <c r="M923" s="13"/>
      <c r="N923" s="13"/>
      <c r="O923" s="13"/>
    </row>
    <row r="924">
      <c r="B924" s="11"/>
      <c r="C924" s="11"/>
      <c r="D924" s="11"/>
      <c r="E924" s="15"/>
      <c r="F924" s="11"/>
      <c r="G924" s="11"/>
      <c r="H924" s="11"/>
      <c r="I924" s="11"/>
      <c r="J924" s="12"/>
      <c r="K924" s="13"/>
      <c r="L924" s="12"/>
      <c r="M924" s="13"/>
      <c r="N924" s="13"/>
      <c r="O924" s="13"/>
    </row>
    <row r="925">
      <c r="B925" s="11"/>
      <c r="C925" s="11"/>
      <c r="D925" s="11"/>
      <c r="E925" s="15"/>
      <c r="F925" s="11"/>
      <c r="G925" s="11"/>
      <c r="H925" s="11"/>
      <c r="I925" s="11"/>
      <c r="J925" s="12"/>
      <c r="K925" s="13"/>
      <c r="L925" s="12"/>
      <c r="M925" s="13"/>
      <c r="N925" s="13"/>
      <c r="O925" s="13"/>
    </row>
    <row r="926">
      <c r="B926" s="11"/>
      <c r="C926" s="11"/>
      <c r="D926" s="11"/>
      <c r="E926" s="15"/>
      <c r="F926" s="11"/>
      <c r="G926" s="11"/>
      <c r="H926" s="11"/>
      <c r="I926" s="11"/>
      <c r="J926" s="12"/>
      <c r="K926" s="13"/>
      <c r="L926" s="12"/>
      <c r="M926" s="13"/>
      <c r="N926" s="13"/>
      <c r="O926" s="13"/>
    </row>
    <row r="927">
      <c r="B927" s="11"/>
      <c r="C927" s="11"/>
      <c r="D927" s="11"/>
      <c r="E927" s="15"/>
      <c r="F927" s="11"/>
      <c r="G927" s="11"/>
      <c r="H927" s="11"/>
      <c r="I927" s="11"/>
      <c r="J927" s="12"/>
      <c r="K927" s="13"/>
      <c r="L927" s="12"/>
      <c r="M927" s="13"/>
      <c r="N927" s="13"/>
      <c r="O927" s="13"/>
    </row>
    <row r="928">
      <c r="B928" s="11"/>
      <c r="C928" s="11"/>
      <c r="D928" s="11"/>
      <c r="E928" s="15"/>
      <c r="F928" s="11"/>
      <c r="G928" s="11"/>
      <c r="H928" s="11"/>
      <c r="I928" s="11"/>
      <c r="J928" s="12"/>
      <c r="K928" s="13"/>
      <c r="L928" s="12"/>
      <c r="M928" s="13"/>
      <c r="N928" s="13"/>
      <c r="O928" s="13"/>
    </row>
    <row r="929">
      <c r="B929" s="11"/>
      <c r="C929" s="11"/>
      <c r="D929" s="11"/>
      <c r="E929" s="15"/>
      <c r="F929" s="11"/>
      <c r="G929" s="11"/>
      <c r="H929" s="11"/>
      <c r="I929" s="11"/>
      <c r="J929" s="12"/>
      <c r="K929" s="13"/>
      <c r="L929" s="12"/>
      <c r="M929" s="13"/>
      <c r="N929" s="13"/>
      <c r="O929" s="13"/>
    </row>
    <row r="930">
      <c r="B930" s="11"/>
      <c r="C930" s="11"/>
      <c r="D930" s="11"/>
      <c r="E930" s="15"/>
      <c r="F930" s="11"/>
      <c r="G930" s="11"/>
      <c r="H930" s="11"/>
      <c r="I930" s="11"/>
      <c r="J930" s="12"/>
      <c r="K930" s="13"/>
      <c r="L930" s="12"/>
      <c r="M930" s="13"/>
      <c r="N930" s="13"/>
      <c r="O930" s="13"/>
    </row>
    <row r="931">
      <c r="B931" s="11"/>
      <c r="C931" s="11"/>
      <c r="D931" s="11"/>
      <c r="E931" s="15"/>
      <c r="F931" s="11"/>
      <c r="G931" s="11"/>
      <c r="H931" s="11"/>
      <c r="I931" s="11"/>
      <c r="J931" s="12"/>
      <c r="K931" s="13"/>
      <c r="L931" s="12"/>
      <c r="M931" s="13"/>
      <c r="N931" s="13"/>
      <c r="O931" s="13"/>
    </row>
    <row r="932">
      <c r="B932" s="11"/>
      <c r="C932" s="11"/>
      <c r="D932" s="11"/>
      <c r="E932" s="15"/>
      <c r="F932" s="11"/>
      <c r="G932" s="11"/>
      <c r="H932" s="11"/>
      <c r="I932" s="11"/>
      <c r="J932" s="12"/>
      <c r="K932" s="13"/>
      <c r="L932" s="12"/>
      <c r="M932" s="13"/>
      <c r="N932" s="13"/>
      <c r="O932" s="13"/>
    </row>
    <row r="933">
      <c r="B933" s="11"/>
      <c r="C933" s="11"/>
      <c r="D933" s="11"/>
      <c r="E933" s="15"/>
      <c r="F933" s="11"/>
      <c r="G933" s="11"/>
      <c r="H933" s="11"/>
      <c r="I933" s="11"/>
      <c r="J933" s="12"/>
      <c r="K933" s="13"/>
      <c r="L933" s="12"/>
      <c r="M933" s="13"/>
      <c r="N933" s="13"/>
      <c r="O933" s="13"/>
    </row>
    <row r="934">
      <c r="B934" s="11"/>
      <c r="C934" s="11"/>
      <c r="D934" s="11"/>
      <c r="E934" s="15"/>
      <c r="F934" s="11"/>
      <c r="G934" s="11"/>
      <c r="H934" s="11"/>
      <c r="I934" s="11"/>
      <c r="J934" s="12"/>
      <c r="K934" s="13"/>
      <c r="L934" s="12"/>
      <c r="M934" s="13"/>
      <c r="N934" s="13"/>
      <c r="O934" s="13"/>
    </row>
    <row r="935">
      <c r="B935" s="11"/>
      <c r="C935" s="11"/>
      <c r="D935" s="11"/>
      <c r="E935" s="15"/>
      <c r="F935" s="11"/>
      <c r="G935" s="11"/>
      <c r="H935" s="11"/>
      <c r="I935" s="11"/>
      <c r="J935" s="12"/>
      <c r="K935" s="13"/>
      <c r="L935" s="12"/>
      <c r="M935" s="13"/>
      <c r="N935" s="13"/>
      <c r="O935" s="13"/>
    </row>
    <row r="936">
      <c r="B936" s="11"/>
      <c r="C936" s="11"/>
      <c r="D936" s="11"/>
      <c r="E936" s="15"/>
      <c r="F936" s="11"/>
      <c r="G936" s="11"/>
      <c r="H936" s="11"/>
      <c r="I936" s="11"/>
      <c r="J936" s="12"/>
      <c r="K936" s="13"/>
      <c r="L936" s="12"/>
      <c r="M936" s="13"/>
      <c r="N936" s="13"/>
      <c r="O936" s="13"/>
    </row>
    <row r="937">
      <c r="B937" s="11"/>
      <c r="C937" s="11"/>
      <c r="D937" s="11"/>
      <c r="E937" s="15"/>
      <c r="F937" s="11"/>
      <c r="G937" s="11"/>
      <c r="H937" s="11"/>
      <c r="I937" s="11"/>
      <c r="J937" s="12"/>
      <c r="K937" s="13"/>
      <c r="L937" s="12"/>
      <c r="M937" s="13"/>
      <c r="N937" s="13"/>
      <c r="O937" s="13"/>
    </row>
    <row r="938">
      <c r="B938" s="11"/>
      <c r="C938" s="11"/>
      <c r="D938" s="11"/>
      <c r="E938" s="15"/>
      <c r="F938" s="11"/>
      <c r="G938" s="11"/>
      <c r="H938" s="11"/>
      <c r="I938" s="11"/>
      <c r="J938" s="12"/>
      <c r="K938" s="13"/>
      <c r="L938" s="12"/>
      <c r="M938" s="13"/>
      <c r="N938" s="13"/>
      <c r="O938" s="13"/>
    </row>
    <row r="939">
      <c r="B939" s="11"/>
      <c r="C939" s="11"/>
      <c r="D939" s="11"/>
      <c r="E939" s="15"/>
      <c r="F939" s="11"/>
      <c r="G939" s="11"/>
      <c r="H939" s="11"/>
      <c r="I939" s="11"/>
      <c r="J939" s="12"/>
      <c r="K939" s="13"/>
      <c r="L939" s="12"/>
      <c r="M939" s="13"/>
      <c r="N939" s="13"/>
      <c r="O939" s="13"/>
    </row>
    <row r="940">
      <c r="B940" s="11"/>
      <c r="C940" s="11"/>
      <c r="D940" s="11"/>
      <c r="E940" s="15"/>
      <c r="F940" s="11"/>
      <c r="G940" s="11"/>
      <c r="H940" s="11"/>
      <c r="I940" s="11"/>
      <c r="J940" s="12"/>
      <c r="K940" s="13"/>
      <c r="L940" s="12"/>
      <c r="M940" s="13"/>
      <c r="N940" s="13"/>
      <c r="O940" s="13"/>
    </row>
    <row r="941">
      <c r="B941" s="11"/>
      <c r="C941" s="11"/>
      <c r="D941" s="11"/>
      <c r="E941" s="15"/>
      <c r="F941" s="11"/>
      <c r="G941" s="11"/>
      <c r="H941" s="11"/>
      <c r="I941" s="11"/>
      <c r="J941" s="12"/>
      <c r="K941" s="13"/>
      <c r="L941" s="12"/>
      <c r="M941" s="13"/>
      <c r="N941" s="13"/>
      <c r="O941" s="13"/>
    </row>
    <row r="942">
      <c r="B942" s="11"/>
      <c r="C942" s="11"/>
      <c r="D942" s="11"/>
      <c r="E942" s="15"/>
      <c r="F942" s="11"/>
      <c r="G942" s="11"/>
      <c r="H942" s="11"/>
      <c r="I942" s="11"/>
      <c r="J942" s="12"/>
      <c r="K942" s="13"/>
      <c r="L942" s="12"/>
      <c r="M942" s="13"/>
      <c r="N942" s="13"/>
      <c r="O942" s="13"/>
    </row>
    <row r="943">
      <c r="B943" s="11"/>
      <c r="C943" s="11"/>
      <c r="D943" s="11"/>
      <c r="E943" s="15"/>
      <c r="F943" s="11"/>
      <c r="G943" s="11"/>
      <c r="H943" s="11"/>
      <c r="I943" s="11"/>
      <c r="J943" s="12"/>
      <c r="K943" s="13"/>
      <c r="L943" s="12"/>
      <c r="M943" s="13"/>
      <c r="N943" s="13"/>
      <c r="O943" s="13"/>
    </row>
    <row r="944">
      <c r="B944" s="11"/>
      <c r="C944" s="11"/>
      <c r="D944" s="11"/>
      <c r="E944" s="15"/>
      <c r="F944" s="11"/>
      <c r="G944" s="11"/>
      <c r="H944" s="11"/>
      <c r="I944" s="11"/>
      <c r="J944" s="12"/>
      <c r="K944" s="13"/>
      <c r="L944" s="12"/>
      <c r="M944" s="13"/>
      <c r="N944" s="13"/>
      <c r="O944" s="13"/>
    </row>
    <row r="945">
      <c r="B945" s="11"/>
      <c r="C945" s="11"/>
      <c r="D945" s="11"/>
      <c r="E945" s="15"/>
      <c r="F945" s="11"/>
      <c r="G945" s="11"/>
      <c r="H945" s="11"/>
      <c r="I945" s="11"/>
      <c r="J945" s="12"/>
      <c r="K945" s="13"/>
      <c r="L945" s="12"/>
      <c r="M945" s="13"/>
      <c r="N945" s="13"/>
      <c r="O945" s="13"/>
    </row>
    <row r="946">
      <c r="B946" s="11"/>
      <c r="C946" s="11"/>
      <c r="D946" s="11"/>
      <c r="E946" s="15"/>
      <c r="F946" s="11"/>
      <c r="G946" s="11"/>
      <c r="H946" s="11"/>
      <c r="I946" s="11"/>
      <c r="J946" s="12"/>
      <c r="K946" s="13"/>
      <c r="L946" s="12"/>
      <c r="M946" s="13"/>
      <c r="N946" s="13"/>
      <c r="O946" s="13"/>
    </row>
    <row r="947">
      <c r="B947" s="11"/>
      <c r="C947" s="11"/>
      <c r="D947" s="11"/>
      <c r="E947" s="15"/>
      <c r="F947" s="11"/>
      <c r="G947" s="11"/>
      <c r="H947" s="11"/>
      <c r="I947" s="11"/>
      <c r="J947" s="12"/>
      <c r="K947" s="13"/>
      <c r="L947" s="12"/>
      <c r="M947" s="13"/>
      <c r="N947" s="13"/>
      <c r="O947" s="13"/>
    </row>
    <row r="948">
      <c r="B948" s="11"/>
      <c r="C948" s="11"/>
      <c r="D948" s="11"/>
      <c r="E948" s="15"/>
      <c r="F948" s="11"/>
      <c r="G948" s="11"/>
      <c r="H948" s="11"/>
      <c r="I948" s="11"/>
      <c r="J948" s="12"/>
      <c r="K948" s="13"/>
      <c r="L948" s="12"/>
      <c r="M948" s="13"/>
      <c r="N948" s="13"/>
      <c r="O948" s="13"/>
    </row>
    <row r="949">
      <c r="B949" s="11"/>
      <c r="C949" s="11"/>
      <c r="D949" s="11"/>
      <c r="E949" s="15"/>
      <c r="F949" s="11"/>
      <c r="G949" s="11"/>
      <c r="H949" s="11"/>
      <c r="I949" s="11"/>
      <c r="J949" s="12"/>
      <c r="K949" s="13"/>
      <c r="L949" s="12"/>
      <c r="M949" s="13"/>
      <c r="N949" s="13"/>
      <c r="O949" s="13"/>
    </row>
    <row r="950">
      <c r="B950" s="11"/>
      <c r="C950" s="11"/>
      <c r="D950" s="11"/>
      <c r="E950" s="15"/>
      <c r="F950" s="11"/>
      <c r="G950" s="11"/>
      <c r="H950" s="11"/>
      <c r="I950" s="11"/>
      <c r="J950" s="12"/>
      <c r="K950" s="13"/>
      <c r="L950" s="12"/>
      <c r="M950" s="13"/>
      <c r="N950" s="13"/>
      <c r="O950" s="13"/>
    </row>
    <row r="951">
      <c r="B951" s="11"/>
      <c r="C951" s="11"/>
      <c r="D951" s="11"/>
      <c r="E951" s="15"/>
      <c r="F951" s="11"/>
      <c r="G951" s="11"/>
      <c r="H951" s="11"/>
      <c r="I951" s="11"/>
      <c r="J951" s="12"/>
      <c r="K951" s="13"/>
      <c r="L951" s="12"/>
      <c r="M951" s="13"/>
      <c r="N951" s="13"/>
      <c r="O951" s="13"/>
    </row>
    <row r="952">
      <c r="B952" s="11"/>
      <c r="C952" s="11"/>
      <c r="D952" s="11"/>
      <c r="E952" s="15"/>
      <c r="F952" s="11"/>
      <c r="G952" s="11"/>
      <c r="H952" s="11"/>
      <c r="I952" s="11"/>
      <c r="J952" s="12"/>
      <c r="K952" s="13"/>
      <c r="L952" s="12"/>
      <c r="M952" s="13"/>
      <c r="N952" s="13"/>
      <c r="O952" s="13"/>
    </row>
    <row r="953">
      <c r="B953" s="11"/>
      <c r="C953" s="11"/>
      <c r="D953" s="11"/>
      <c r="E953" s="15"/>
      <c r="F953" s="11"/>
      <c r="G953" s="11"/>
      <c r="H953" s="11"/>
      <c r="I953" s="11"/>
      <c r="J953" s="12"/>
      <c r="K953" s="13"/>
      <c r="L953" s="12"/>
      <c r="M953" s="13"/>
      <c r="N953" s="13"/>
      <c r="O953" s="13"/>
    </row>
    <row r="954">
      <c r="B954" s="11"/>
      <c r="C954" s="11"/>
      <c r="D954" s="11"/>
      <c r="E954" s="15"/>
      <c r="F954" s="11"/>
      <c r="G954" s="11"/>
      <c r="H954" s="11"/>
      <c r="I954" s="11"/>
      <c r="J954" s="12"/>
      <c r="K954" s="13"/>
      <c r="L954" s="12"/>
      <c r="M954" s="13"/>
      <c r="N954" s="13"/>
      <c r="O954" s="13"/>
    </row>
    <row r="955">
      <c r="B955" s="11"/>
      <c r="C955" s="11"/>
      <c r="D955" s="11"/>
      <c r="E955" s="15"/>
      <c r="F955" s="11"/>
      <c r="G955" s="11"/>
      <c r="H955" s="11"/>
      <c r="I955" s="11"/>
      <c r="J955" s="12"/>
      <c r="K955" s="13"/>
      <c r="L955" s="12"/>
      <c r="M955" s="13"/>
      <c r="N955" s="13"/>
      <c r="O955" s="13"/>
    </row>
    <row r="956">
      <c r="B956" s="11"/>
      <c r="C956" s="11"/>
      <c r="D956" s="11"/>
      <c r="E956" s="15"/>
      <c r="F956" s="11"/>
      <c r="G956" s="11"/>
      <c r="H956" s="11"/>
      <c r="I956" s="11"/>
      <c r="J956" s="12"/>
      <c r="K956" s="13"/>
      <c r="L956" s="12"/>
      <c r="M956" s="13"/>
      <c r="N956" s="13"/>
      <c r="O956" s="13"/>
    </row>
    <row r="957">
      <c r="B957" s="11"/>
      <c r="C957" s="11"/>
      <c r="D957" s="11"/>
      <c r="E957" s="15"/>
      <c r="F957" s="11"/>
      <c r="G957" s="11"/>
      <c r="H957" s="11"/>
      <c r="I957" s="11"/>
      <c r="J957" s="12"/>
      <c r="K957" s="13"/>
      <c r="L957" s="12"/>
      <c r="M957" s="13"/>
      <c r="N957" s="13"/>
      <c r="O957" s="13"/>
    </row>
    <row r="958">
      <c r="B958" s="11"/>
      <c r="C958" s="11"/>
      <c r="D958" s="11"/>
      <c r="E958" s="15"/>
      <c r="F958" s="11"/>
      <c r="G958" s="11"/>
      <c r="H958" s="11"/>
      <c r="I958" s="11"/>
      <c r="J958" s="12"/>
      <c r="K958" s="13"/>
      <c r="L958" s="12"/>
      <c r="M958" s="13"/>
      <c r="N958" s="13"/>
      <c r="O958" s="13"/>
    </row>
    <row r="959">
      <c r="B959" s="11"/>
      <c r="C959" s="11"/>
      <c r="D959" s="11"/>
      <c r="E959" s="15"/>
      <c r="F959" s="11"/>
      <c r="G959" s="11"/>
      <c r="H959" s="11"/>
      <c r="I959" s="11"/>
      <c r="J959" s="12"/>
      <c r="K959" s="13"/>
      <c r="L959" s="12"/>
      <c r="M959" s="13"/>
      <c r="N959" s="13"/>
      <c r="O959" s="13"/>
    </row>
    <row r="960">
      <c r="B960" s="11"/>
      <c r="C960" s="11"/>
      <c r="D960" s="11"/>
      <c r="E960" s="15"/>
      <c r="F960" s="11"/>
      <c r="G960" s="11"/>
      <c r="H960" s="11"/>
      <c r="I960" s="11"/>
      <c r="J960" s="12"/>
      <c r="K960" s="13"/>
      <c r="L960" s="12"/>
      <c r="M960" s="13"/>
      <c r="N960" s="13"/>
      <c r="O960" s="13"/>
    </row>
    <row r="961">
      <c r="B961" s="11"/>
      <c r="C961" s="11"/>
      <c r="D961" s="11"/>
      <c r="E961" s="15"/>
      <c r="F961" s="11"/>
      <c r="G961" s="11"/>
      <c r="H961" s="11"/>
      <c r="I961" s="11"/>
      <c r="J961" s="12"/>
      <c r="K961" s="13"/>
      <c r="L961" s="12"/>
      <c r="M961" s="13"/>
      <c r="N961" s="13"/>
      <c r="O961" s="13"/>
    </row>
    <row r="962">
      <c r="B962" s="11"/>
      <c r="C962" s="11"/>
      <c r="D962" s="11"/>
      <c r="E962" s="15"/>
      <c r="F962" s="11"/>
      <c r="G962" s="11"/>
      <c r="H962" s="11"/>
      <c r="I962" s="11"/>
      <c r="J962" s="12"/>
      <c r="K962" s="13"/>
      <c r="L962" s="12"/>
      <c r="M962" s="13"/>
      <c r="N962" s="13"/>
      <c r="O962" s="13"/>
    </row>
    <row r="963">
      <c r="B963" s="11"/>
      <c r="C963" s="11"/>
      <c r="D963" s="11"/>
      <c r="E963" s="15"/>
      <c r="F963" s="11"/>
      <c r="G963" s="11"/>
      <c r="H963" s="11"/>
      <c r="I963" s="11"/>
      <c r="J963" s="12"/>
      <c r="K963" s="13"/>
      <c r="L963" s="12"/>
      <c r="M963" s="13"/>
      <c r="N963" s="13"/>
      <c r="O963" s="13"/>
    </row>
    <row r="964">
      <c r="B964" s="11"/>
      <c r="C964" s="11"/>
      <c r="D964" s="11"/>
      <c r="E964" s="15"/>
      <c r="F964" s="11"/>
      <c r="G964" s="11"/>
      <c r="H964" s="11"/>
      <c r="I964" s="11"/>
      <c r="J964" s="12"/>
      <c r="K964" s="13"/>
      <c r="L964" s="12"/>
      <c r="M964" s="13"/>
      <c r="N964" s="13"/>
      <c r="O964" s="13"/>
    </row>
    <row r="965">
      <c r="B965" s="11"/>
      <c r="C965" s="11"/>
      <c r="D965" s="11"/>
      <c r="E965" s="15"/>
      <c r="F965" s="11"/>
      <c r="G965" s="11"/>
      <c r="H965" s="11"/>
      <c r="I965" s="11"/>
      <c r="J965" s="12"/>
      <c r="K965" s="13"/>
      <c r="L965" s="12"/>
      <c r="M965" s="13"/>
      <c r="N965" s="13"/>
      <c r="O965" s="13"/>
    </row>
    <row r="966">
      <c r="B966" s="11"/>
      <c r="C966" s="11"/>
      <c r="D966" s="11"/>
      <c r="E966" s="15"/>
      <c r="F966" s="11"/>
      <c r="G966" s="11"/>
      <c r="H966" s="11"/>
      <c r="I966" s="11"/>
      <c r="J966" s="12"/>
      <c r="K966" s="13"/>
      <c r="L966" s="12"/>
      <c r="M966" s="13"/>
      <c r="N966" s="13"/>
      <c r="O966" s="13"/>
    </row>
    <row r="967">
      <c r="B967" s="11"/>
      <c r="C967" s="11"/>
      <c r="D967" s="11"/>
      <c r="E967" s="15"/>
      <c r="F967" s="11"/>
      <c r="G967" s="11"/>
      <c r="H967" s="11"/>
      <c r="I967" s="11"/>
      <c r="J967" s="12"/>
      <c r="K967" s="13"/>
      <c r="L967" s="12"/>
      <c r="M967" s="13"/>
      <c r="N967" s="13"/>
      <c r="O967" s="13"/>
    </row>
    <row r="968">
      <c r="B968" s="11"/>
      <c r="C968" s="11"/>
      <c r="D968" s="11"/>
      <c r="E968" s="15"/>
      <c r="F968" s="11"/>
      <c r="G968" s="11"/>
      <c r="H968" s="11"/>
      <c r="I968" s="11"/>
      <c r="J968" s="12"/>
      <c r="K968" s="13"/>
      <c r="L968" s="12"/>
      <c r="M968" s="13"/>
      <c r="N968" s="13"/>
      <c r="O968" s="13"/>
    </row>
    <row r="969">
      <c r="B969" s="11"/>
      <c r="C969" s="11"/>
      <c r="D969" s="11"/>
      <c r="E969" s="15"/>
      <c r="F969" s="11"/>
      <c r="G969" s="11"/>
      <c r="H969" s="11"/>
      <c r="I969" s="11"/>
      <c r="J969" s="12"/>
      <c r="K969" s="13"/>
      <c r="L969" s="12"/>
      <c r="M969" s="13"/>
      <c r="N969" s="13"/>
      <c r="O969" s="13"/>
    </row>
    <row r="970">
      <c r="B970" s="11"/>
      <c r="C970" s="11"/>
      <c r="D970" s="11"/>
      <c r="E970" s="15"/>
      <c r="F970" s="11"/>
      <c r="G970" s="11"/>
      <c r="H970" s="11"/>
      <c r="I970" s="11"/>
      <c r="J970" s="12"/>
      <c r="K970" s="13"/>
      <c r="L970" s="12"/>
      <c r="M970" s="13"/>
      <c r="N970" s="13"/>
      <c r="O970" s="13"/>
    </row>
    <row r="971">
      <c r="B971" s="11"/>
      <c r="C971" s="11"/>
      <c r="D971" s="11"/>
      <c r="E971" s="15"/>
      <c r="F971" s="11"/>
      <c r="G971" s="11"/>
      <c r="H971" s="11"/>
      <c r="I971" s="11"/>
      <c r="J971" s="12"/>
      <c r="K971" s="13"/>
      <c r="L971" s="12"/>
      <c r="M971" s="13"/>
      <c r="N971" s="13"/>
      <c r="O971" s="13"/>
    </row>
    <row r="972">
      <c r="B972" s="11"/>
      <c r="C972" s="11"/>
      <c r="D972" s="11"/>
      <c r="E972" s="15"/>
      <c r="F972" s="11"/>
      <c r="G972" s="11"/>
      <c r="H972" s="11"/>
      <c r="I972" s="11"/>
      <c r="J972" s="12"/>
      <c r="K972" s="13"/>
      <c r="L972" s="12"/>
      <c r="M972" s="13"/>
      <c r="N972" s="13"/>
      <c r="O972" s="13"/>
    </row>
    <row r="973">
      <c r="B973" s="11"/>
      <c r="C973" s="11"/>
      <c r="D973" s="11"/>
      <c r="E973" s="15"/>
      <c r="F973" s="11"/>
      <c r="G973" s="11"/>
      <c r="H973" s="11"/>
      <c r="I973" s="11"/>
      <c r="J973" s="12"/>
      <c r="K973" s="13"/>
      <c r="L973" s="12"/>
      <c r="M973" s="13"/>
      <c r="N973" s="13"/>
      <c r="O973" s="13"/>
    </row>
    <row r="974">
      <c r="B974" s="11"/>
      <c r="C974" s="11"/>
      <c r="D974" s="11"/>
      <c r="E974" s="15"/>
      <c r="F974" s="11"/>
      <c r="G974" s="11"/>
      <c r="H974" s="11"/>
      <c r="I974" s="11"/>
      <c r="J974" s="12"/>
      <c r="K974" s="13"/>
      <c r="L974" s="12"/>
      <c r="M974" s="13"/>
      <c r="N974" s="13"/>
      <c r="O974" s="13"/>
    </row>
    <row r="975">
      <c r="B975" s="11"/>
      <c r="C975" s="11"/>
      <c r="D975" s="11"/>
      <c r="E975" s="15"/>
      <c r="F975" s="11"/>
      <c r="G975" s="11"/>
      <c r="H975" s="11"/>
      <c r="I975" s="11"/>
      <c r="J975" s="12"/>
      <c r="K975" s="13"/>
      <c r="L975" s="12"/>
      <c r="M975" s="13"/>
      <c r="N975" s="13"/>
      <c r="O975" s="13"/>
    </row>
    <row r="976">
      <c r="B976" s="11"/>
      <c r="C976" s="11"/>
      <c r="D976" s="11"/>
      <c r="E976" s="15"/>
      <c r="F976" s="11"/>
      <c r="G976" s="11"/>
      <c r="H976" s="11"/>
      <c r="I976" s="11"/>
      <c r="J976" s="12"/>
      <c r="K976" s="13"/>
      <c r="L976" s="12"/>
      <c r="M976" s="13"/>
      <c r="N976" s="13"/>
      <c r="O976" s="13"/>
    </row>
    <row r="977">
      <c r="B977" s="11"/>
      <c r="C977" s="11"/>
      <c r="D977" s="11"/>
      <c r="E977" s="15"/>
      <c r="F977" s="11"/>
      <c r="G977" s="11"/>
      <c r="H977" s="11"/>
      <c r="I977" s="11"/>
      <c r="J977" s="12"/>
      <c r="K977" s="13"/>
      <c r="L977" s="12"/>
      <c r="M977" s="13"/>
      <c r="N977" s="13"/>
      <c r="O977" s="13"/>
    </row>
    <row r="978">
      <c r="B978" s="11"/>
      <c r="C978" s="11"/>
      <c r="D978" s="11"/>
      <c r="E978" s="15"/>
      <c r="F978" s="11"/>
      <c r="G978" s="11"/>
      <c r="H978" s="11"/>
      <c r="I978" s="11"/>
      <c r="J978" s="12"/>
      <c r="K978" s="13"/>
      <c r="L978" s="12"/>
      <c r="M978" s="13"/>
      <c r="N978" s="13"/>
      <c r="O978" s="13"/>
    </row>
    <row r="979">
      <c r="B979" s="11"/>
      <c r="C979" s="11"/>
      <c r="D979" s="11"/>
      <c r="E979" s="15"/>
      <c r="F979" s="11"/>
      <c r="G979" s="11"/>
      <c r="H979" s="11"/>
      <c r="I979" s="11"/>
      <c r="J979" s="12"/>
      <c r="K979" s="13"/>
      <c r="L979" s="12"/>
      <c r="M979" s="13"/>
      <c r="N979" s="13"/>
      <c r="O979" s="13"/>
    </row>
    <row r="980">
      <c r="B980" s="11"/>
      <c r="C980" s="11"/>
      <c r="D980" s="11"/>
      <c r="E980" s="15"/>
      <c r="F980" s="11"/>
      <c r="G980" s="11"/>
      <c r="H980" s="11"/>
      <c r="I980" s="11"/>
      <c r="J980" s="12"/>
      <c r="K980" s="13"/>
      <c r="L980" s="12"/>
      <c r="M980" s="13"/>
      <c r="N980" s="13"/>
      <c r="O980" s="13"/>
    </row>
    <row r="981">
      <c r="B981" s="11"/>
      <c r="C981" s="11"/>
      <c r="D981" s="11"/>
      <c r="E981" s="15"/>
      <c r="F981" s="11"/>
      <c r="G981" s="11"/>
      <c r="H981" s="11"/>
      <c r="I981" s="11"/>
      <c r="J981" s="12"/>
      <c r="K981" s="13"/>
      <c r="L981" s="12"/>
      <c r="M981" s="13"/>
      <c r="N981" s="13"/>
      <c r="O981" s="13"/>
    </row>
    <row r="982">
      <c r="B982" s="11"/>
      <c r="C982" s="11"/>
      <c r="D982" s="11"/>
      <c r="E982" s="15"/>
      <c r="F982" s="11"/>
      <c r="G982" s="11"/>
      <c r="H982" s="11"/>
      <c r="I982" s="11"/>
      <c r="J982" s="12"/>
      <c r="K982" s="13"/>
      <c r="L982" s="12"/>
      <c r="M982" s="13"/>
      <c r="N982" s="13"/>
      <c r="O982" s="13"/>
    </row>
    <row r="983">
      <c r="B983" s="11"/>
      <c r="C983" s="11"/>
      <c r="D983" s="11"/>
      <c r="E983" s="15"/>
      <c r="F983" s="11"/>
      <c r="G983" s="11"/>
      <c r="H983" s="11"/>
      <c r="I983" s="11"/>
      <c r="J983" s="12"/>
      <c r="K983" s="13"/>
      <c r="L983" s="12"/>
      <c r="M983" s="13"/>
      <c r="N983" s="13"/>
      <c r="O983" s="13"/>
    </row>
    <row r="984">
      <c r="B984" s="11"/>
      <c r="C984" s="11"/>
      <c r="D984" s="11"/>
      <c r="E984" s="15"/>
      <c r="F984" s="11"/>
      <c r="G984" s="11"/>
      <c r="H984" s="11"/>
      <c r="I984" s="11"/>
      <c r="J984" s="12"/>
      <c r="K984" s="13"/>
      <c r="L984" s="12"/>
      <c r="M984" s="13"/>
      <c r="N984" s="13"/>
      <c r="O984" s="13"/>
    </row>
    <row r="985">
      <c r="B985" s="11"/>
      <c r="C985" s="11"/>
      <c r="D985" s="11"/>
      <c r="E985" s="15"/>
      <c r="F985" s="11"/>
      <c r="G985" s="11"/>
      <c r="H985" s="11"/>
      <c r="I985" s="11"/>
      <c r="J985" s="12"/>
      <c r="K985" s="13"/>
      <c r="L985" s="12"/>
      <c r="M985" s="13"/>
      <c r="N985" s="13"/>
      <c r="O985" s="13"/>
    </row>
    <row r="986">
      <c r="B986" s="11"/>
      <c r="C986" s="11"/>
      <c r="D986" s="11"/>
      <c r="E986" s="15"/>
      <c r="F986" s="11"/>
      <c r="G986" s="11"/>
      <c r="H986" s="11"/>
      <c r="I986" s="11"/>
      <c r="J986" s="12"/>
      <c r="K986" s="13"/>
      <c r="L986" s="12"/>
      <c r="M986" s="13"/>
      <c r="N986" s="13"/>
      <c r="O986" s="13"/>
    </row>
    <row r="987">
      <c r="B987" s="11"/>
      <c r="C987" s="11"/>
      <c r="D987" s="11"/>
      <c r="E987" s="15"/>
      <c r="F987" s="11"/>
      <c r="G987" s="11"/>
      <c r="H987" s="11"/>
      <c r="I987" s="11"/>
      <c r="J987" s="12"/>
      <c r="K987" s="13"/>
      <c r="L987" s="12"/>
      <c r="M987" s="13"/>
      <c r="N987" s="13"/>
      <c r="O987" s="13"/>
    </row>
    <row r="988">
      <c r="B988" s="11"/>
      <c r="C988" s="11"/>
      <c r="D988" s="11"/>
      <c r="E988" s="15"/>
      <c r="F988" s="11"/>
      <c r="G988" s="11"/>
      <c r="H988" s="11"/>
      <c r="I988" s="11"/>
      <c r="J988" s="12"/>
      <c r="K988" s="13"/>
      <c r="L988" s="12"/>
      <c r="M988" s="13"/>
      <c r="N988" s="13"/>
      <c r="O988" s="13"/>
    </row>
    <row r="989">
      <c r="B989" s="11"/>
      <c r="C989" s="11"/>
      <c r="D989" s="11"/>
      <c r="E989" s="15"/>
      <c r="F989" s="11"/>
      <c r="G989" s="11"/>
      <c r="H989" s="11"/>
      <c r="I989" s="11"/>
      <c r="J989" s="12"/>
      <c r="K989" s="13"/>
      <c r="L989" s="12"/>
      <c r="M989" s="13"/>
      <c r="N989" s="13"/>
      <c r="O989" s="13"/>
    </row>
    <row r="990">
      <c r="B990" s="11"/>
      <c r="C990" s="11"/>
      <c r="D990" s="11"/>
      <c r="E990" s="15"/>
      <c r="F990" s="11"/>
      <c r="G990" s="11"/>
      <c r="H990" s="11"/>
      <c r="I990" s="11"/>
      <c r="J990" s="12"/>
      <c r="K990" s="13"/>
      <c r="L990" s="12"/>
      <c r="M990" s="13"/>
      <c r="N990" s="13"/>
      <c r="O990" s="13"/>
    </row>
    <row r="991">
      <c r="B991" s="11"/>
      <c r="C991" s="11"/>
      <c r="D991" s="11"/>
      <c r="E991" s="15"/>
      <c r="F991" s="11"/>
      <c r="G991" s="11"/>
      <c r="H991" s="11"/>
      <c r="I991" s="11"/>
      <c r="J991" s="12"/>
      <c r="K991" s="13"/>
      <c r="L991" s="12"/>
      <c r="M991" s="13"/>
      <c r="N991" s="13"/>
      <c r="O991" s="13"/>
    </row>
    <row r="992">
      <c r="B992" s="11"/>
      <c r="C992" s="11"/>
      <c r="D992" s="11"/>
      <c r="E992" s="15"/>
      <c r="F992" s="11"/>
      <c r="G992" s="11"/>
      <c r="H992" s="11"/>
      <c r="I992" s="11"/>
      <c r="J992" s="12"/>
      <c r="K992" s="13"/>
      <c r="L992" s="12"/>
      <c r="M992" s="13"/>
      <c r="N992" s="13"/>
      <c r="O992" s="13"/>
    </row>
    <row r="993">
      <c r="B993" s="11"/>
      <c r="C993" s="11"/>
      <c r="D993" s="11"/>
      <c r="E993" s="15"/>
      <c r="F993" s="11"/>
      <c r="G993" s="11"/>
      <c r="H993" s="11"/>
      <c r="I993" s="11"/>
      <c r="J993" s="12"/>
      <c r="K993" s="13"/>
      <c r="L993" s="12"/>
      <c r="M993" s="13"/>
      <c r="N993" s="13"/>
      <c r="O993" s="13"/>
    </row>
    <row r="994">
      <c r="B994" s="11"/>
      <c r="C994" s="11"/>
      <c r="D994" s="11"/>
      <c r="E994" s="15"/>
      <c r="F994" s="11"/>
      <c r="G994" s="11"/>
      <c r="H994" s="11"/>
      <c r="I994" s="11"/>
      <c r="J994" s="12"/>
      <c r="K994" s="13"/>
      <c r="L994" s="12"/>
      <c r="M994" s="13"/>
      <c r="N994" s="13"/>
      <c r="O994" s="13"/>
    </row>
    <row r="995">
      <c r="B995" s="11"/>
      <c r="C995" s="11"/>
      <c r="D995" s="11"/>
      <c r="E995" s="15"/>
      <c r="F995" s="11"/>
      <c r="G995" s="11"/>
      <c r="H995" s="11"/>
      <c r="I995" s="11"/>
      <c r="J995" s="12"/>
      <c r="K995" s="13"/>
      <c r="L995" s="12"/>
      <c r="M995" s="13"/>
      <c r="N995" s="13"/>
      <c r="O995" s="13"/>
    </row>
    <row r="996">
      <c r="B996" s="11"/>
      <c r="C996" s="11"/>
      <c r="D996" s="11"/>
      <c r="E996" s="15"/>
      <c r="F996" s="11"/>
      <c r="G996" s="11"/>
      <c r="H996" s="11"/>
      <c r="I996" s="11"/>
      <c r="J996" s="12"/>
      <c r="K996" s="13"/>
      <c r="L996" s="12"/>
      <c r="M996" s="13"/>
      <c r="N996" s="13"/>
      <c r="O996" s="13"/>
    </row>
    <row r="997">
      <c r="B997" s="11"/>
      <c r="C997" s="11"/>
      <c r="D997" s="11"/>
      <c r="E997" s="15"/>
      <c r="F997" s="11"/>
      <c r="G997" s="11"/>
      <c r="H997" s="11"/>
      <c r="I997" s="11"/>
      <c r="J997" s="12"/>
      <c r="K997" s="13"/>
      <c r="L997" s="12"/>
      <c r="M997" s="13"/>
      <c r="N997" s="13"/>
      <c r="O997" s="13"/>
    </row>
    <row r="998">
      <c r="B998" s="11"/>
      <c r="C998" s="11"/>
      <c r="D998" s="11"/>
      <c r="E998" s="15"/>
      <c r="F998" s="11"/>
      <c r="G998" s="11"/>
      <c r="H998" s="11"/>
      <c r="I998" s="11"/>
      <c r="J998" s="12"/>
      <c r="K998" s="13"/>
      <c r="L998" s="12"/>
      <c r="M998" s="13"/>
      <c r="N998" s="13"/>
      <c r="O998" s="13"/>
    </row>
    <row r="999">
      <c r="B999" s="11"/>
      <c r="C999" s="11"/>
      <c r="D999" s="11"/>
      <c r="E999" s="15"/>
      <c r="F999" s="11"/>
      <c r="G999" s="11"/>
      <c r="H999" s="11"/>
      <c r="I999" s="11"/>
      <c r="J999" s="12"/>
      <c r="K999" s="13"/>
      <c r="L999" s="12"/>
      <c r="M999" s="13"/>
      <c r="N999" s="13"/>
      <c r="O999" s="13"/>
    </row>
    <row r="1000">
      <c r="B1000" s="11"/>
      <c r="C1000" s="11"/>
      <c r="D1000" s="11"/>
      <c r="E1000" s="15"/>
      <c r="F1000" s="11"/>
      <c r="G1000" s="11"/>
      <c r="H1000" s="11"/>
      <c r="I1000" s="11"/>
      <c r="J1000" s="12"/>
      <c r="K1000" s="13"/>
      <c r="L1000" s="12"/>
      <c r="M1000" s="13"/>
      <c r="N1000" s="13"/>
      <c r="O1000" s="13"/>
    </row>
  </sheetData>
  <mergeCells count="2">
    <mergeCell ref="A1:F1"/>
    <mergeCell ref="G1:O1"/>
  </mergeCells>
  <conditionalFormatting sqref="G1:G1000">
    <cfRule type="cellIs" dxfId="0" priority="1" operator="equal">
      <formula>1</formula>
    </cfRule>
  </conditionalFormatting>
  <conditionalFormatting sqref="H2:I1000">
    <cfRule type="cellIs" dxfId="1" priority="2" operator="equal">
      <formula>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4" width="6.13"/>
    <col customWidth="1" min="7" max="7" width="6.13"/>
    <col customWidth="1" min="10" max="10" width="6.13"/>
    <col customWidth="1" min="13" max="13" width="6.13"/>
    <col customWidth="1" min="16" max="16" width="6.13"/>
    <col customWidth="1" min="19" max="19" width="6.13"/>
    <col customWidth="1" min="22" max="22" width="6.13"/>
    <col customWidth="1" min="25" max="25" width="6.13"/>
  </cols>
  <sheetData>
    <row r="1">
      <c r="A1" s="21" t="s">
        <v>704</v>
      </c>
      <c r="D1" s="22" t="str">
        <f>FGW!$G$1</f>
        <v>FGW</v>
      </c>
      <c r="G1" s="23" t="s">
        <v>705</v>
      </c>
      <c r="J1" s="22" t="s">
        <v>706</v>
      </c>
      <c r="M1" s="23" t="s">
        <v>707</v>
      </c>
      <c r="P1" s="22" t="s">
        <v>708</v>
      </c>
      <c r="S1" s="23" t="s">
        <v>709</v>
      </c>
      <c r="V1" s="22" t="s">
        <v>710</v>
      </c>
      <c r="Y1" s="23" t="s">
        <v>711</v>
      </c>
      <c r="AB1" s="24"/>
      <c r="AC1" s="24"/>
    </row>
    <row r="2">
      <c r="A2" s="21" t="s">
        <v>2</v>
      </c>
      <c r="B2" s="21" t="s">
        <v>3</v>
      </c>
      <c r="C2" s="21" t="s">
        <v>712</v>
      </c>
      <c r="D2" s="22" t="s">
        <v>713</v>
      </c>
      <c r="E2" s="25" t="s">
        <v>714</v>
      </c>
      <c r="F2" s="22" t="s">
        <v>715</v>
      </c>
      <c r="G2" s="23" t="s">
        <v>713</v>
      </c>
      <c r="H2" s="26" t="s">
        <v>714</v>
      </c>
      <c r="I2" s="23" t="s">
        <v>715</v>
      </c>
      <c r="J2" s="22" t="s">
        <v>713</v>
      </c>
      <c r="K2" s="25" t="s">
        <v>714</v>
      </c>
      <c r="L2" s="22" t="s">
        <v>715</v>
      </c>
      <c r="M2" s="23" t="s">
        <v>713</v>
      </c>
      <c r="N2" s="26" t="s">
        <v>714</v>
      </c>
      <c r="O2" s="23" t="s">
        <v>715</v>
      </c>
      <c r="P2" s="22" t="s">
        <v>713</v>
      </c>
      <c r="Q2" s="25" t="s">
        <v>714</v>
      </c>
      <c r="R2" s="22" t="s">
        <v>715</v>
      </c>
      <c r="S2" s="23" t="s">
        <v>713</v>
      </c>
      <c r="T2" s="26" t="s">
        <v>714</v>
      </c>
      <c r="U2" s="23" t="s">
        <v>715</v>
      </c>
      <c r="V2" s="22" t="s">
        <v>713</v>
      </c>
      <c r="W2" s="25" t="s">
        <v>714</v>
      </c>
      <c r="X2" s="22" t="s">
        <v>715</v>
      </c>
      <c r="Y2" s="23" t="s">
        <v>713</v>
      </c>
      <c r="Z2" s="26" t="s">
        <v>714</v>
      </c>
      <c r="AA2" s="23" t="s">
        <v>715</v>
      </c>
      <c r="AB2" s="24"/>
      <c r="AC2" s="24"/>
    </row>
    <row r="3">
      <c r="A3" s="27">
        <v>25.0</v>
      </c>
      <c r="B3" s="27" t="s">
        <v>716</v>
      </c>
      <c r="C3" s="11">
        <f>COUNTIFS(Instances!$B:$B, $A3, Instances!$C:$C, $B3)</f>
        <v>45</v>
      </c>
      <c r="D3" s="28">
        <f t="shared" ref="D3:D5" si="1">COUNTIFS(INDIRECT($D$1 &amp; "!$B:$B"), $A3, INDIRECT($D$1 &amp; "!$C:$C"), $B3, INDIRECT($D$1 &amp; "!$G:$G"), 1)</f>
        <v>0</v>
      </c>
      <c r="E3" s="29">
        <f t="shared" ref="E3:E5" si="2">SUMIFS(INDIRECT($D$1 &amp; "!$N:$N"), INDIRECT($D$1 &amp; "!$B:$B"), $A3, INDIRECT($D$1 &amp; "!$C:$C"), $B3) / $C3</f>
        <v>97.24397644</v>
      </c>
      <c r="F3" s="29">
        <f t="shared" ref="F3:F5" si="3">SUMIFS(INDIRECT($D$1 &amp; "!$O:$O"), INDIRECT($D$1 &amp; "!$B:$B"), $A3, INDIRECT($D$1 &amp; "!$C:$C"), $B3) / $C3</f>
        <v>3600</v>
      </c>
      <c r="G3" s="30">
        <f t="shared" ref="G3:G5" si="4">COUNTIFS(INDIRECT($G$1 &amp; "!$B:$B"), $A3, INDIRECT($G$1 &amp; "!$C:$C"), $B3, INDIRECT($G$1 &amp; "!$G:$G"), 1)</f>
        <v>0</v>
      </c>
      <c r="H3" s="31" t="str">
        <f t="shared" ref="H3:H5" si="5">SUMIFS(INDIRECT($G$1 &amp; "!$N:$N"), INDIRECT($G$1 &amp; "!$B:$B"), $A3, INDIRECT($G$1 &amp; "!$C:$C"), $B3) / $C3</f>
        <v>#N/A</v>
      </c>
      <c r="I3" s="31" t="str">
        <f t="shared" ref="I3:I5" si="6">SUMIFS(INDIRECT($G$1 &amp; "!$O:$O"), INDIRECT($G$1 &amp; "!$B:$B"), $A3, INDIRECT($G$1 &amp; "!$C:$C"), $B3) / $C3</f>
        <v>#N/A</v>
      </c>
      <c r="J3" s="28">
        <f t="shared" ref="J3:J5" si="7">COUNTIFS(INDIRECT($J$1 &amp; "!$B:$B"), $A3, INDIRECT($J$1 &amp; "!$C:$C"), $B3, INDIRECT($J$1 &amp; "!$G:$G"), 1)</f>
        <v>0</v>
      </c>
      <c r="K3" s="29" t="str">
        <f t="shared" ref="K3:K5" si="8">SUMIFS(INDIRECT($J$1 &amp; "!$N:$N"), INDIRECT($J$1 &amp; "!$B:$B"), $A3, INDIRECT($J$1 &amp; "!$C:$C"), $B3) / $C3</f>
        <v>#N/A</v>
      </c>
      <c r="L3" s="29" t="str">
        <f t="shared" ref="L3:L5" si="9">SUMIFS(INDIRECT($J$1 &amp; "!$O:$O"), INDIRECT($J$1 &amp; "!$B:$B"), $A3, INDIRECT($J$1 &amp; "!$C:$C"), $B3) / $C3</f>
        <v>#N/A</v>
      </c>
      <c r="M3" s="30">
        <f t="shared" ref="M3:M5" si="10">COUNTIFS(INDIRECT($M$1 &amp; "!$B:$B"), $A3, INDIRECT($M$1 &amp; "!$C:$C"), $B3, INDIRECT($M$1 &amp; "!$G:$G"), 1)</f>
        <v>0</v>
      </c>
      <c r="N3" s="31" t="str">
        <f t="shared" ref="N3:N5" si="11">SUMIFS(INDIRECT($M$1 &amp; "!$N:$N"), INDIRECT($M$1 &amp; "!$B:$B"), $A3, INDIRECT($M$1 &amp; "!$C:$C"), $B3) / $C3</f>
        <v>#N/A</v>
      </c>
      <c r="O3" s="31" t="str">
        <f t="shared" ref="O3:O5" si="12">SUMIFS(INDIRECT($M$1 &amp; "!$O:$O"), INDIRECT($M$1 &amp; "!$B:$B"), $A3, INDIRECT($M$1 &amp; "!$C:$C"), $B3) / $C3</f>
        <v>#N/A</v>
      </c>
      <c r="P3" s="28">
        <f t="shared" ref="P3:P5" si="13">COUNTIFS(INDIRECT($P$1 &amp; "!$B:$B"), $A3, INDIRECT($P$1 &amp; "!$C:$C"), $B3, INDIRECT($P$1 &amp; "!$G:$G"), 1)</f>
        <v>0</v>
      </c>
      <c r="Q3" s="29" t="str">
        <f t="shared" ref="Q3:Q5" si="14">SUMIFS(INDIRECT($P$1 &amp; "!$N:$N"), INDIRECT($P$1 &amp; "!$B:$B"), $A3, INDIRECT($P$1 &amp; "!$C:$C"), $B3) / $C3</f>
        <v>#N/A</v>
      </c>
      <c r="R3" s="29" t="str">
        <f t="shared" ref="R3:R5" si="15">SUMIFS(INDIRECT($P$1 &amp; "!$O:$O"), INDIRECT($P$1 &amp; "!$B:$B"), $A3, INDIRECT($P$1 &amp; "!$C:$C"), $B3) / $C3</f>
        <v>#N/A</v>
      </c>
      <c r="S3" s="30">
        <f t="shared" ref="S3:S5" si="16">COUNTIFS(INDIRECT($S$1 &amp; "!$B:$B"), $A3, INDIRECT($S$1 &amp; "!$C:$C"), $B3, INDIRECT($S$1 &amp; "!$G:$G"), 1)</f>
        <v>0</v>
      </c>
      <c r="T3" s="31" t="str">
        <f t="shared" ref="T3:T5" si="17">SUMIFS(INDIRECT($S$1 &amp; "!$N:$N"), INDIRECT($S$1 &amp; "!$B:$B"), $A3, INDIRECT($S$1 &amp; "!$C:$C"), $B3) / $C3</f>
        <v>#N/A</v>
      </c>
      <c r="U3" s="31" t="str">
        <f t="shared" ref="U3:U5" si="18">SUMIFS(INDIRECT($S$1 &amp; "!$O:$O"), INDIRECT($S$1 &amp; "!$B:$B"), $A3, INDIRECT($S$1 &amp; "!$C:$C"), $B3) / $C3</f>
        <v>#N/A</v>
      </c>
      <c r="V3" s="28">
        <f t="shared" ref="V3:V5" si="19">COUNTIFS(INDIRECT($V$1 &amp; "!$B:$B"), $A3, INDIRECT($V$1 &amp; "!$C:$C"), $B3, INDIRECT($V$1 &amp; "!$G:$G"), 1)</f>
        <v>0</v>
      </c>
      <c r="W3" s="29" t="str">
        <f t="array" ref="W3">SUMIFS(INDIRECT($V$1 &amp; "!$N:$N"), INDIRECT($V$1 &amp; "!$B:$B"), $A3, INDIRECT($V$1 &amp; "!$C:$C"), $B3) / $C3</f>
        <v>#N/A</v>
      </c>
      <c r="X3" s="29" t="str">
        <f t="shared" ref="X3:X5" si="20">SUMIFS(INDIRECT($V$1 &amp; "!$O:$O"), INDIRECT($V$1 &amp; "!$B:$B"), $A3, INDIRECT($V$1 &amp; "!$C:$C"), $B3) / $C3</f>
        <v>#N/A</v>
      </c>
      <c r="Y3" s="30">
        <f t="shared" ref="Y3:Y5" si="21">COUNTIFS(INDIRECT($Y$1 &amp; "!$B:$B"), $A3, INDIRECT($Y$1 &amp; "!$C:$C"), $B3, INDIRECT($Y$1 &amp; "!$G:$G"), 1)</f>
        <v>0</v>
      </c>
      <c r="Z3" s="31" t="str">
        <f t="shared" ref="Z3:Z5" si="22">SUMIFS(INDIRECT($Y$1 &amp; "!$N:$N"), INDIRECT($Y$1 &amp; "!$B:$B"), $A3, INDIRECT($Y$1 &amp; "!$C:$C"), $B3) / $C3</f>
        <v>#N/A</v>
      </c>
      <c r="AA3" s="31" t="str">
        <f t="shared" ref="AA3:AA5" si="23">SUMIFS(INDIRECT($Y$1 &amp; "!$O:$O"), INDIRECT($Y$1 &amp; "!$B:$B"), $A3, INDIRECT($Y$1 &amp; "!$C:$C"), $B3) / $C3</f>
        <v>#N/A</v>
      </c>
    </row>
    <row r="4">
      <c r="A4" s="27">
        <v>25.0</v>
      </c>
      <c r="B4" s="32" t="s">
        <v>234</v>
      </c>
      <c r="C4" s="11">
        <f>COUNTIFS(Instances!$B:$B, $A4, Instances!$C:$C, $B4)</f>
        <v>45</v>
      </c>
      <c r="D4" s="28">
        <f t="shared" si="1"/>
        <v>0</v>
      </c>
      <c r="E4" s="29">
        <f t="shared" si="2"/>
        <v>20.06990684</v>
      </c>
      <c r="F4" s="29">
        <f t="shared" si="3"/>
        <v>3600</v>
      </c>
      <c r="G4" s="30">
        <f t="shared" si="4"/>
        <v>0</v>
      </c>
      <c r="H4" s="31" t="str">
        <f t="shared" si="5"/>
        <v>#N/A</v>
      </c>
      <c r="I4" s="31" t="str">
        <f t="shared" si="6"/>
        <v>#N/A</v>
      </c>
      <c r="J4" s="28">
        <f t="shared" si="7"/>
        <v>0</v>
      </c>
      <c r="K4" s="29" t="str">
        <f t="shared" si="8"/>
        <v>#N/A</v>
      </c>
      <c r="L4" s="29" t="str">
        <f t="shared" si="9"/>
        <v>#N/A</v>
      </c>
      <c r="M4" s="30">
        <f t="shared" si="10"/>
        <v>0</v>
      </c>
      <c r="N4" s="31" t="str">
        <f t="shared" si="11"/>
        <v>#N/A</v>
      </c>
      <c r="O4" s="31" t="str">
        <f t="shared" si="12"/>
        <v>#N/A</v>
      </c>
      <c r="P4" s="28">
        <f t="shared" si="13"/>
        <v>0</v>
      </c>
      <c r="Q4" s="29" t="str">
        <f t="shared" si="14"/>
        <v>#N/A</v>
      </c>
      <c r="R4" s="29" t="str">
        <f t="shared" si="15"/>
        <v>#N/A</v>
      </c>
      <c r="S4" s="30">
        <f t="shared" si="16"/>
        <v>0</v>
      </c>
      <c r="T4" s="31" t="str">
        <f t="shared" si="17"/>
        <v>#N/A</v>
      </c>
      <c r="U4" s="31" t="str">
        <f t="shared" si="18"/>
        <v>#N/A</v>
      </c>
      <c r="V4" s="28">
        <f t="shared" si="19"/>
        <v>0</v>
      </c>
      <c r="W4" s="29" t="str">
        <f t="array" ref="W4">SUMIFS(INDIRECT($S$1 &amp; "!$N:$N"), INDIRECT($S$1 &amp; "!$B:$B"), $A4, INDIRECT($S$1 &amp; "!$C:$C"), $B4) / $C4</f>
        <v>#N/A</v>
      </c>
      <c r="X4" s="29" t="str">
        <f t="shared" si="20"/>
        <v>#N/A</v>
      </c>
      <c r="Y4" s="30">
        <f t="shared" si="21"/>
        <v>0</v>
      </c>
      <c r="Z4" s="31" t="str">
        <f t="shared" si="22"/>
        <v>#N/A</v>
      </c>
      <c r="AA4" s="31" t="str">
        <f t="shared" si="23"/>
        <v>#N/A</v>
      </c>
    </row>
    <row r="5">
      <c r="A5" s="27">
        <v>25.0</v>
      </c>
      <c r="B5" s="27" t="s">
        <v>460</v>
      </c>
      <c r="C5" s="11">
        <f>COUNTIFS(Instances!$B:$B, $A5, Instances!$C:$C, $B5)</f>
        <v>45</v>
      </c>
      <c r="D5" s="28">
        <f t="shared" si="1"/>
        <v>0</v>
      </c>
      <c r="E5" s="29">
        <f t="shared" si="2"/>
        <v>273.9013222</v>
      </c>
      <c r="F5" s="29">
        <f t="shared" si="3"/>
        <v>3600</v>
      </c>
      <c r="G5" s="30">
        <f t="shared" si="4"/>
        <v>0</v>
      </c>
      <c r="H5" s="31" t="str">
        <f t="shared" si="5"/>
        <v>#N/A</v>
      </c>
      <c r="I5" s="31" t="str">
        <f t="shared" si="6"/>
        <v>#N/A</v>
      </c>
      <c r="J5" s="28">
        <f t="shared" si="7"/>
        <v>0</v>
      </c>
      <c r="K5" s="29" t="str">
        <f t="shared" si="8"/>
        <v>#N/A</v>
      </c>
      <c r="L5" s="29" t="str">
        <f t="shared" si="9"/>
        <v>#N/A</v>
      </c>
      <c r="M5" s="30">
        <f t="shared" si="10"/>
        <v>0</v>
      </c>
      <c r="N5" s="31" t="str">
        <f t="shared" si="11"/>
        <v>#N/A</v>
      </c>
      <c r="O5" s="31" t="str">
        <f t="shared" si="12"/>
        <v>#N/A</v>
      </c>
      <c r="P5" s="28">
        <f t="shared" si="13"/>
        <v>0</v>
      </c>
      <c r="Q5" s="29" t="str">
        <f t="shared" si="14"/>
        <v>#N/A</v>
      </c>
      <c r="R5" s="29" t="str">
        <f t="shared" si="15"/>
        <v>#N/A</v>
      </c>
      <c r="S5" s="30">
        <f t="shared" si="16"/>
        <v>0</v>
      </c>
      <c r="T5" s="31" t="str">
        <f t="shared" si="17"/>
        <v>#N/A</v>
      </c>
      <c r="U5" s="31" t="str">
        <f t="shared" si="18"/>
        <v>#N/A</v>
      </c>
      <c r="V5" s="28">
        <f t="shared" si="19"/>
        <v>0</v>
      </c>
      <c r="W5" s="29" t="str">
        <f t="array" ref="W5">SUMIFS(INDIRECT($V$1 &amp; "!$N:$N"), INDIRECT($V$1 &amp; "!$B:$B"), $A5, INDIRECT($V$1 &amp; "!$C:$C"), $B5) / $C5</f>
        <v>#N/A</v>
      </c>
      <c r="X5" s="29" t="str">
        <f t="shared" si="20"/>
        <v>#N/A</v>
      </c>
      <c r="Y5" s="30">
        <f t="shared" si="21"/>
        <v>0</v>
      </c>
      <c r="Z5" s="31" t="str">
        <f t="shared" si="22"/>
        <v>#N/A</v>
      </c>
      <c r="AA5" s="31" t="str">
        <f t="shared" si="23"/>
        <v>#N/A</v>
      </c>
    </row>
    <row r="6">
      <c r="A6" s="21" t="s">
        <v>717</v>
      </c>
      <c r="B6" s="11"/>
      <c r="C6" s="11">
        <f t="shared" ref="C6:D6" si="24">SUM(C3:C5)</f>
        <v>135</v>
      </c>
      <c r="D6" s="33">
        <f t="shared" si="24"/>
        <v>0</v>
      </c>
      <c r="E6" s="34">
        <f t="shared" ref="E6:F6" si="25">AVERAGE(E3:E5)</f>
        <v>130.4050685</v>
      </c>
      <c r="F6" s="34">
        <f t="shared" si="25"/>
        <v>3600</v>
      </c>
      <c r="G6" s="35">
        <f>SUM(G3:G5)</f>
        <v>0</v>
      </c>
      <c r="H6" s="36" t="str">
        <f t="shared" ref="H6:I6" si="26">AVERAGE(H3:H5)</f>
        <v>#N/A</v>
      </c>
      <c r="I6" s="35" t="str">
        <f t="shared" si="26"/>
        <v>#N/A</v>
      </c>
      <c r="J6" s="33">
        <f>SUM(J3:J5)</f>
        <v>0</v>
      </c>
      <c r="K6" s="34" t="str">
        <f t="shared" ref="K6:L6" si="27">AVERAGE(K3:K5)</f>
        <v>#N/A</v>
      </c>
      <c r="L6" s="33" t="str">
        <f t="shared" si="27"/>
        <v>#N/A</v>
      </c>
      <c r="M6" s="35">
        <f>SUM(M3:M5)</f>
        <v>0</v>
      </c>
      <c r="N6" s="36" t="str">
        <f t="shared" ref="N6:O6" si="28">AVERAGE(N3:N5)</f>
        <v>#N/A</v>
      </c>
      <c r="O6" s="35" t="str">
        <f t="shared" si="28"/>
        <v>#N/A</v>
      </c>
      <c r="P6" s="33">
        <f>SUM(P3:P5)</f>
        <v>0</v>
      </c>
      <c r="Q6" s="34" t="str">
        <f t="shared" ref="Q6:R6" si="29">AVERAGE(Q3:Q5)</f>
        <v>#N/A</v>
      </c>
      <c r="R6" s="33" t="str">
        <f t="shared" si="29"/>
        <v>#N/A</v>
      </c>
      <c r="S6" s="35">
        <f>SUM(S3:S5)</f>
        <v>0</v>
      </c>
      <c r="T6" s="36" t="str">
        <f t="shared" ref="T6:U6" si="30">AVERAGE(T3:T5)</f>
        <v>#N/A</v>
      </c>
      <c r="U6" s="35" t="str">
        <f t="shared" si="30"/>
        <v>#N/A</v>
      </c>
      <c r="V6" s="33">
        <f>SUM(V3:V5)</f>
        <v>0</v>
      </c>
      <c r="W6" s="34" t="str">
        <f t="shared" ref="W6:X6" si="31">AVERAGE(W3:W5)</f>
        <v>#N/A</v>
      </c>
      <c r="X6" s="33" t="str">
        <f t="shared" si="31"/>
        <v>#N/A</v>
      </c>
      <c r="Y6" s="37">
        <f>SUM(Y3:Y5)</f>
        <v>0</v>
      </c>
      <c r="Z6" s="38" t="str">
        <f t="shared" ref="Z6:AA6" si="32">AVERAGE(Z3:Z5)</f>
        <v>#N/A</v>
      </c>
      <c r="AA6" s="37" t="str">
        <f t="shared" si="32"/>
        <v>#N/A</v>
      </c>
    </row>
    <row r="7">
      <c r="A7" s="11"/>
      <c r="B7" s="11"/>
      <c r="C7" s="11"/>
      <c r="E7" s="7"/>
    </row>
    <row r="8">
      <c r="A8" s="11"/>
      <c r="B8" s="11"/>
      <c r="C8" s="11"/>
      <c r="E8" s="7"/>
    </row>
    <row r="9">
      <c r="A9" s="11"/>
      <c r="B9" s="11"/>
      <c r="C9" s="11"/>
      <c r="E9" s="7"/>
    </row>
    <row r="10">
      <c r="A10" s="11"/>
      <c r="B10" s="11"/>
      <c r="C10" s="11"/>
      <c r="E10" s="7"/>
    </row>
    <row r="11">
      <c r="A11" s="11"/>
      <c r="B11" s="11"/>
      <c r="C11" s="11"/>
      <c r="E11" s="7"/>
    </row>
    <row r="12">
      <c r="A12" s="11"/>
      <c r="B12" s="11"/>
      <c r="C12" s="11"/>
      <c r="E12" s="7"/>
    </row>
    <row r="13">
      <c r="A13" s="11"/>
      <c r="B13" s="11"/>
      <c r="C13" s="11"/>
      <c r="E13" s="7"/>
    </row>
    <row r="14">
      <c r="A14" s="11"/>
      <c r="B14" s="11"/>
      <c r="C14" s="11"/>
      <c r="E14" s="7"/>
    </row>
    <row r="15">
      <c r="A15" s="11"/>
      <c r="B15" s="11"/>
      <c r="C15" s="11"/>
      <c r="E15" s="7"/>
    </row>
    <row r="16">
      <c r="A16" s="11"/>
      <c r="B16" s="11"/>
      <c r="C16" s="11"/>
      <c r="E16" s="7"/>
    </row>
    <row r="17">
      <c r="A17" s="11"/>
      <c r="B17" s="11"/>
      <c r="C17" s="11"/>
      <c r="E17" s="7"/>
    </row>
    <row r="18">
      <c r="A18" s="11"/>
      <c r="B18" s="11"/>
      <c r="C18" s="11"/>
      <c r="E18" s="7"/>
    </row>
    <row r="19">
      <c r="A19" s="11"/>
      <c r="B19" s="11"/>
      <c r="C19" s="11"/>
      <c r="E19" s="7"/>
    </row>
    <row r="20">
      <c r="A20" s="11"/>
      <c r="B20" s="11"/>
      <c r="C20" s="11"/>
      <c r="E20" s="7"/>
    </row>
    <row r="21">
      <c r="A21" s="11"/>
      <c r="B21" s="11"/>
      <c r="C21" s="11"/>
      <c r="E21" s="7"/>
    </row>
    <row r="22">
      <c r="A22" s="11"/>
      <c r="B22" s="11"/>
      <c r="C22" s="11"/>
      <c r="E22" s="7"/>
    </row>
    <row r="23">
      <c r="A23" s="11"/>
      <c r="B23" s="11"/>
      <c r="C23" s="11"/>
      <c r="E23" s="7"/>
    </row>
    <row r="24">
      <c r="A24" s="11"/>
      <c r="B24" s="11"/>
      <c r="C24" s="11"/>
      <c r="E24" s="7"/>
    </row>
    <row r="25">
      <c r="A25" s="11"/>
      <c r="B25" s="11"/>
      <c r="C25" s="11"/>
      <c r="E25" s="7"/>
    </row>
    <row r="26">
      <c r="A26" s="11"/>
      <c r="B26" s="11"/>
      <c r="C26" s="11"/>
      <c r="E26" s="7"/>
    </row>
    <row r="27">
      <c r="A27" s="11"/>
      <c r="B27" s="11"/>
      <c r="C27" s="11"/>
      <c r="E27" s="7"/>
    </row>
    <row r="28">
      <c r="A28" s="11"/>
      <c r="B28" s="11"/>
      <c r="C28" s="11"/>
      <c r="E28" s="7"/>
    </row>
    <row r="29">
      <c r="A29" s="11"/>
      <c r="B29" s="11"/>
      <c r="C29" s="11"/>
      <c r="E29" s="7"/>
    </row>
    <row r="30">
      <c r="A30" s="11"/>
      <c r="B30" s="11"/>
      <c r="C30" s="11"/>
      <c r="E30" s="7"/>
    </row>
    <row r="31">
      <c r="A31" s="11"/>
      <c r="B31" s="11"/>
      <c r="C31" s="11"/>
      <c r="E31" s="7"/>
    </row>
    <row r="32">
      <c r="A32" s="11"/>
      <c r="B32" s="11"/>
      <c r="C32" s="11"/>
      <c r="E32" s="7"/>
    </row>
    <row r="33">
      <c r="A33" s="11"/>
      <c r="B33" s="11"/>
      <c r="C33" s="11"/>
      <c r="E33" s="7"/>
    </row>
    <row r="34">
      <c r="A34" s="11"/>
      <c r="B34" s="11"/>
      <c r="C34" s="11"/>
      <c r="E34" s="7"/>
    </row>
    <row r="35">
      <c r="A35" s="11"/>
      <c r="B35" s="11"/>
      <c r="C35" s="11"/>
      <c r="E35" s="7"/>
    </row>
    <row r="36">
      <c r="A36" s="11"/>
      <c r="B36" s="11"/>
      <c r="C36" s="11"/>
      <c r="E36" s="7"/>
    </row>
    <row r="37">
      <c r="A37" s="11"/>
      <c r="B37" s="11"/>
      <c r="C37" s="11"/>
      <c r="E37" s="7"/>
    </row>
    <row r="38">
      <c r="A38" s="11"/>
      <c r="B38" s="11"/>
      <c r="C38" s="11"/>
      <c r="E38" s="7"/>
    </row>
    <row r="39">
      <c r="A39" s="11"/>
      <c r="B39" s="11"/>
      <c r="C39" s="11"/>
      <c r="E39" s="7"/>
    </row>
    <row r="40">
      <c r="A40" s="11"/>
      <c r="B40" s="11"/>
      <c r="C40" s="11"/>
      <c r="E40" s="7"/>
    </row>
    <row r="41">
      <c r="A41" s="11"/>
      <c r="B41" s="11"/>
      <c r="C41" s="11"/>
      <c r="E41" s="7"/>
    </row>
    <row r="42">
      <c r="A42" s="11"/>
      <c r="B42" s="11"/>
      <c r="C42" s="11"/>
      <c r="E42" s="7"/>
    </row>
    <row r="43">
      <c r="A43" s="11"/>
      <c r="B43" s="11"/>
      <c r="C43" s="11"/>
      <c r="E43" s="7"/>
    </row>
    <row r="44">
      <c r="A44" s="11"/>
      <c r="B44" s="11"/>
      <c r="C44" s="11"/>
      <c r="E44" s="7"/>
    </row>
    <row r="45">
      <c r="A45" s="11"/>
      <c r="B45" s="11"/>
      <c r="C45" s="11"/>
      <c r="E45" s="7"/>
    </row>
    <row r="46">
      <c r="A46" s="11"/>
      <c r="B46" s="11"/>
      <c r="C46" s="11"/>
      <c r="E46" s="7"/>
    </row>
    <row r="47">
      <c r="A47" s="11"/>
      <c r="B47" s="11"/>
      <c r="C47" s="11"/>
      <c r="E47" s="7"/>
    </row>
    <row r="48">
      <c r="A48" s="11"/>
      <c r="B48" s="11"/>
      <c r="C48" s="11"/>
      <c r="E48" s="7"/>
    </row>
    <row r="49">
      <c r="A49" s="11"/>
      <c r="B49" s="11"/>
      <c r="C49" s="11"/>
      <c r="E49" s="7"/>
    </row>
    <row r="50">
      <c r="A50" s="11"/>
      <c r="B50" s="11"/>
      <c r="C50" s="11"/>
      <c r="E50" s="7"/>
    </row>
    <row r="51">
      <c r="A51" s="11"/>
      <c r="B51" s="11"/>
      <c r="C51" s="11"/>
      <c r="E51" s="7"/>
    </row>
    <row r="52">
      <c r="A52" s="11"/>
      <c r="B52" s="11"/>
      <c r="C52" s="11"/>
      <c r="E52" s="7"/>
    </row>
    <row r="53">
      <c r="A53" s="11"/>
      <c r="B53" s="11"/>
      <c r="C53" s="11"/>
      <c r="E53" s="7"/>
    </row>
    <row r="54">
      <c r="A54" s="11"/>
      <c r="B54" s="11"/>
      <c r="C54" s="11"/>
      <c r="E54" s="7"/>
    </row>
    <row r="55">
      <c r="A55" s="11"/>
      <c r="B55" s="11"/>
      <c r="C55" s="11"/>
      <c r="E55" s="7"/>
    </row>
    <row r="56">
      <c r="A56" s="11"/>
      <c r="B56" s="11"/>
      <c r="C56" s="11"/>
      <c r="E56" s="7"/>
    </row>
    <row r="57">
      <c r="A57" s="11"/>
      <c r="B57" s="11"/>
      <c r="C57" s="11"/>
      <c r="E57" s="7"/>
    </row>
    <row r="58">
      <c r="A58" s="11"/>
      <c r="B58" s="11"/>
      <c r="C58" s="11"/>
      <c r="E58" s="7"/>
    </row>
    <row r="59">
      <c r="A59" s="11"/>
      <c r="B59" s="11"/>
      <c r="C59" s="11"/>
      <c r="E59" s="7"/>
    </row>
    <row r="60">
      <c r="A60" s="11"/>
      <c r="B60" s="11"/>
      <c r="C60" s="11"/>
      <c r="E60" s="7"/>
    </row>
    <row r="61">
      <c r="A61" s="11"/>
      <c r="B61" s="11"/>
      <c r="C61" s="11"/>
      <c r="E61" s="7"/>
    </row>
    <row r="62">
      <c r="A62" s="11"/>
      <c r="B62" s="11"/>
      <c r="C62" s="11"/>
      <c r="E62" s="7"/>
    </row>
    <row r="63">
      <c r="A63" s="11"/>
      <c r="B63" s="11"/>
      <c r="C63" s="11"/>
      <c r="E63" s="7"/>
    </row>
    <row r="64">
      <c r="A64" s="11"/>
      <c r="B64" s="11"/>
      <c r="C64" s="11"/>
      <c r="E64" s="7"/>
    </row>
    <row r="65">
      <c r="A65" s="11"/>
      <c r="B65" s="11"/>
      <c r="C65" s="11"/>
      <c r="E65" s="7"/>
    </row>
    <row r="66">
      <c r="A66" s="11"/>
      <c r="B66" s="11"/>
      <c r="C66" s="11"/>
      <c r="E66" s="7"/>
    </row>
    <row r="67">
      <c r="A67" s="11"/>
      <c r="B67" s="11"/>
      <c r="C67" s="11"/>
      <c r="E67" s="7"/>
    </row>
    <row r="68">
      <c r="A68" s="11"/>
      <c r="B68" s="11"/>
      <c r="C68" s="11"/>
      <c r="E68" s="7"/>
    </row>
    <row r="69">
      <c r="A69" s="11"/>
      <c r="B69" s="11"/>
      <c r="C69" s="11"/>
      <c r="E69" s="7"/>
    </row>
    <row r="70">
      <c r="A70" s="11"/>
      <c r="B70" s="11"/>
      <c r="C70" s="11"/>
      <c r="E70" s="7"/>
    </row>
    <row r="71">
      <c r="A71" s="11"/>
      <c r="B71" s="11"/>
      <c r="C71" s="11"/>
      <c r="E71" s="7"/>
    </row>
    <row r="72">
      <c r="A72" s="11"/>
      <c r="B72" s="11"/>
      <c r="C72" s="11"/>
      <c r="E72" s="7"/>
    </row>
    <row r="73">
      <c r="A73" s="11"/>
      <c r="B73" s="11"/>
      <c r="C73" s="11"/>
      <c r="E73" s="7"/>
    </row>
    <row r="74">
      <c r="A74" s="11"/>
      <c r="B74" s="11"/>
      <c r="C74" s="11"/>
      <c r="E74" s="7"/>
    </row>
    <row r="75">
      <c r="A75" s="11"/>
      <c r="B75" s="11"/>
      <c r="C75" s="11"/>
      <c r="E75" s="7"/>
    </row>
    <row r="76">
      <c r="A76" s="11"/>
      <c r="B76" s="11"/>
      <c r="C76" s="11"/>
      <c r="E76" s="7"/>
    </row>
    <row r="77">
      <c r="A77" s="11"/>
      <c r="B77" s="11"/>
      <c r="C77" s="11"/>
      <c r="E77" s="7"/>
    </row>
    <row r="78">
      <c r="A78" s="11"/>
      <c r="B78" s="11"/>
      <c r="C78" s="11"/>
      <c r="E78" s="7"/>
    </row>
    <row r="79">
      <c r="A79" s="11"/>
      <c r="B79" s="11"/>
      <c r="C79" s="11"/>
      <c r="E79" s="7"/>
    </row>
    <row r="80">
      <c r="A80" s="11"/>
      <c r="B80" s="11"/>
      <c r="C80" s="11"/>
      <c r="E80" s="7"/>
    </row>
    <row r="81">
      <c r="A81" s="11"/>
      <c r="B81" s="11"/>
      <c r="C81" s="11"/>
      <c r="E81" s="7"/>
    </row>
    <row r="82">
      <c r="A82" s="11"/>
      <c r="B82" s="11"/>
      <c r="C82" s="11"/>
      <c r="E82" s="7"/>
    </row>
    <row r="83">
      <c r="A83" s="11"/>
      <c r="B83" s="11"/>
      <c r="C83" s="11"/>
      <c r="E83" s="7"/>
    </row>
    <row r="84">
      <c r="A84" s="11"/>
      <c r="B84" s="11"/>
      <c r="C84" s="11"/>
      <c r="E84" s="7"/>
    </row>
    <row r="85">
      <c r="A85" s="11"/>
      <c r="B85" s="11"/>
      <c r="C85" s="11"/>
      <c r="E85" s="7"/>
    </row>
    <row r="86">
      <c r="A86" s="11"/>
      <c r="B86" s="11"/>
      <c r="C86" s="11"/>
      <c r="E86" s="7"/>
    </row>
    <row r="87">
      <c r="A87" s="11"/>
      <c r="B87" s="11"/>
      <c r="C87" s="11"/>
      <c r="E87" s="7"/>
    </row>
    <row r="88">
      <c r="A88" s="11"/>
      <c r="B88" s="11"/>
      <c r="C88" s="11"/>
      <c r="E88" s="7"/>
    </row>
    <row r="89">
      <c r="A89" s="11"/>
      <c r="B89" s="11"/>
      <c r="C89" s="11"/>
      <c r="E89" s="7"/>
    </row>
    <row r="90">
      <c r="A90" s="11"/>
      <c r="B90" s="11"/>
      <c r="C90" s="11"/>
      <c r="E90" s="7"/>
    </row>
    <row r="91">
      <c r="A91" s="11"/>
      <c r="B91" s="11"/>
      <c r="C91" s="11"/>
      <c r="E91" s="7"/>
    </row>
    <row r="92">
      <c r="A92" s="11"/>
      <c r="B92" s="11"/>
      <c r="C92" s="11"/>
      <c r="E92" s="7"/>
    </row>
    <row r="93">
      <c r="A93" s="11"/>
      <c r="B93" s="11"/>
      <c r="C93" s="11"/>
      <c r="E93" s="7"/>
    </row>
    <row r="94">
      <c r="A94" s="11"/>
      <c r="B94" s="11"/>
      <c r="C94" s="11"/>
      <c r="E94" s="7"/>
    </row>
    <row r="95">
      <c r="A95" s="11"/>
      <c r="B95" s="11"/>
      <c r="C95" s="11"/>
      <c r="E95" s="7"/>
    </row>
    <row r="96">
      <c r="A96" s="11"/>
      <c r="B96" s="11"/>
      <c r="C96" s="11"/>
      <c r="E96" s="7"/>
    </row>
    <row r="97">
      <c r="A97" s="11"/>
      <c r="B97" s="11"/>
      <c r="C97" s="11"/>
      <c r="E97" s="7"/>
    </row>
    <row r="98">
      <c r="A98" s="11"/>
      <c r="B98" s="11"/>
      <c r="C98" s="11"/>
      <c r="E98" s="7"/>
    </row>
    <row r="99">
      <c r="A99" s="11"/>
      <c r="B99" s="11"/>
      <c r="C99" s="11"/>
      <c r="E99" s="7"/>
    </row>
    <row r="100">
      <c r="A100" s="11"/>
      <c r="B100" s="11"/>
      <c r="C100" s="11"/>
      <c r="E100" s="7"/>
    </row>
    <row r="101">
      <c r="A101" s="11"/>
      <c r="B101" s="11"/>
      <c r="C101" s="11"/>
      <c r="E101" s="7"/>
    </row>
    <row r="102">
      <c r="A102" s="11"/>
      <c r="B102" s="11"/>
      <c r="C102" s="11"/>
      <c r="E102" s="7"/>
    </row>
    <row r="103">
      <c r="A103" s="11"/>
      <c r="B103" s="11"/>
      <c r="C103" s="11"/>
      <c r="E103" s="7"/>
    </row>
    <row r="104">
      <c r="A104" s="11"/>
      <c r="B104" s="11"/>
      <c r="C104" s="11"/>
      <c r="E104" s="7"/>
    </row>
    <row r="105">
      <c r="A105" s="11"/>
      <c r="B105" s="11"/>
      <c r="C105" s="11"/>
      <c r="E105" s="7"/>
    </row>
    <row r="106">
      <c r="A106" s="11"/>
      <c r="B106" s="11"/>
      <c r="C106" s="11"/>
      <c r="E106" s="7"/>
    </row>
    <row r="107">
      <c r="A107" s="11"/>
      <c r="B107" s="11"/>
      <c r="C107" s="11"/>
      <c r="E107" s="7"/>
    </row>
    <row r="108">
      <c r="A108" s="11"/>
      <c r="B108" s="11"/>
      <c r="C108" s="11"/>
      <c r="E108" s="7"/>
    </row>
    <row r="109">
      <c r="A109" s="11"/>
      <c r="B109" s="11"/>
      <c r="C109" s="11"/>
      <c r="E109" s="7"/>
    </row>
    <row r="110">
      <c r="A110" s="11"/>
      <c r="B110" s="11"/>
      <c r="C110" s="11"/>
      <c r="E110" s="7"/>
    </row>
    <row r="111">
      <c r="A111" s="11"/>
      <c r="B111" s="11"/>
      <c r="C111" s="11"/>
      <c r="E111" s="7"/>
    </row>
    <row r="112">
      <c r="A112" s="11"/>
      <c r="B112" s="11"/>
      <c r="C112" s="11"/>
      <c r="E112" s="7"/>
    </row>
    <row r="113">
      <c r="A113" s="11"/>
      <c r="B113" s="11"/>
      <c r="C113" s="11"/>
      <c r="E113" s="7"/>
    </row>
    <row r="114">
      <c r="A114" s="11"/>
      <c r="B114" s="11"/>
      <c r="C114" s="11"/>
      <c r="E114" s="7"/>
    </row>
    <row r="115">
      <c r="A115" s="11"/>
      <c r="B115" s="11"/>
      <c r="C115" s="11"/>
      <c r="E115" s="7"/>
    </row>
    <row r="116">
      <c r="A116" s="11"/>
      <c r="B116" s="11"/>
      <c r="C116" s="11"/>
      <c r="E116" s="7"/>
    </row>
    <row r="117">
      <c r="A117" s="11"/>
      <c r="B117" s="11"/>
      <c r="C117" s="11"/>
      <c r="E117" s="7"/>
    </row>
    <row r="118">
      <c r="A118" s="11"/>
      <c r="B118" s="11"/>
      <c r="C118" s="11"/>
      <c r="E118" s="7"/>
    </row>
    <row r="119">
      <c r="A119" s="11"/>
      <c r="B119" s="11"/>
      <c r="C119" s="11"/>
      <c r="E119" s="7"/>
    </row>
    <row r="120">
      <c r="A120" s="11"/>
      <c r="B120" s="11"/>
      <c r="C120" s="11"/>
      <c r="E120" s="7"/>
    </row>
    <row r="121">
      <c r="A121" s="11"/>
      <c r="B121" s="11"/>
      <c r="C121" s="11"/>
      <c r="E121" s="7"/>
    </row>
    <row r="122">
      <c r="A122" s="11"/>
      <c r="B122" s="11"/>
      <c r="C122" s="11"/>
      <c r="E122" s="7"/>
    </row>
    <row r="123">
      <c r="A123" s="11"/>
      <c r="B123" s="11"/>
      <c r="C123" s="11"/>
      <c r="E123" s="7"/>
    </row>
    <row r="124">
      <c r="A124" s="11"/>
      <c r="B124" s="11"/>
      <c r="C124" s="11"/>
      <c r="E124" s="7"/>
    </row>
    <row r="125">
      <c r="A125" s="11"/>
      <c r="B125" s="11"/>
      <c r="C125" s="11"/>
      <c r="E125" s="7"/>
    </row>
    <row r="126">
      <c r="A126" s="11"/>
      <c r="B126" s="11"/>
      <c r="C126" s="11"/>
      <c r="E126" s="7"/>
    </row>
    <row r="127">
      <c r="A127" s="11"/>
      <c r="B127" s="11"/>
      <c r="C127" s="11"/>
      <c r="E127" s="7"/>
    </row>
    <row r="128">
      <c r="A128" s="11"/>
      <c r="B128" s="11"/>
      <c r="C128" s="11"/>
      <c r="E128" s="7"/>
    </row>
    <row r="129">
      <c r="A129" s="11"/>
      <c r="B129" s="11"/>
      <c r="C129" s="11"/>
      <c r="E129" s="7"/>
    </row>
    <row r="130">
      <c r="A130" s="11"/>
      <c r="B130" s="11"/>
      <c r="C130" s="11"/>
      <c r="E130" s="7"/>
    </row>
    <row r="131">
      <c r="A131" s="11"/>
      <c r="B131" s="11"/>
      <c r="C131" s="11"/>
      <c r="E131" s="7"/>
    </row>
    <row r="132">
      <c r="A132" s="11"/>
      <c r="B132" s="11"/>
      <c r="C132" s="11"/>
      <c r="E132" s="7"/>
    </row>
    <row r="133">
      <c r="A133" s="11"/>
      <c r="B133" s="11"/>
      <c r="C133" s="11"/>
      <c r="E133" s="7"/>
    </row>
    <row r="134">
      <c r="A134" s="11"/>
      <c r="B134" s="11"/>
      <c r="C134" s="11"/>
      <c r="E134" s="7"/>
    </row>
    <row r="135">
      <c r="A135" s="11"/>
      <c r="B135" s="11"/>
      <c r="C135" s="11"/>
      <c r="E135" s="7"/>
    </row>
    <row r="136">
      <c r="A136" s="11"/>
      <c r="B136" s="11"/>
      <c r="C136" s="11"/>
      <c r="E136" s="7"/>
    </row>
    <row r="137">
      <c r="A137" s="11"/>
      <c r="B137" s="11"/>
      <c r="C137" s="11"/>
      <c r="E137" s="7"/>
    </row>
    <row r="138">
      <c r="A138" s="11"/>
      <c r="B138" s="11"/>
      <c r="C138" s="11"/>
      <c r="E138" s="7"/>
    </row>
    <row r="139">
      <c r="A139" s="11"/>
      <c r="B139" s="11"/>
      <c r="C139" s="11"/>
      <c r="E139" s="7"/>
    </row>
    <row r="140">
      <c r="A140" s="11"/>
      <c r="B140" s="11"/>
      <c r="C140" s="11"/>
      <c r="E140" s="7"/>
    </row>
    <row r="141">
      <c r="A141" s="11"/>
      <c r="B141" s="11"/>
      <c r="C141" s="11"/>
      <c r="E141" s="7"/>
    </row>
    <row r="142">
      <c r="A142" s="11"/>
      <c r="B142" s="11"/>
      <c r="C142" s="11"/>
      <c r="E142" s="7"/>
    </row>
    <row r="143">
      <c r="A143" s="11"/>
      <c r="B143" s="11"/>
      <c r="C143" s="11"/>
      <c r="E143" s="7"/>
    </row>
    <row r="144">
      <c r="A144" s="11"/>
      <c r="B144" s="11"/>
      <c r="C144" s="11"/>
      <c r="E144" s="7"/>
    </row>
    <row r="145">
      <c r="A145" s="11"/>
      <c r="B145" s="11"/>
      <c r="C145" s="11"/>
      <c r="E145" s="7"/>
    </row>
    <row r="146">
      <c r="A146" s="11"/>
      <c r="B146" s="11"/>
      <c r="C146" s="11"/>
      <c r="E146" s="7"/>
    </row>
    <row r="147">
      <c r="A147" s="11"/>
      <c r="B147" s="11"/>
      <c r="C147" s="11"/>
      <c r="E147" s="7"/>
    </row>
    <row r="148">
      <c r="A148" s="11"/>
      <c r="B148" s="11"/>
      <c r="C148" s="11"/>
      <c r="E148" s="7"/>
    </row>
    <row r="149">
      <c r="A149" s="11"/>
      <c r="B149" s="11"/>
      <c r="C149" s="11"/>
      <c r="E149" s="7"/>
    </row>
    <row r="150">
      <c r="A150" s="11"/>
      <c r="B150" s="11"/>
      <c r="C150" s="11"/>
      <c r="E150" s="7"/>
    </row>
    <row r="151">
      <c r="A151" s="11"/>
      <c r="B151" s="11"/>
      <c r="C151" s="11"/>
      <c r="E151" s="7"/>
    </row>
    <row r="152">
      <c r="A152" s="11"/>
      <c r="B152" s="11"/>
      <c r="C152" s="11"/>
      <c r="E152" s="7"/>
    </row>
    <row r="153">
      <c r="A153" s="11"/>
      <c r="B153" s="11"/>
      <c r="C153" s="11"/>
      <c r="E153" s="7"/>
    </row>
    <row r="154">
      <c r="A154" s="11"/>
      <c r="B154" s="11"/>
      <c r="C154" s="11"/>
      <c r="E154" s="7"/>
    </row>
    <row r="155">
      <c r="A155" s="11"/>
      <c r="B155" s="11"/>
      <c r="C155" s="11"/>
      <c r="E155" s="7"/>
    </row>
    <row r="156">
      <c r="A156" s="11"/>
      <c r="B156" s="11"/>
      <c r="C156" s="11"/>
      <c r="E156" s="7"/>
    </row>
    <row r="157">
      <c r="A157" s="11"/>
      <c r="B157" s="11"/>
      <c r="C157" s="11"/>
      <c r="E157" s="7"/>
    </row>
    <row r="158">
      <c r="A158" s="11"/>
      <c r="B158" s="11"/>
      <c r="C158" s="11"/>
      <c r="E158" s="7"/>
    </row>
    <row r="159">
      <c r="A159" s="11"/>
      <c r="B159" s="11"/>
      <c r="C159" s="11"/>
      <c r="E159" s="7"/>
    </row>
    <row r="160">
      <c r="A160" s="11"/>
      <c r="B160" s="11"/>
      <c r="C160" s="11"/>
      <c r="E160" s="7"/>
    </row>
    <row r="161">
      <c r="A161" s="11"/>
      <c r="B161" s="11"/>
      <c r="C161" s="11"/>
      <c r="E161" s="7"/>
    </row>
    <row r="162">
      <c r="A162" s="11"/>
      <c r="B162" s="11"/>
      <c r="C162" s="11"/>
      <c r="E162" s="7"/>
    </row>
    <row r="163">
      <c r="A163" s="11"/>
      <c r="B163" s="11"/>
      <c r="C163" s="11"/>
      <c r="E163" s="7"/>
    </row>
    <row r="164">
      <c r="A164" s="11"/>
      <c r="B164" s="11"/>
      <c r="C164" s="11"/>
      <c r="E164" s="7"/>
    </row>
    <row r="165">
      <c r="A165" s="11"/>
      <c r="B165" s="11"/>
      <c r="C165" s="11"/>
      <c r="E165" s="7"/>
    </row>
    <row r="166">
      <c r="A166" s="11"/>
      <c r="B166" s="11"/>
      <c r="C166" s="11"/>
      <c r="E166" s="7"/>
    </row>
    <row r="167">
      <c r="A167" s="11"/>
      <c r="B167" s="11"/>
      <c r="C167" s="11"/>
      <c r="E167" s="7"/>
    </row>
    <row r="168">
      <c r="A168" s="11"/>
      <c r="B168" s="11"/>
      <c r="C168" s="11"/>
      <c r="E168" s="7"/>
    </row>
    <row r="169">
      <c r="A169" s="11"/>
      <c r="B169" s="11"/>
      <c r="C169" s="11"/>
      <c r="E169" s="7"/>
    </row>
    <row r="170">
      <c r="A170" s="11"/>
      <c r="B170" s="11"/>
      <c r="C170" s="11"/>
      <c r="E170" s="7"/>
    </row>
    <row r="171">
      <c r="A171" s="11"/>
      <c r="B171" s="11"/>
      <c r="C171" s="11"/>
      <c r="E171" s="7"/>
    </row>
    <row r="172">
      <c r="A172" s="11"/>
      <c r="B172" s="11"/>
      <c r="C172" s="11"/>
      <c r="E172" s="7"/>
    </row>
    <row r="173">
      <c r="A173" s="11"/>
      <c r="B173" s="11"/>
      <c r="C173" s="11"/>
      <c r="E173" s="7"/>
    </row>
    <row r="174">
      <c r="A174" s="11"/>
      <c r="B174" s="11"/>
      <c r="C174" s="11"/>
      <c r="E174" s="7"/>
    </row>
    <row r="175">
      <c r="A175" s="11"/>
      <c r="B175" s="11"/>
      <c r="C175" s="11"/>
      <c r="E175" s="7"/>
    </row>
    <row r="176">
      <c r="A176" s="11"/>
      <c r="B176" s="11"/>
      <c r="C176" s="11"/>
      <c r="E176" s="7"/>
    </row>
    <row r="177">
      <c r="A177" s="11"/>
      <c r="B177" s="11"/>
      <c r="C177" s="11"/>
      <c r="E177" s="7"/>
    </row>
    <row r="178">
      <c r="A178" s="11"/>
      <c r="B178" s="11"/>
      <c r="C178" s="11"/>
      <c r="E178" s="7"/>
    </row>
    <row r="179">
      <c r="A179" s="11"/>
      <c r="B179" s="11"/>
      <c r="C179" s="11"/>
      <c r="E179" s="7"/>
    </row>
    <row r="180">
      <c r="A180" s="11"/>
      <c r="B180" s="11"/>
      <c r="C180" s="11"/>
      <c r="E180" s="7"/>
    </row>
    <row r="181">
      <c r="A181" s="11"/>
      <c r="B181" s="11"/>
      <c r="C181" s="11"/>
      <c r="E181" s="7"/>
    </row>
    <row r="182">
      <c r="A182" s="11"/>
      <c r="B182" s="11"/>
      <c r="C182" s="11"/>
      <c r="E182" s="7"/>
    </row>
    <row r="183">
      <c r="A183" s="11"/>
      <c r="B183" s="11"/>
      <c r="C183" s="11"/>
      <c r="E183" s="7"/>
    </row>
    <row r="184">
      <c r="A184" s="11"/>
      <c r="B184" s="11"/>
      <c r="C184" s="11"/>
      <c r="E184" s="7"/>
    </row>
    <row r="185">
      <c r="A185" s="11"/>
      <c r="B185" s="11"/>
      <c r="C185" s="11"/>
      <c r="E185" s="7"/>
    </row>
    <row r="186">
      <c r="A186" s="11"/>
      <c r="B186" s="11"/>
      <c r="C186" s="11"/>
      <c r="E186" s="7"/>
    </row>
    <row r="187">
      <c r="A187" s="11"/>
      <c r="B187" s="11"/>
      <c r="C187" s="11"/>
      <c r="E187" s="7"/>
    </row>
    <row r="188">
      <c r="A188" s="11"/>
      <c r="B188" s="11"/>
      <c r="C188" s="11"/>
      <c r="E188" s="7"/>
    </row>
    <row r="189">
      <c r="A189" s="11"/>
      <c r="B189" s="11"/>
      <c r="C189" s="11"/>
      <c r="E189" s="7"/>
    </row>
    <row r="190">
      <c r="A190" s="11"/>
      <c r="B190" s="11"/>
      <c r="C190" s="11"/>
      <c r="E190" s="7"/>
    </row>
    <row r="191">
      <c r="A191" s="11"/>
      <c r="B191" s="11"/>
      <c r="C191" s="11"/>
      <c r="E191" s="7"/>
    </row>
    <row r="192">
      <c r="A192" s="11"/>
      <c r="B192" s="11"/>
      <c r="C192" s="11"/>
      <c r="E192" s="7"/>
    </row>
    <row r="193">
      <c r="A193" s="11"/>
      <c r="B193" s="11"/>
      <c r="C193" s="11"/>
      <c r="E193" s="7"/>
    </row>
    <row r="194">
      <c r="A194" s="11"/>
      <c r="B194" s="11"/>
      <c r="C194" s="11"/>
      <c r="E194" s="7"/>
    </row>
    <row r="195">
      <c r="A195" s="11"/>
      <c r="B195" s="11"/>
      <c r="C195" s="11"/>
      <c r="E195" s="7"/>
    </row>
    <row r="196">
      <c r="A196" s="11"/>
      <c r="B196" s="11"/>
      <c r="C196" s="11"/>
      <c r="E196" s="7"/>
    </row>
    <row r="197">
      <c r="A197" s="11"/>
      <c r="B197" s="11"/>
      <c r="C197" s="11"/>
      <c r="E197" s="7"/>
    </row>
    <row r="198">
      <c r="A198" s="11"/>
      <c r="B198" s="11"/>
      <c r="C198" s="11"/>
      <c r="E198" s="7"/>
    </row>
    <row r="199">
      <c r="A199" s="11"/>
      <c r="B199" s="11"/>
      <c r="C199" s="11"/>
      <c r="E199" s="7"/>
    </row>
    <row r="200">
      <c r="A200" s="11"/>
      <c r="B200" s="11"/>
      <c r="C200" s="11"/>
      <c r="E200" s="7"/>
    </row>
    <row r="201">
      <c r="A201" s="11"/>
      <c r="B201" s="11"/>
      <c r="C201" s="11"/>
      <c r="E201" s="7"/>
    </row>
    <row r="202">
      <c r="A202" s="11"/>
      <c r="B202" s="11"/>
      <c r="C202" s="11"/>
      <c r="E202" s="7"/>
    </row>
    <row r="203">
      <c r="A203" s="11"/>
      <c r="B203" s="11"/>
      <c r="C203" s="11"/>
      <c r="E203" s="7"/>
    </row>
    <row r="204">
      <c r="A204" s="11"/>
      <c r="B204" s="11"/>
      <c r="C204" s="11"/>
      <c r="E204" s="7"/>
    </row>
    <row r="205">
      <c r="A205" s="11"/>
      <c r="B205" s="11"/>
      <c r="C205" s="11"/>
      <c r="E205" s="7"/>
    </row>
    <row r="206">
      <c r="A206" s="11"/>
      <c r="B206" s="11"/>
      <c r="C206" s="11"/>
      <c r="E206" s="7"/>
    </row>
    <row r="207">
      <c r="A207" s="11"/>
      <c r="B207" s="11"/>
      <c r="C207" s="11"/>
      <c r="E207" s="7"/>
    </row>
    <row r="208">
      <c r="A208" s="11"/>
      <c r="B208" s="11"/>
      <c r="C208" s="11"/>
      <c r="E208" s="7"/>
    </row>
    <row r="209">
      <c r="A209" s="11"/>
      <c r="B209" s="11"/>
      <c r="C209" s="11"/>
      <c r="E209" s="7"/>
    </row>
    <row r="210">
      <c r="A210" s="11"/>
      <c r="B210" s="11"/>
      <c r="C210" s="11"/>
      <c r="E210" s="7"/>
    </row>
    <row r="211">
      <c r="A211" s="11"/>
      <c r="B211" s="11"/>
      <c r="C211" s="11"/>
      <c r="E211" s="7"/>
    </row>
    <row r="212">
      <c r="A212" s="11"/>
      <c r="B212" s="11"/>
      <c r="C212" s="11"/>
      <c r="E212" s="7"/>
    </row>
    <row r="213">
      <c r="A213" s="11"/>
      <c r="B213" s="11"/>
      <c r="C213" s="11"/>
      <c r="E213" s="7"/>
    </row>
    <row r="214">
      <c r="A214" s="11"/>
      <c r="B214" s="11"/>
      <c r="C214" s="11"/>
      <c r="E214" s="7"/>
    </row>
    <row r="215">
      <c r="A215" s="11"/>
      <c r="B215" s="11"/>
      <c r="C215" s="11"/>
      <c r="E215" s="7"/>
    </row>
    <row r="216">
      <c r="A216" s="11"/>
      <c r="B216" s="11"/>
      <c r="C216" s="11"/>
      <c r="E216" s="7"/>
    </row>
    <row r="217">
      <c r="A217" s="11"/>
      <c r="B217" s="11"/>
      <c r="C217" s="11"/>
      <c r="E217" s="7"/>
    </row>
    <row r="218">
      <c r="A218" s="11"/>
      <c r="B218" s="11"/>
      <c r="C218" s="11"/>
      <c r="E218" s="7"/>
    </row>
    <row r="219">
      <c r="A219" s="11"/>
      <c r="B219" s="11"/>
      <c r="C219" s="11"/>
      <c r="E219" s="7"/>
    </row>
    <row r="220">
      <c r="A220" s="11"/>
      <c r="B220" s="11"/>
      <c r="C220" s="11"/>
      <c r="E220" s="7"/>
    </row>
    <row r="221">
      <c r="A221" s="11"/>
      <c r="B221" s="11"/>
      <c r="C221" s="11"/>
      <c r="E221" s="7"/>
    </row>
    <row r="222">
      <c r="A222" s="11"/>
      <c r="B222" s="11"/>
      <c r="C222" s="11"/>
      <c r="E222" s="7"/>
    </row>
    <row r="223">
      <c r="A223" s="11"/>
      <c r="B223" s="11"/>
      <c r="C223" s="11"/>
      <c r="E223" s="7"/>
    </row>
    <row r="224">
      <c r="A224" s="11"/>
      <c r="B224" s="11"/>
      <c r="C224" s="11"/>
      <c r="E224" s="7"/>
    </row>
    <row r="225">
      <c r="A225" s="11"/>
      <c r="B225" s="11"/>
      <c r="C225" s="11"/>
      <c r="E225" s="7"/>
    </row>
    <row r="226">
      <c r="A226" s="11"/>
      <c r="B226" s="11"/>
      <c r="C226" s="11"/>
      <c r="E226" s="7"/>
    </row>
    <row r="227">
      <c r="A227" s="11"/>
      <c r="B227" s="11"/>
      <c r="C227" s="11"/>
      <c r="E227" s="7"/>
    </row>
    <row r="228">
      <c r="A228" s="11"/>
      <c r="B228" s="11"/>
      <c r="C228" s="11"/>
      <c r="E228" s="7"/>
    </row>
    <row r="229">
      <c r="A229" s="11"/>
      <c r="B229" s="11"/>
      <c r="C229" s="11"/>
      <c r="E229" s="7"/>
    </row>
    <row r="230">
      <c r="A230" s="11"/>
      <c r="B230" s="11"/>
      <c r="C230" s="11"/>
      <c r="E230" s="7"/>
    </row>
    <row r="231">
      <c r="A231" s="11"/>
      <c r="B231" s="11"/>
      <c r="C231" s="11"/>
      <c r="E231" s="7"/>
    </row>
    <row r="232">
      <c r="A232" s="11"/>
      <c r="B232" s="11"/>
      <c r="C232" s="11"/>
      <c r="E232" s="7"/>
    </row>
    <row r="233">
      <c r="A233" s="11"/>
      <c r="B233" s="11"/>
      <c r="C233" s="11"/>
      <c r="E233" s="7"/>
    </row>
    <row r="234">
      <c r="A234" s="11"/>
      <c r="B234" s="11"/>
      <c r="C234" s="11"/>
      <c r="E234" s="7"/>
    </row>
    <row r="235">
      <c r="A235" s="11"/>
      <c r="B235" s="11"/>
      <c r="C235" s="11"/>
      <c r="E235" s="7"/>
    </row>
    <row r="236">
      <c r="A236" s="11"/>
      <c r="B236" s="11"/>
      <c r="C236" s="11"/>
      <c r="E236" s="7"/>
    </row>
    <row r="237">
      <c r="A237" s="11"/>
      <c r="B237" s="11"/>
      <c r="C237" s="11"/>
      <c r="E237" s="7"/>
    </row>
    <row r="238">
      <c r="A238" s="11"/>
      <c r="B238" s="11"/>
      <c r="C238" s="11"/>
      <c r="E238" s="7"/>
    </row>
    <row r="239">
      <c r="A239" s="11"/>
      <c r="B239" s="11"/>
      <c r="C239" s="11"/>
      <c r="E239" s="7"/>
    </row>
    <row r="240">
      <c r="A240" s="11"/>
      <c r="B240" s="11"/>
      <c r="C240" s="11"/>
      <c r="E240" s="7"/>
    </row>
    <row r="241">
      <c r="A241" s="11"/>
      <c r="B241" s="11"/>
      <c r="C241" s="11"/>
      <c r="E241" s="7"/>
    </row>
    <row r="242">
      <c r="A242" s="11"/>
      <c r="B242" s="11"/>
      <c r="C242" s="11"/>
      <c r="E242" s="7"/>
    </row>
    <row r="243">
      <c r="A243" s="11"/>
      <c r="B243" s="11"/>
      <c r="C243" s="11"/>
      <c r="E243" s="7"/>
    </row>
    <row r="244">
      <c r="A244" s="11"/>
      <c r="B244" s="11"/>
      <c r="C244" s="11"/>
      <c r="E244" s="7"/>
    </row>
    <row r="245">
      <c r="A245" s="11"/>
      <c r="B245" s="11"/>
      <c r="C245" s="11"/>
      <c r="E245" s="7"/>
    </row>
    <row r="246">
      <c r="A246" s="11"/>
      <c r="B246" s="11"/>
      <c r="C246" s="11"/>
      <c r="E246" s="7"/>
    </row>
    <row r="247">
      <c r="A247" s="11"/>
      <c r="B247" s="11"/>
      <c r="C247" s="11"/>
      <c r="E247" s="7"/>
    </row>
    <row r="248">
      <c r="A248" s="11"/>
      <c r="B248" s="11"/>
      <c r="C248" s="11"/>
      <c r="E248" s="7"/>
    </row>
    <row r="249">
      <c r="A249" s="11"/>
      <c r="B249" s="11"/>
      <c r="C249" s="11"/>
      <c r="E249" s="7"/>
    </row>
    <row r="250">
      <c r="A250" s="11"/>
      <c r="B250" s="11"/>
      <c r="C250" s="11"/>
      <c r="E250" s="7"/>
    </row>
    <row r="251">
      <c r="A251" s="11"/>
      <c r="B251" s="11"/>
      <c r="C251" s="11"/>
      <c r="E251" s="7"/>
    </row>
    <row r="252">
      <c r="A252" s="11"/>
      <c r="B252" s="11"/>
      <c r="C252" s="11"/>
      <c r="E252" s="7"/>
    </row>
    <row r="253">
      <c r="A253" s="11"/>
      <c r="B253" s="11"/>
      <c r="C253" s="11"/>
      <c r="E253" s="7"/>
    </row>
    <row r="254">
      <c r="A254" s="11"/>
      <c r="B254" s="11"/>
      <c r="C254" s="11"/>
      <c r="E254" s="7"/>
    </row>
    <row r="255">
      <c r="A255" s="11"/>
      <c r="B255" s="11"/>
      <c r="C255" s="11"/>
      <c r="E255" s="7"/>
    </row>
    <row r="256">
      <c r="A256" s="11"/>
      <c r="B256" s="11"/>
      <c r="C256" s="11"/>
      <c r="E256" s="7"/>
    </row>
    <row r="257">
      <c r="A257" s="11"/>
      <c r="B257" s="11"/>
      <c r="C257" s="11"/>
      <c r="E257" s="7"/>
    </row>
    <row r="258">
      <c r="A258" s="11"/>
      <c r="B258" s="11"/>
      <c r="C258" s="11"/>
      <c r="E258" s="7"/>
    </row>
    <row r="259">
      <c r="A259" s="11"/>
      <c r="B259" s="11"/>
      <c r="C259" s="11"/>
      <c r="E259" s="7"/>
    </row>
    <row r="260">
      <c r="A260" s="11"/>
      <c r="B260" s="11"/>
      <c r="C260" s="11"/>
      <c r="E260" s="7"/>
    </row>
    <row r="261">
      <c r="A261" s="11"/>
      <c r="B261" s="11"/>
      <c r="C261" s="11"/>
      <c r="E261" s="7"/>
    </row>
    <row r="262">
      <c r="A262" s="11"/>
      <c r="B262" s="11"/>
      <c r="C262" s="11"/>
      <c r="E262" s="7"/>
    </row>
    <row r="263">
      <c r="A263" s="11"/>
      <c r="B263" s="11"/>
      <c r="C263" s="11"/>
      <c r="E263" s="7"/>
    </row>
    <row r="264">
      <c r="A264" s="11"/>
      <c r="B264" s="11"/>
      <c r="C264" s="11"/>
      <c r="E264" s="7"/>
    </row>
    <row r="265">
      <c r="A265" s="11"/>
      <c r="B265" s="11"/>
      <c r="C265" s="11"/>
      <c r="E265" s="7"/>
    </row>
    <row r="266">
      <c r="A266" s="11"/>
      <c r="B266" s="11"/>
      <c r="C266" s="11"/>
      <c r="E266" s="7"/>
    </row>
    <row r="267">
      <c r="A267" s="11"/>
      <c r="B267" s="11"/>
      <c r="C267" s="11"/>
      <c r="E267" s="7"/>
    </row>
    <row r="268">
      <c r="A268" s="11"/>
      <c r="B268" s="11"/>
      <c r="C268" s="11"/>
      <c r="E268" s="7"/>
    </row>
    <row r="269">
      <c r="A269" s="11"/>
      <c r="B269" s="11"/>
      <c r="C269" s="11"/>
      <c r="E269" s="7"/>
    </row>
    <row r="270">
      <c r="A270" s="11"/>
      <c r="B270" s="11"/>
      <c r="C270" s="11"/>
      <c r="E270" s="7"/>
    </row>
    <row r="271">
      <c r="A271" s="11"/>
      <c r="B271" s="11"/>
      <c r="C271" s="11"/>
      <c r="E271" s="7"/>
    </row>
    <row r="272">
      <c r="A272" s="11"/>
      <c r="B272" s="11"/>
      <c r="C272" s="11"/>
      <c r="E272" s="7"/>
    </row>
    <row r="273">
      <c r="A273" s="11"/>
      <c r="B273" s="11"/>
      <c r="C273" s="11"/>
      <c r="E273" s="7"/>
    </row>
    <row r="274">
      <c r="A274" s="11"/>
      <c r="B274" s="11"/>
      <c r="C274" s="11"/>
      <c r="E274" s="7"/>
    </row>
    <row r="275">
      <c r="A275" s="11"/>
      <c r="B275" s="11"/>
      <c r="C275" s="11"/>
      <c r="E275" s="7"/>
    </row>
    <row r="276">
      <c r="A276" s="11"/>
      <c r="B276" s="11"/>
      <c r="C276" s="11"/>
      <c r="E276" s="7"/>
    </row>
    <row r="277">
      <c r="A277" s="11"/>
      <c r="B277" s="11"/>
      <c r="C277" s="11"/>
      <c r="E277" s="7"/>
    </row>
    <row r="278">
      <c r="A278" s="11"/>
      <c r="B278" s="11"/>
      <c r="C278" s="11"/>
      <c r="E278" s="7"/>
    </row>
    <row r="279">
      <c r="A279" s="11"/>
      <c r="B279" s="11"/>
      <c r="C279" s="11"/>
      <c r="E279" s="7"/>
    </row>
    <row r="280">
      <c r="A280" s="11"/>
      <c r="B280" s="11"/>
      <c r="C280" s="11"/>
      <c r="E280" s="7"/>
    </row>
    <row r="281">
      <c r="A281" s="11"/>
      <c r="B281" s="11"/>
      <c r="C281" s="11"/>
      <c r="E281" s="7"/>
    </row>
    <row r="282">
      <c r="A282" s="11"/>
      <c r="B282" s="11"/>
      <c r="C282" s="11"/>
      <c r="E282" s="7"/>
    </row>
    <row r="283">
      <c r="A283" s="11"/>
      <c r="B283" s="11"/>
      <c r="C283" s="11"/>
      <c r="E283" s="7"/>
    </row>
    <row r="284">
      <c r="A284" s="11"/>
      <c r="B284" s="11"/>
      <c r="C284" s="11"/>
      <c r="E284" s="7"/>
    </row>
    <row r="285">
      <c r="A285" s="11"/>
      <c r="B285" s="11"/>
      <c r="C285" s="11"/>
      <c r="E285" s="7"/>
    </row>
    <row r="286">
      <c r="A286" s="11"/>
      <c r="B286" s="11"/>
      <c r="C286" s="11"/>
      <c r="E286" s="7"/>
    </row>
    <row r="287">
      <c r="A287" s="11"/>
      <c r="B287" s="11"/>
      <c r="C287" s="11"/>
      <c r="E287" s="7"/>
    </row>
    <row r="288">
      <c r="A288" s="11"/>
      <c r="B288" s="11"/>
      <c r="C288" s="11"/>
      <c r="E288" s="7"/>
    </row>
    <row r="289">
      <c r="A289" s="11"/>
      <c r="B289" s="11"/>
      <c r="C289" s="11"/>
      <c r="E289" s="7"/>
    </row>
    <row r="290">
      <c r="A290" s="11"/>
      <c r="B290" s="11"/>
      <c r="C290" s="11"/>
      <c r="E290" s="7"/>
    </row>
    <row r="291">
      <c r="A291" s="11"/>
      <c r="B291" s="11"/>
      <c r="C291" s="11"/>
      <c r="E291" s="7"/>
    </row>
    <row r="292">
      <c r="A292" s="11"/>
      <c r="B292" s="11"/>
      <c r="C292" s="11"/>
      <c r="E292" s="7"/>
    </row>
    <row r="293">
      <c r="A293" s="11"/>
      <c r="B293" s="11"/>
      <c r="C293" s="11"/>
      <c r="E293" s="7"/>
    </row>
    <row r="294">
      <c r="A294" s="11"/>
      <c r="B294" s="11"/>
      <c r="C294" s="11"/>
      <c r="E294" s="7"/>
    </row>
    <row r="295">
      <c r="A295" s="11"/>
      <c r="B295" s="11"/>
      <c r="C295" s="11"/>
      <c r="E295" s="7"/>
    </row>
    <row r="296">
      <c r="A296" s="11"/>
      <c r="B296" s="11"/>
      <c r="C296" s="11"/>
      <c r="E296" s="7"/>
    </row>
    <row r="297">
      <c r="A297" s="11"/>
      <c r="B297" s="11"/>
      <c r="C297" s="11"/>
      <c r="E297" s="7"/>
    </row>
    <row r="298">
      <c r="A298" s="11"/>
      <c r="B298" s="11"/>
      <c r="C298" s="11"/>
      <c r="E298" s="7"/>
    </row>
    <row r="299">
      <c r="A299" s="11"/>
      <c r="B299" s="11"/>
      <c r="C299" s="11"/>
      <c r="E299" s="7"/>
    </row>
    <row r="300">
      <c r="A300" s="11"/>
      <c r="B300" s="11"/>
      <c r="C300" s="11"/>
      <c r="E300" s="7"/>
    </row>
    <row r="301">
      <c r="A301" s="11"/>
      <c r="B301" s="11"/>
      <c r="C301" s="11"/>
      <c r="E301" s="7"/>
    </row>
    <row r="302">
      <c r="A302" s="11"/>
      <c r="B302" s="11"/>
      <c r="C302" s="11"/>
      <c r="E302" s="7"/>
    </row>
    <row r="303">
      <c r="A303" s="11"/>
      <c r="B303" s="11"/>
      <c r="C303" s="11"/>
      <c r="E303" s="7"/>
    </row>
    <row r="304">
      <c r="A304" s="11"/>
      <c r="B304" s="11"/>
      <c r="C304" s="11"/>
      <c r="E304" s="7"/>
    </row>
    <row r="305">
      <c r="A305" s="11"/>
      <c r="B305" s="11"/>
      <c r="C305" s="11"/>
      <c r="E305" s="7"/>
    </row>
    <row r="306">
      <c r="A306" s="11"/>
      <c r="B306" s="11"/>
      <c r="C306" s="11"/>
      <c r="E306" s="7"/>
    </row>
    <row r="307">
      <c r="A307" s="11"/>
      <c r="B307" s="11"/>
      <c r="C307" s="11"/>
      <c r="E307" s="7"/>
    </row>
    <row r="308">
      <c r="A308" s="11"/>
      <c r="B308" s="11"/>
      <c r="C308" s="11"/>
      <c r="E308" s="7"/>
    </row>
    <row r="309">
      <c r="A309" s="11"/>
      <c r="B309" s="11"/>
      <c r="C309" s="11"/>
      <c r="E309" s="7"/>
    </row>
    <row r="310">
      <c r="A310" s="11"/>
      <c r="B310" s="11"/>
      <c r="C310" s="11"/>
      <c r="E310" s="7"/>
    </row>
    <row r="311">
      <c r="A311" s="11"/>
      <c r="B311" s="11"/>
      <c r="C311" s="11"/>
      <c r="E311" s="7"/>
    </row>
    <row r="312">
      <c r="A312" s="11"/>
      <c r="B312" s="11"/>
      <c r="C312" s="11"/>
      <c r="E312" s="7"/>
    </row>
    <row r="313">
      <c r="A313" s="11"/>
      <c r="B313" s="11"/>
      <c r="C313" s="11"/>
      <c r="E313" s="7"/>
    </row>
    <row r="314">
      <c r="A314" s="11"/>
      <c r="B314" s="11"/>
      <c r="C314" s="11"/>
      <c r="E314" s="7"/>
    </row>
    <row r="315">
      <c r="A315" s="11"/>
      <c r="B315" s="11"/>
      <c r="C315" s="11"/>
      <c r="E315" s="7"/>
    </row>
    <row r="316">
      <c r="A316" s="11"/>
      <c r="B316" s="11"/>
      <c r="C316" s="11"/>
      <c r="E316" s="7"/>
    </row>
    <row r="317">
      <c r="A317" s="11"/>
      <c r="B317" s="11"/>
      <c r="C317" s="11"/>
      <c r="E317" s="7"/>
    </row>
    <row r="318">
      <c r="A318" s="11"/>
      <c r="B318" s="11"/>
      <c r="C318" s="11"/>
      <c r="E318" s="7"/>
    </row>
    <row r="319">
      <c r="A319" s="11"/>
      <c r="B319" s="11"/>
      <c r="C319" s="11"/>
      <c r="E319" s="7"/>
    </row>
    <row r="320">
      <c r="A320" s="11"/>
      <c r="B320" s="11"/>
      <c r="C320" s="11"/>
      <c r="E320" s="7"/>
    </row>
    <row r="321">
      <c r="A321" s="11"/>
      <c r="B321" s="11"/>
      <c r="C321" s="11"/>
      <c r="E321" s="7"/>
    </row>
    <row r="322">
      <c r="A322" s="11"/>
      <c r="B322" s="11"/>
      <c r="C322" s="11"/>
      <c r="E322" s="7"/>
    </row>
    <row r="323">
      <c r="A323" s="11"/>
      <c r="B323" s="11"/>
      <c r="C323" s="11"/>
      <c r="E323" s="7"/>
    </row>
    <row r="324">
      <c r="A324" s="11"/>
      <c r="B324" s="11"/>
      <c r="C324" s="11"/>
      <c r="E324" s="7"/>
    </row>
    <row r="325">
      <c r="A325" s="11"/>
      <c r="B325" s="11"/>
      <c r="C325" s="11"/>
      <c r="E325" s="7"/>
    </row>
    <row r="326">
      <c r="A326" s="11"/>
      <c r="B326" s="11"/>
      <c r="C326" s="11"/>
      <c r="E326" s="7"/>
    </row>
    <row r="327">
      <c r="A327" s="11"/>
      <c r="B327" s="11"/>
      <c r="C327" s="11"/>
      <c r="E327" s="7"/>
    </row>
    <row r="328">
      <c r="A328" s="11"/>
      <c r="B328" s="11"/>
      <c r="C328" s="11"/>
      <c r="E328" s="7"/>
    </row>
    <row r="329">
      <c r="A329" s="11"/>
      <c r="B329" s="11"/>
      <c r="C329" s="11"/>
      <c r="E329" s="7"/>
    </row>
    <row r="330">
      <c r="A330" s="11"/>
      <c r="B330" s="11"/>
      <c r="C330" s="11"/>
      <c r="E330" s="7"/>
    </row>
    <row r="331">
      <c r="A331" s="11"/>
      <c r="B331" s="11"/>
      <c r="C331" s="11"/>
      <c r="E331" s="7"/>
    </row>
    <row r="332">
      <c r="A332" s="11"/>
      <c r="B332" s="11"/>
      <c r="C332" s="11"/>
      <c r="E332" s="7"/>
    </row>
    <row r="333">
      <c r="A333" s="11"/>
      <c r="B333" s="11"/>
      <c r="C333" s="11"/>
      <c r="E333" s="7"/>
    </row>
    <row r="334">
      <c r="A334" s="11"/>
      <c r="B334" s="11"/>
      <c r="C334" s="11"/>
      <c r="E334" s="7"/>
    </row>
    <row r="335">
      <c r="A335" s="11"/>
      <c r="B335" s="11"/>
      <c r="C335" s="11"/>
      <c r="E335" s="7"/>
    </row>
    <row r="336">
      <c r="A336" s="11"/>
      <c r="B336" s="11"/>
      <c r="C336" s="11"/>
      <c r="E336" s="7"/>
    </row>
    <row r="337">
      <c r="A337" s="11"/>
      <c r="B337" s="11"/>
      <c r="C337" s="11"/>
      <c r="E337" s="7"/>
    </row>
    <row r="338">
      <c r="A338" s="11"/>
      <c r="B338" s="11"/>
      <c r="C338" s="11"/>
      <c r="E338" s="7"/>
    </row>
    <row r="339">
      <c r="A339" s="11"/>
      <c r="B339" s="11"/>
      <c r="C339" s="11"/>
      <c r="E339" s="7"/>
    </row>
    <row r="340">
      <c r="A340" s="11"/>
      <c r="B340" s="11"/>
      <c r="C340" s="11"/>
      <c r="E340" s="7"/>
    </row>
    <row r="341">
      <c r="A341" s="11"/>
      <c r="B341" s="11"/>
      <c r="C341" s="11"/>
      <c r="E341" s="7"/>
    </row>
    <row r="342">
      <c r="A342" s="11"/>
      <c r="B342" s="11"/>
      <c r="C342" s="11"/>
      <c r="E342" s="7"/>
    </row>
    <row r="343">
      <c r="A343" s="11"/>
      <c r="B343" s="11"/>
      <c r="C343" s="11"/>
      <c r="E343" s="7"/>
    </row>
    <row r="344">
      <c r="A344" s="11"/>
      <c r="B344" s="11"/>
      <c r="C344" s="11"/>
      <c r="E344" s="7"/>
    </row>
    <row r="345">
      <c r="A345" s="11"/>
      <c r="B345" s="11"/>
      <c r="C345" s="11"/>
      <c r="E345" s="7"/>
    </row>
    <row r="346">
      <c r="A346" s="11"/>
      <c r="B346" s="11"/>
      <c r="C346" s="11"/>
      <c r="E346" s="7"/>
    </row>
    <row r="347">
      <c r="A347" s="11"/>
      <c r="B347" s="11"/>
      <c r="C347" s="11"/>
      <c r="E347" s="7"/>
    </row>
    <row r="348">
      <c r="A348" s="11"/>
      <c r="B348" s="11"/>
      <c r="C348" s="11"/>
      <c r="E348" s="7"/>
    </row>
    <row r="349">
      <c r="A349" s="11"/>
      <c r="B349" s="11"/>
      <c r="C349" s="11"/>
      <c r="E349" s="7"/>
    </row>
    <row r="350">
      <c r="A350" s="11"/>
      <c r="B350" s="11"/>
      <c r="C350" s="11"/>
      <c r="E350" s="7"/>
    </row>
    <row r="351">
      <c r="A351" s="11"/>
      <c r="B351" s="11"/>
      <c r="C351" s="11"/>
      <c r="E351" s="7"/>
    </row>
    <row r="352">
      <c r="A352" s="11"/>
      <c r="B352" s="11"/>
      <c r="C352" s="11"/>
      <c r="E352" s="7"/>
    </row>
    <row r="353">
      <c r="A353" s="11"/>
      <c r="B353" s="11"/>
      <c r="C353" s="11"/>
      <c r="E353" s="7"/>
    </row>
    <row r="354">
      <c r="A354" s="11"/>
      <c r="B354" s="11"/>
      <c r="C354" s="11"/>
      <c r="E354" s="7"/>
    </row>
    <row r="355">
      <c r="A355" s="11"/>
      <c r="B355" s="11"/>
      <c r="C355" s="11"/>
      <c r="E355" s="7"/>
    </row>
    <row r="356">
      <c r="A356" s="11"/>
      <c r="B356" s="11"/>
      <c r="C356" s="11"/>
      <c r="E356" s="7"/>
    </row>
    <row r="357">
      <c r="A357" s="11"/>
      <c r="B357" s="11"/>
      <c r="C357" s="11"/>
      <c r="E357" s="7"/>
    </row>
    <row r="358">
      <c r="A358" s="11"/>
      <c r="B358" s="11"/>
      <c r="C358" s="11"/>
      <c r="E358" s="7"/>
    </row>
    <row r="359">
      <c r="A359" s="11"/>
      <c r="B359" s="11"/>
      <c r="C359" s="11"/>
      <c r="E359" s="7"/>
    </row>
    <row r="360">
      <c r="A360" s="11"/>
      <c r="B360" s="11"/>
      <c r="C360" s="11"/>
      <c r="E360" s="7"/>
    </row>
    <row r="361">
      <c r="A361" s="11"/>
      <c r="B361" s="11"/>
      <c r="C361" s="11"/>
      <c r="E361" s="7"/>
    </row>
    <row r="362">
      <c r="A362" s="11"/>
      <c r="B362" s="11"/>
      <c r="C362" s="11"/>
      <c r="E362" s="7"/>
    </row>
    <row r="363">
      <c r="A363" s="11"/>
      <c r="B363" s="11"/>
      <c r="C363" s="11"/>
      <c r="E363" s="7"/>
    </row>
    <row r="364">
      <c r="A364" s="11"/>
      <c r="B364" s="11"/>
      <c r="C364" s="11"/>
      <c r="E364" s="7"/>
    </row>
    <row r="365">
      <c r="A365" s="11"/>
      <c r="B365" s="11"/>
      <c r="C365" s="11"/>
      <c r="E365" s="7"/>
    </row>
    <row r="366">
      <c r="A366" s="11"/>
      <c r="B366" s="11"/>
      <c r="C366" s="11"/>
      <c r="E366" s="7"/>
    </row>
    <row r="367">
      <c r="A367" s="11"/>
      <c r="B367" s="11"/>
      <c r="C367" s="11"/>
      <c r="E367" s="7"/>
    </row>
    <row r="368">
      <c r="A368" s="11"/>
      <c r="B368" s="11"/>
      <c r="C368" s="11"/>
      <c r="E368" s="7"/>
    </row>
    <row r="369">
      <c r="A369" s="11"/>
      <c r="B369" s="11"/>
      <c r="C369" s="11"/>
      <c r="E369" s="7"/>
    </row>
    <row r="370">
      <c r="A370" s="11"/>
      <c r="B370" s="11"/>
      <c r="C370" s="11"/>
      <c r="E370" s="7"/>
    </row>
    <row r="371">
      <c r="A371" s="11"/>
      <c r="B371" s="11"/>
      <c r="C371" s="11"/>
      <c r="E371" s="7"/>
    </row>
    <row r="372">
      <c r="A372" s="11"/>
      <c r="B372" s="11"/>
      <c r="C372" s="11"/>
      <c r="E372" s="7"/>
    </row>
    <row r="373">
      <c r="A373" s="11"/>
      <c r="B373" s="11"/>
      <c r="C373" s="11"/>
      <c r="E373" s="7"/>
    </row>
    <row r="374">
      <c r="A374" s="11"/>
      <c r="B374" s="11"/>
      <c r="C374" s="11"/>
      <c r="E374" s="7"/>
    </row>
    <row r="375">
      <c r="A375" s="11"/>
      <c r="B375" s="11"/>
      <c r="C375" s="11"/>
      <c r="E375" s="7"/>
    </row>
    <row r="376">
      <c r="A376" s="11"/>
      <c r="B376" s="11"/>
      <c r="C376" s="11"/>
      <c r="E376" s="7"/>
    </row>
    <row r="377">
      <c r="A377" s="11"/>
      <c r="B377" s="11"/>
      <c r="C377" s="11"/>
      <c r="E377" s="7"/>
    </row>
    <row r="378">
      <c r="A378" s="11"/>
      <c r="B378" s="11"/>
      <c r="C378" s="11"/>
      <c r="E378" s="7"/>
    </row>
    <row r="379">
      <c r="A379" s="11"/>
      <c r="B379" s="11"/>
      <c r="C379" s="11"/>
      <c r="E379" s="7"/>
    </row>
    <row r="380">
      <c r="A380" s="11"/>
      <c r="B380" s="11"/>
      <c r="C380" s="11"/>
      <c r="E380" s="7"/>
    </row>
    <row r="381">
      <c r="A381" s="11"/>
      <c r="B381" s="11"/>
      <c r="C381" s="11"/>
      <c r="E381" s="7"/>
    </row>
    <row r="382">
      <c r="A382" s="11"/>
      <c r="B382" s="11"/>
      <c r="C382" s="11"/>
      <c r="E382" s="7"/>
    </row>
    <row r="383">
      <c r="A383" s="11"/>
      <c r="B383" s="11"/>
      <c r="C383" s="11"/>
      <c r="E383" s="7"/>
    </row>
    <row r="384">
      <c r="A384" s="11"/>
      <c r="B384" s="11"/>
      <c r="C384" s="11"/>
      <c r="E384" s="7"/>
    </row>
    <row r="385">
      <c r="A385" s="11"/>
      <c r="B385" s="11"/>
      <c r="C385" s="11"/>
      <c r="E385" s="7"/>
    </row>
    <row r="386">
      <c r="A386" s="11"/>
      <c r="B386" s="11"/>
      <c r="C386" s="11"/>
      <c r="E386" s="7"/>
    </row>
    <row r="387">
      <c r="A387" s="11"/>
      <c r="B387" s="11"/>
      <c r="C387" s="11"/>
      <c r="E387" s="7"/>
    </row>
    <row r="388">
      <c r="A388" s="11"/>
      <c r="B388" s="11"/>
      <c r="C388" s="11"/>
      <c r="E388" s="7"/>
    </row>
    <row r="389">
      <c r="A389" s="11"/>
      <c r="B389" s="11"/>
      <c r="C389" s="11"/>
      <c r="E389" s="7"/>
    </row>
    <row r="390">
      <c r="A390" s="11"/>
      <c r="B390" s="11"/>
      <c r="C390" s="11"/>
      <c r="E390" s="7"/>
    </row>
    <row r="391">
      <c r="A391" s="11"/>
      <c r="B391" s="11"/>
      <c r="C391" s="11"/>
      <c r="E391" s="7"/>
    </row>
    <row r="392">
      <c r="A392" s="11"/>
      <c r="B392" s="11"/>
      <c r="C392" s="11"/>
      <c r="E392" s="7"/>
    </row>
    <row r="393">
      <c r="A393" s="11"/>
      <c r="B393" s="11"/>
      <c r="C393" s="11"/>
      <c r="E393" s="7"/>
    </row>
    <row r="394">
      <c r="A394" s="11"/>
      <c r="B394" s="11"/>
      <c r="C394" s="11"/>
      <c r="E394" s="7"/>
    </row>
    <row r="395">
      <c r="A395" s="11"/>
      <c r="B395" s="11"/>
      <c r="C395" s="11"/>
      <c r="E395" s="7"/>
    </row>
    <row r="396">
      <c r="A396" s="11"/>
      <c r="B396" s="11"/>
      <c r="C396" s="11"/>
      <c r="E396" s="7"/>
    </row>
    <row r="397">
      <c r="A397" s="11"/>
      <c r="B397" s="11"/>
      <c r="C397" s="11"/>
      <c r="E397" s="7"/>
    </row>
    <row r="398">
      <c r="A398" s="11"/>
      <c r="B398" s="11"/>
      <c r="C398" s="11"/>
      <c r="E398" s="7"/>
    </row>
    <row r="399">
      <c r="A399" s="11"/>
      <c r="B399" s="11"/>
      <c r="C399" s="11"/>
      <c r="E399" s="7"/>
    </row>
    <row r="400">
      <c r="A400" s="11"/>
      <c r="B400" s="11"/>
      <c r="C400" s="11"/>
      <c r="E400" s="7"/>
    </row>
    <row r="401">
      <c r="A401" s="11"/>
      <c r="B401" s="11"/>
      <c r="C401" s="11"/>
      <c r="E401" s="7"/>
    </row>
    <row r="402">
      <c r="A402" s="11"/>
      <c r="B402" s="11"/>
      <c r="C402" s="11"/>
      <c r="E402" s="7"/>
    </row>
    <row r="403">
      <c r="A403" s="11"/>
      <c r="B403" s="11"/>
      <c r="C403" s="11"/>
      <c r="E403" s="7"/>
    </row>
    <row r="404">
      <c r="A404" s="11"/>
      <c r="B404" s="11"/>
      <c r="C404" s="11"/>
      <c r="E404" s="7"/>
    </row>
    <row r="405">
      <c r="A405" s="11"/>
      <c r="B405" s="11"/>
      <c r="C405" s="11"/>
      <c r="E405" s="7"/>
    </row>
    <row r="406">
      <c r="A406" s="11"/>
      <c r="B406" s="11"/>
      <c r="C406" s="11"/>
      <c r="E406" s="7"/>
    </row>
    <row r="407">
      <c r="A407" s="11"/>
      <c r="B407" s="11"/>
      <c r="C407" s="11"/>
      <c r="E407" s="7"/>
    </row>
    <row r="408">
      <c r="A408" s="11"/>
      <c r="B408" s="11"/>
      <c r="C408" s="11"/>
      <c r="E408" s="7"/>
    </row>
    <row r="409">
      <c r="A409" s="11"/>
      <c r="B409" s="11"/>
      <c r="C409" s="11"/>
      <c r="E409" s="7"/>
    </row>
    <row r="410">
      <c r="A410" s="11"/>
      <c r="B410" s="11"/>
      <c r="C410" s="11"/>
      <c r="E410" s="7"/>
    </row>
    <row r="411">
      <c r="A411" s="11"/>
      <c r="B411" s="11"/>
      <c r="C411" s="11"/>
      <c r="E411" s="7"/>
    </row>
    <row r="412">
      <c r="A412" s="11"/>
      <c r="B412" s="11"/>
      <c r="C412" s="11"/>
      <c r="E412" s="7"/>
    </row>
    <row r="413">
      <c r="A413" s="11"/>
      <c r="B413" s="11"/>
      <c r="C413" s="11"/>
      <c r="E413" s="7"/>
    </row>
    <row r="414">
      <c r="A414" s="11"/>
      <c r="B414" s="11"/>
      <c r="C414" s="11"/>
      <c r="E414" s="7"/>
    </row>
    <row r="415">
      <c r="A415" s="11"/>
      <c r="B415" s="11"/>
      <c r="C415" s="11"/>
      <c r="E415" s="7"/>
    </row>
    <row r="416">
      <c r="A416" s="11"/>
      <c r="B416" s="11"/>
      <c r="C416" s="11"/>
      <c r="E416" s="7"/>
    </row>
    <row r="417">
      <c r="A417" s="11"/>
      <c r="B417" s="11"/>
      <c r="C417" s="11"/>
      <c r="E417" s="7"/>
    </row>
    <row r="418">
      <c r="A418" s="11"/>
      <c r="B418" s="11"/>
      <c r="C418" s="11"/>
      <c r="E418" s="7"/>
    </row>
    <row r="419">
      <c r="A419" s="11"/>
      <c r="B419" s="11"/>
      <c r="C419" s="11"/>
      <c r="E419" s="7"/>
    </row>
    <row r="420">
      <c r="A420" s="11"/>
      <c r="B420" s="11"/>
      <c r="C420" s="11"/>
      <c r="E420" s="7"/>
    </row>
    <row r="421">
      <c r="A421" s="11"/>
      <c r="B421" s="11"/>
      <c r="C421" s="11"/>
      <c r="E421" s="7"/>
    </row>
    <row r="422">
      <c r="A422" s="11"/>
      <c r="B422" s="11"/>
      <c r="C422" s="11"/>
      <c r="E422" s="7"/>
    </row>
    <row r="423">
      <c r="A423" s="11"/>
      <c r="B423" s="11"/>
      <c r="C423" s="11"/>
      <c r="E423" s="7"/>
    </row>
    <row r="424">
      <c r="A424" s="11"/>
      <c r="B424" s="11"/>
      <c r="C424" s="11"/>
      <c r="E424" s="7"/>
    </row>
    <row r="425">
      <c r="A425" s="11"/>
      <c r="B425" s="11"/>
      <c r="C425" s="11"/>
      <c r="E425" s="7"/>
    </row>
    <row r="426">
      <c r="A426" s="11"/>
      <c r="B426" s="11"/>
      <c r="C426" s="11"/>
      <c r="E426" s="7"/>
    </row>
    <row r="427">
      <c r="A427" s="11"/>
      <c r="B427" s="11"/>
      <c r="C427" s="11"/>
      <c r="E427" s="7"/>
    </row>
    <row r="428">
      <c r="A428" s="11"/>
      <c r="B428" s="11"/>
      <c r="C428" s="11"/>
      <c r="E428" s="7"/>
    </row>
    <row r="429">
      <c r="A429" s="11"/>
      <c r="B429" s="11"/>
      <c r="C429" s="11"/>
      <c r="E429" s="7"/>
    </row>
    <row r="430">
      <c r="A430" s="11"/>
      <c r="B430" s="11"/>
      <c r="C430" s="11"/>
      <c r="E430" s="7"/>
    </row>
    <row r="431">
      <c r="A431" s="11"/>
      <c r="B431" s="11"/>
      <c r="C431" s="11"/>
      <c r="E431" s="7"/>
    </row>
    <row r="432">
      <c r="A432" s="11"/>
      <c r="B432" s="11"/>
      <c r="C432" s="11"/>
      <c r="E432" s="7"/>
    </row>
    <row r="433">
      <c r="A433" s="11"/>
      <c r="B433" s="11"/>
      <c r="C433" s="11"/>
      <c r="E433" s="7"/>
    </row>
    <row r="434">
      <c r="A434" s="11"/>
      <c r="B434" s="11"/>
      <c r="C434" s="11"/>
      <c r="E434" s="7"/>
    </row>
    <row r="435">
      <c r="A435" s="11"/>
      <c r="B435" s="11"/>
      <c r="C435" s="11"/>
      <c r="E435" s="7"/>
    </row>
    <row r="436">
      <c r="A436" s="11"/>
      <c r="B436" s="11"/>
      <c r="C436" s="11"/>
      <c r="E436" s="7"/>
    </row>
    <row r="437">
      <c r="A437" s="11"/>
      <c r="B437" s="11"/>
      <c r="C437" s="11"/>
      <c r="E437" s="7"/>
    </row>
    <row r="438">
      <c r="A438" s="11"/>
      <c r="B438" s="11"/>
      <c r="C438" s="11"/>
      <c r="E438" s="7"/>
    </row>
    <row r="439">
      <c r="A439" s="11"/>
      <c r="B439" s="11"/>
      <c r="C439" s="11"/>
      <c r="E439" s="7"/>
    </row>
    <row r="440">
      <c r="A440" s="11"/>
      <c r="B440" s="11"/>
      <c r="C440" s="11"/>
      <c r="E440" s="7"/>
    </row>
    <row r="441">
      <c r="A441" s="11"/>
      <c r="B441" s="11"/>
      <c r="C441" s="11"/>
      <c r="E441" s="7"/>
    </row>
    <row r="442">
      <c r="A442" s="11"/>
      <c r="B442" s="11"/>
      <c r="C442" s="11"/>
      <c r="E442" s="7"/>
    </row>
    <row r="443">
      <c r="A443" s="11"/>
      <c r="B443" s="11"/>
      <c r="C443" s="11"/>
      <c r="E443" s="7"/>
    </row>
    <row r="444">
      <c r="A444" s="11"/>
      <c r="B444" s="11"/>
      <c r="C444" s="11"/>
      <c r="E444" s="7"/>
    </row>
    <row r="445">
      <c r="A445" s="11"/>
      <c r="B445" s="11"/>
      <c r="C445" s="11"/>
      <c r="E445" s="7"/>
    </row>
    <row r="446">
      <c r="A446" s="11"/>
      <c r="B446" s="11"/>
      <c r="C446" s="11"/>
      <c r="E446" s="7"/>
    </row>
    <row r="447">
      <c r="A447" s="11"/>
      <c r="B447" s="11"/>
      <c r="C447" s="11"/>
      <c r="E447" s="7"/>
    </row>
    <row r="448">
      <c r="A448" s="11"/>
      <c r="B448" s="11"/>
      <c r="C448" s="11"/>
      <c r="E448" s="7"/>
    </row>
    <row r="449">
      <c r="A449" s="11"/>
      <c r="B449" s="11"/>
      <c r="C449" s="11"/>
      <c r="E449" s="7"/>
    </row>
    <row r="450">
      <c r="A450" s="11"/>
      <c r="B450" s="11"/>
      <c r="C450" s="11"/>
      <c r="E450" s="7"/>
    </row>
    <row r="451">
      <c r="A451" s="11"/>
      <c r="B451" s="11"/>
      <c r="C451" s="11"/>
      <c r="E451" s="7"/>
    </row>
    <row r="452">
      <c r="A452" s="11"/>
      <c r="B452" s="11"/>
      <c r="C452" s="11"/>
      <c r="E452" s="7"/>
    </row>
    <row r="453">
      <c r="A453" s="11"/>
      <c r="B453" s="11"/>
      <c r="C453" s="11"/>
      <c r="E453" s="7"/>
    </row>
    <row r="454">
      <c r="A454" s="11"/>
      <c r="B454" s="11"/>
      <c r="C454" s="11"/>
      <c r="E454" s="7"/>
    </row>
    <row r="455">
      <c r="A455" s="11"/>
      <c r="B455" s="11"/>
      <c r="C455" s="11"/>
      <c r="E455" s="7"/>
    </row>
    <row r="456">
      <c r="A456" s="11"/>
      <c r="B456" s="11"/>
      <c r="C456" s="11"/>
      <c r="E456" s="7"/>
    </row>
    <row r="457">
      <c r="A457" s="11"/>
      <c r="B457" s="11"/>
      <c r="C457" s="11"/>
      <c r="E457" s="7"/>
    </row>
    <row r="458">
      <c r="A458" s="11"/>
      <c r="B458" s="11"/>
      <c r="C458" s="11"/>
      <c r="E458" s="7"/>
    </row>
    <row r="459">
      <c r="A459" s="11"/>
      <c r="B459" s="11"/>
      <c r="C459" s="11"/>
      <c r="E459" s="7"/>
    </row>
    <row r="460">
      <c r="A460" s="11"/>
      <c r="B460" s="11"/>
      <c r="C460" s="11"/>
      <c r="E460" s="7"/>
    </row>
    <row r="461">
      <c r="A461" s="11"/>
      <c r="B461" s="11"/>
      <c r="C461" s="11"/>
      <c r="E461" s="7"/>
    </row>
    <row r="462">
      <c r="A462" s="11"/>
      <c r="B462" s="11"/>
      <c r="C462" s="11"/>
      <c r="E462" s="7"/>
    </row>
    <row r="463">
      <c r="A463" s="11"/>
      <c r="B463" s="11"/>
      <c r="C463" s="11"/>
      <c r="E463" s="7"/>
    </row>
    <row r="464">
      <c r="A464" s="11"/>
      <c r="B464" s="11"/>
      <c r="C464" s="11"/>
      <c r="E464" s="7"/>
    </row>
    <row r="465">
      <c r="A465" s="11"/>
      <c r="B465" s="11"/>
      <c r="C465" s="11"/>
      <c r="E465" s="7"/>
    </row>
    <row r="466">
      <c r="A466" s="11"/>
      <c r="B466" s="11"/>
      <c r="C466" s="11"/>
      <c r="E466" s="7"/>
    </row>
    <row r="467">
      <c r="A467" s="11"/>
      <c r="B467" s="11"/>
      <c r="C467" s="11"/>
      <c r="E467" s="7"/>
    </row>
    <row r="468">
      <c r="A468" s="11"/>
      <c r="B468" s="11"/>
      <c r="C468" s="11"/>
      <c r="E468" s="7"/>
    </row>
    <row r="469">
      <c r="A469" s="11"/>
      <c r="B469" s="11"/>
      <c r="C469" s="11"/>
      <c r="E469" s="7"/>
    </row>
    <row r="470">
      <c r="A470" s="11"/>
      <c r="B470" s="11"/>
      <c r="C470" s="11"/>
      <c r="E470" s="7"/>
    </row>
    <row r="471">
      <c r="A471" s="11"/>
      <c r="B471" s="11"/>
      <c r="C471" s="11"/>
      <c r="E471" s="7"/>
    </row>
    <row r="472">
      <c r="A472" s="11"/>
      <c r="B472" s="11"/>
      <c r="C472" s="11"/>
      <c r="E472" s="7"/>
    </row>
    <row r="473">
      <c r="A473" s="11"/>
      <c r="B473" s="11"/>
      <c r="C473" s="11"/>
      <c r="E473" s="7"/>
    </row>
    <row r="474">
      <c r="A474" s="11"/>
      <c r="B474" s="11"/>
      <c r="C474" s="11"/>
      <c r="E474" s="7"/>
    </row>
    <row r="475">
      <c r="A475" s="11"/>
      <c r="B475" s="11"/>
      <c r="C475" s="11"/>
      <c r="E475" s="7"/>
    </row>
    <row r="476">
      <c r="A476" s="11"/>
      <c r="B476" s="11"/>
      <c r="C476" s="11"/>
      <c r="E476" s="7"/>
    </row>
    <row r="477">
      <c r="A477" s="11"/>
      <c r="B477" s="11"/>
      <c r="C477" s="11"/>
      <c r="E477" s="7"/>
    </row>
    <row r="478">
      <c r="A478" s="11"/>
      <c r="B478" s="11"/>
      <c r="C478" s="11"/>
      <c r="E478" s="7"/>
    </row>
    <row r="479">
      <c r="A479" s="11"/>
      <c r="B479" s="11"/>
      <c r="C479" s="11"/>
      <c r="E479" s="7"/>
    </row>
    <row r="480">
      <c r="A480" s="11"/>
      <c r="B480" s="11"/>
      <c r="C480" s="11"/>
      <c r="E480" s="7"/>
    </row>
    <row r="481">
      <c r="A481" s="11"/>
      <c r="B481" s="11"/>
      <c r="C481" s="11"/>
      <c r="E481" s="7"/>
    </row>
    <row r="482">
      <c r="A482" s="11"/>
      <c r="B482" s="11"/>
      <c r="C482" s="11"/>
      <c r="E482" s="7"/>
    </row>
    <row r="483">
      <c r="A483" s="11"/>
      <c r="B483" s="11"/>
      <c r="C483" s="11"/>
      <c r="E483" s="7"/>
    </row>
    <row r="484">
      <c r="A484" s="11"/>
      <c r="B484" s="11"/>
      <c r="C484" s="11"/>
      <c r="E484" s="7"/>
    </row>
    <row r="485">
      <c r="A485" s="11"/>
      <c r="B485" s="11"/>
      <c r="C485" s="11"/>
      <c r="E485" s="7"/>
    </row>
    <row r="486">
      <c r="A486" s="11"/>
      <c r="B486" s="11"/>
      <c r="C486" s="11"/>
      <c r="E486" s="7"/>
    </row>
    <row r="487">
      <c r="A487" s="11"/>
      <c r="B487" s="11"/>
      <c r="C487" s="11"/>
      <c r="E487" s="7"/>
    </row>
    <row r="488">
      <c r="A488" s="11"/>
      <c r="B488" s="11"/>
      <c r="C488" s="11"/>
      <c r="E488" s="7"/>
    </row>
    <row r="489">
      <c r="A489" s="11"/>
      <c r="B489" s="11"/>
      <c r="C489" s="11"/>
      <c r="E489" s="7"/>
    </row>
    <row r="490">
      <c r="A490" s="11"/>
      <c r="B490" s="11"/>
      <c r="C490" s="11"/>
      <c r="E490" s="7"/>
    </row>
    <row r="491">
      <c r="A491" s="11"/>
      <c r="B491" s="11"/>
      <c r="C491" s="11"/>
      <c r="E491" s="7"/>
    </row>
    <row r="492">
      <c r="A492" s="11"/>
      <c r="B492" s="11"/>
      <c r="C492" s="11"/>
      <c r="E492" s="7"/>
    </row>
    <row r="493">
      <c r="A493" s="11"/>
      <c r="B493" s="11"/>
      <c r="C493" s="11"/>
      <c r="E493" s="7"/>
    </row>
    <row r="494">
      <c r="A494" s="11"/>
      <c r="B494" s="11"/>
      <c r="C494" s="11"/>
      <c r="E494" s="7"/>
    </row>
    <row r="495">
      <c r="A495" s="11"/>
      <c r="B495" s="11"/>
      <c r="C495" s="11"/>
      <c r="E495" s="7"/>
    </row>
    <row r="496">
      <c r="A496" s="11"/>
      <c r="B496" s="11"/>
      <c r="C496" s="11"/>
      <c r="E496" s="7"/>
    </row>
    <row r="497">
      <c r="A497" s="11"/>
      <c r="B497" s="11"/>
      <c r="C497" s="11"/>
      <c r="E497" s="7"/>
    </row>
    <row r="498">
      <c r="A498" s="11"/>
      <c r="B498" s="11"/>
      <c r="C498" s="11"/>
      <c r="E498" s="7"/>
    </row>
    <row r="499">
      <c r="A499" s="11"/>
      <c r="B499" s="11"/>
      <c r="C499" s="11"/>
      <c r="E499" s="7"/>
    </row>
    <row r="500">
      <c r="A500" s="11"/>
      <c r="B500" s="11"/>
      <c r="C500" s="11"/>
      <c r="E500" s="7"/>
    </row>
    <row r="501">
      <c r="A501" s="11"/>
      <c r="B501" s="11"/>
      <c r="C501" s="11"/>
      <c r="E501" s="7"/>
    </row>
    <row r="502">
      <c r="A502" s="11"/>
      <c r="B502" s="11"/>
      <c r="C502" s="11"/>
      <c r="E502" s="7"/>
    </row>
    <row r="503">
      <c r="A503" s="11"/>
      <c r="B503" s="11"/>
      <c r="C503" s="11"/>
      <c r="E503" s="7"/>
    </row>
    <row r="504">
      <c r="A504" s="11"/>
      <c r="B504" s="11"/>
      <c r="C504" s="11"/>
      <c r="E504" s="7"/>
    </row>
    <row r="505">
      <c r="A505" s="11"/>
      <c r="B505" s="11"/>
      <c r="C505" s="11"/>
      <c r="E505" s="7"/>
    </row>
    <row r="506">
      <c r="A506" s="11"/>
      <c r="B506" s="11"/>
      <c r="C506" s="11"/>
      <c r="E506" s="7"/>
    </row>
    <row r="507">
      <c r="A507" s="11"/>
      <c r="B507" s="11"/>
      <c r="C507" s="11"/>
      <c r="E507" s="7"/>
    </row>
    <row r="508">
      <c r="A508" s="11"/>
      <c r="B508" s="11"/>
      <c r="C508" s="11"/>
      <c r="E508" s="7"/>
    </row>
    <row r="509">
      <c r="A509" s="11"/>
      <c r="B509" s="11"/>
      <c r="C509" s="11"/>
      <c r="E509" s="7"/>
    </row>
    <row r="510">
      <c r="A510" s="11"/>
      <c r="B510" s="11"/>
      <c r="C510" s="11"/>
      <c r="E510" s="7"/>
    </row>
    <row r="511">
      <c r="A511" s="11"/>
      <c r="B511" s="11"/>
      <c r="C511" s="11"/>
      <c r="E511" s="7"/>
    </row>
    <row r="512">
      <c r="A512" s="11"/>
      <c r="B512" s="11"/>
      <c r="C512" s="11"/>
      <c r="E512" s="7"/>
    </row>
    <row r="513">
      <c r="A513" s="11"/>
      <c r="B513" s="11"/>
      <c r="C513" s="11"/>
      <c r="E513" s="7"/>
    </row>
    <row r="514">
      <c r="A514" s="11"/>
      <c r="B514" s="11"/>
      <c r="C514" s="11"/>
      <c r="E514" s="7"/>
    </row>
    <row r="515">
      <c r="A515" s="11"/>
      <c r="B515" s="11"/>
      <c r="C515" s="11"/>
      <c r="E515" s="7"/>
    </row>
    <row r="516">
      <c r="A516" s="11"/>
      <c r="B516" s="11"/>
      <c r="C516" s="11"/>
      <c r="E516" s="7"/>
    </row>
    <row r="517">
      <c r="A517" s="11"/>
      <c r="B517" s="11"/>
      <c r="C517" s="11"/>
      <c r="E517" s="7"/>
    </row>
    <row r="518">
      <c r="A518" s="11"/>
      <c r="B518" s="11"/>
      <c r="C518" s="11"/>
      <c r="E518" s="7"/>
    </row>
    <row r="519">
      <c r="A519" s="11"/>
      <c r="B519" s="11"/>
      <c r="C519" s="11"/>
      <c r="E519" s="7"/>
    </row>
    <row r="520">
      <c r="A520" s="11"/>
      <c r="B520" s="11"/>
      <c r="C520" s="11"/>
      <c r="E520" s="7"/>
    </row>
    <row r="521">
      <c r="A521" s="11"/>
      <c r="B521" s="11"/>
      <c r="C521" s="11"/>
      <c r="E521" s="7"/>
    </row>
    <row r="522">
      <c r="A522" s="11"/>
      <c r="B522" s="11"/>
      <c r="C522" s="11"/>
      <c r="E522" s="7"/>
    </row>
    <row r="523">
      <c r="A523" s="11"/>
      <c r="B523" s="11"/>
      <c r="C523" s="11"/>
      <c r="E523" s="7"/>
    </row>
    <row r="524">
      <c r="A524" s="11"/>
      <c r="B524" s="11"/>
      <c r="C524" s="11"/>
      <c r="E524" s="7"/>
    </row>
    <row r="525">
      <c r="A525" s="11"/>
      <c r="B525" s="11"/>
      <c r="C525" s="11"/>
      <c r="E525" s="7"/>
    </row>
    <row r="526">
      <c r="A526" s="11"/>
      <c r="B526" s="11"/>
      <c r="C526" s="11"/>
      <c r="E526" s="7"/>
    </row>
    <row r="527">
      <c r="A527" s="11"/>
      <c r="B527" s="11"/>
      <c r="C527" s="11"/>
      <c r="E527" s="7"/>
    </row>
    <row r="528">
      <c r="A528" s="11"/>
      <c r="B528" s="11"/>
      <c r="C528" s="11"/>
      <c r="E528" s="7"/>
    </row>
    <row r="529">
      <c r="A529" s="11"/>
      <c r="B529" s="11"/>
      <c r="C529" s="11"/>
      <c r="E529" s="7"/>
    </row>
    <row r="530">
      <c r="A530" s="11"/>
      <c r="B530" s="11"/>
      <c r="C530" s="11"/>
      <c r="E530" s="7"/>
    </row>
    <row r="531">
      <c r="A531" s="11"/>
      <c r="B531" s="11"/>
      <c r="C531" s="11"/>
      <c r="E531" s="7"/>
    </row>
    <row r="532">
      <c r="A532" s="11"/>
      <c r="B532" s="11"/>
      <c r="C532" s="11"/>
      <c r="E532" s="7"/>
    </row>
    <row r="533">
      <c r="A533" s="11"/>
      <c r="B533" s="11"/>
      <c r="C533" s="11"/>
      <c r="E533" s="7"/>
    </row>
    <row r="534">
      <c r="A534" s="11"/>
      <c r="B534" s="11"/>
      <c r="C534" s="11"/>
      <c r="E534" s="7"/>
    </row>
    <row r="535">
      <c r="A535" s="11"/>
      <c r="B535" s="11"/>
      <c r="C535" s="11"/>
      <c r="E535" s="7"/>
    </row>
    <row r="536">
      <c r="A536" s="11"/>
      <c r="B536" s="11"/>
      <c r="C536" s="11"/>
      <c r="E536" s="7"/>
    </row>
    <row r="537">
      <c r="A537" s="11"/>
      <c r="B537" s="11"/>
      <c r="C537" s="11"/>
      <c r="E537" s="7"/>
    </row>
    <row r="538">
      <c r="A538" s="11"/>
      <c r="B538" s="11"/>
      <c r="C538" s="11"/>
      <c r="E538" s="7"/>
    </row>
    <row r="539">
      <c r="A539" s="11"/>
      <c r="B539" s="11"/>
      <c r="C539" s="11"/>
      <c r="E539" s="7"/>
    </row>
    <row r="540">
      <c r="A540" s="11"/>
      <c r="B540" s="11"/>
      <c r="C540" s="11"/>
      <c r="E540" s="7"/>
    </row>
    <row r="541">
      <c r="A541" s="11"/>
      <c r="B541" s="11"/>
      <c r="C541" s="11"/>
      <c r="E541" s="7"/>
    </row>
    <row r="542">
      <c r="A542" s="11"/>
      <c r="B542" s="11"/>
      <c r="C542" s="11"/>
      <c r="E542" s="7"/>
    </row>
    <row r="543">
      <c r="A543" s="11"/>
      <c r="B543" s="11"/>
      <c r="C543" s="11"/>
      <c r="E543" s="7"/>
    </row>
    <row r="544">
      <c r="A544" s="11"/>
      <c r="B544" s="11"/>
      <c r="C544" s="11"/>
      <c r="E544" s="7"/>
    </row>
    <row r="545">
      <c r="A545" s="11"/>
      <c r="B545" s="11"/>
      <c r="C545" s="11"/>
      <c r="E545" s="7"/>
    </row>
    <row r="546">
      <c r="A546" s="11"/>
      <c r="B546" s="11"/>
      <c r="C546" s="11"/>
      <c r="E546" s="7"/>
    </row>
    <row r="547">
      <c r="A547" s="11"/>
      <c r="B547" s="11"/>
      <c r="C547" s="11"/>
      <c r="E547" s="7"/>
    </row>
    <row r="548">
      <c r="A548" s="11"/>
      <c r="B548" s="11"/>
      <c r="C548" s="11"/>
      <c r="E548" s="7"/>
    </row>
    <row r="549">
      <c r="A549" s="11"/>
      <c r="B549" s="11"/>
      <c r="C549" s="11"/>
      <c r="E549" s="7"/>
    </row>
    <row r="550">
      <c r="A550" s="11"/>
      <c r="B550" s="11"/>
      <c r="C550" s="11"/>
      <c r="E550" s="7"/>
    </row>
    <row r="551">
      <c r="A551" s="11"/>
      <c r="B551" s="11"/>
      <c r="C551" s="11"/>
      <c r="E551" s="7"/>
    </row>
    <row r="552">
      <c r="A552" s="11"/>
      <c r="B552" s="11"/>
      <c r="C552" s="11"/>
      <c r="E552" s="7"/>
    </row>
    <row r="553">
      <c r="A553" s="11"/>
      <c r="B553" s="11"/>
      <c r="C553" s="11"/>
      <c r="E553" s="7"/>
    </row>
    <row r="554">
      <c r="A554" s="11"/>
      <c r="B554" s="11"/>
      <c r="C554" s="11"/>
      <c r="E554" s="7"/>
    </row>
    <row r="555">
      <c r="A555" s="11"/>
      <c r="B555" s="11"/>
      <c r="C555" s="11"/>
      <c r="E555" s="7"/>
    </row>
    <row r="556">
      <c r="A556" s="11"/>
      <c r="B556" s="11"/>
      <c r="C556" s="11"/>
      <c r="E556" s="7"/>
    </row>
    <row r="557">
      <c r="A557" s="11"/>
      <c r="B557" s="11"/>
      <c r="C557" s="11"/>
      <c r="E557" s="7"/>
    </row>
    <row r="558">
      <c r="A558" s="11"/>
      <c r="B558" s="11"/>
      <c r="C558" s="11"/>
      <c r="E558" s="7"/>
    </row>
    <row r="559">
      <c r="A559" s="11"/>
      <c r="B559" s="11"/>
      <c r="C559" s="11"/>
      <c r="E559" s="7"/>
    </row>
    <row r="560">
      <c r="A560" s="11"/>
      <c r="B560" s="11"/>
      <c r="C560" s="11"/>
      <c r="E560" s="7"/>
    </row>
    <row r="561">
      <c r="A561" s="11"/>
      <c r="B561" s="11"/>
      <c r="C561" s="11"/>
      <c r="E561" s="7"/>
    </row>
    <row r="562">
      <c r="A562" s="11"/>
      <c r="B562" s="11"/>
      <c r="C562" s="11"/>
      <c r="E562" s="7"/>
    </row>
    <row r="563">
      <c r="A563" s="11"/>
      <c r="B563" s="11"/>
      <c r="C563" s="11"/>
      <c r="E563" s="7"/>
    </row>
    <row r="564">
      <c r="A564" s="11"/>
      <c r="B564" s="11"/>
      <c r="C564" s="11"/>
      <c r="E564" s="7"/>
    </row>
    <row r="565">
      <c r="A565" s="11"/>
      <c r="B565" s="11"/>
      <c r="C565" s="11"/>
      <c r="E565" s="7"/>
    </row>
    <row r="566">
      <c r="A566" s="11"/>
      <c r="B566" s="11"/>
      <c r="C566" s="11"/>
      <c r="E566" s="7"/>
    </row>
    <row r="567">
      <c r="A567" s="11"/>
      <c r="B567" s="11"/>
      <c r="C567" s="11"/>
      <c r="E567" s="7"/>
    </row>
    <row r="568">
      <c r="A568" s="11"/>
      <c r="B568" s="11"/>
      <c r="C568" s="11"/>
      <c r="E568" s="7"/>
    </row>
    <row r="569">
      <c r="A569" s="11"/>
      <c r="B569" s="11"/>
      <c r="C569" s="11"/>
      <c r="E569" s="7"/>
    </row>
    <row r="570">
      <c r="A570" s="11"/>
      <c r="B570" s="11"/>
      <c r="C570" s="11"/>
      <c r="E570" s="7"/>
    </row>
    <row r="571">
      <c r="A571" s="11"/>
      <c r="B571" s="11"/>
      <c r="C571" s="11"/>
      <c r="E571" s="7"/>
    </row>
    <row r="572">
      <c r="A572" s="11"/>
      <c r="B572" s="11"/>
      <c r="C572" s="11"/>
      <c r="E572" s="7"/>
    </row>
    <row r="573">
      <c r="A573" s="11"/>
      <c r="B573" s="11"/>
      <c r="C573" s="11"/>
      <c r="E573" s="7"/>
    </row>
    <row r="574">
      <c r="A574" s="11"/>
      <c r="B574" s="11"/>
      <c r="C574" s="11"/>
      <c r="E574" s="7"/>
    </row>
    <row r="575">
      <c r="A575" s="11"/>
      <c r="B575" s="11"/>
      <c r="C575" s="11"/>
      <c r="E575" s="7"/>
    </row>
    <row r="576">
      <c r="A576" s="11"/>
      <c r="B576" s="11"/>
      <c r="C576" s="11"/>
      <c r="E576" s="7"/>
    </row>
    <row r="577">
      <c r="A577" s="11"/>
      <c r="B577" s="11"/>
      <c r="C577" s="11"/>
      <c r="E577" s="7"/>
    </row>
    <row r="578">
      <c r="A578" s="11"/>
      <c r="B578" s="11"/>
      <c r="C578" s="11"/>
      <c r="E578" s="7"/>
    </row>
    <row r="579">
      <c r="A579" s="11"/>
      <c r="B579" s="11"/>
      <c r="C579" s="11"/>
      <c r="E579" s="7"/>
    </row>
    <row r="580">
      <c r="A580" s="11"/>
      <c r="B580" s="11"/>
      <c r="C580" s="11"/>
      <c r="E580" s="7"/>
    </row>
    <row r="581">
      <c r="A581" s="11"/>
      <c r="B581" s="11"/>
      <c r="C581" s="11"/>
      <c r="E581" s="7"/>
    </row>
    <row r="582">
      <c r="A582" s="11"/>
      <c r="B582" s="11"/>
      <c r="C582" s="11"/>
      <c r="E582" s="7"/>
    </row>
    <row r="583">
      <c r="A583" s="11"/>
      <c r="B583" s="11"/>
      <c r="C583" s="11"/>
      <c r="E583" s="7"/>
    </row>
    <row r="584">
      <c r="A584" s="11"/>
      <c r="B584" s="11"/>
      <c r="C584" s="11"/>
      <c r="E584" s="7"/>
    </row>
    <row r="585">
      <c r="A585" s="11"/>
      <c r="B585" s="11"/>
      <c r="C585" s="11"/>
      <c r="E585" s="7"/>
    </row>
    <row r="586">
      <c r="A586" s="11"/>
      <c r="B586" s="11"/>
      <c r="C586" s="11"/>
      <c r="E586" s="7"/>
    </row>
    <row r="587">
      <c r="A587" s="11"/>
      <c r="B587" s="11"/>
      <c r="C587" s="11"/>
      <c r="E587" s="7"/>
    </row>
    <row r="588">
      <c r="A588" s="11"/>
      <c r="B588" s="11"/>
      <c r="C588" s="11"/>
      <c r="E588" s="7"/>
    </row>
    <row r="589">
      <c r="A589" s="11"/>
      <c r="B589" s="11"/>
      <c r="C589" s="11"/>
      <c r="E589" s="7"/>
    </row>
    <row r="590">
      <c r="A590" s="11"/>
      <c r="B590" s="11"/>
      <c r="C590" s="11"/>
      <c r="E590" s="7"/>
    </row>
    <row r="591">
      <c r="A591" s="11"/>
      <c r="B591" s="11"/>
      <c r="C591" s="11"/>
      <c r="E591" s="7"/>
    </row>
    <row r="592">
      <c r="A592" s="11"/>
      <c r="B592" s="11"/>
      <c r="C592" s="11"/>
      <c r="E592" s="7"/>
    </row>
    <row r="593">
      <c r="A593" s="11"/>
      <c r="B593" s="11"/>
      <c r="C593" s="11"/>
      <c r="E593" s="7"/>
    </row>
    <row r="594">
      <c r="A594" s="11"/>
      <c r="B594" s="11"/>
      <c r="C594" s="11"/>
      <c r="E594" s="7"/>
    </row>
    <row r="595">
      <c r="A595" s="11"/>
      <c r="B595" s="11"/>
      <c r="C595" s="11"/>
      <c r="E595" s="7"/>
    </row>
    <row r="596">
      <c r="A596" s="11"/>
      <c r="B596" s="11"/>
      <c r="C596" s="11"/>
      <c r="E596" s="7"/>
    </row>
    <row r="597">
      <c r="A597" s="11"/>
      <c r="B597" s="11"/>
      <c r="C597" s="11"/>
      <c r="E597" s="7"/>
    </row>
    <row r="598">
      <c r="A598" s="11"/>
      <c r="B598" s="11"/>
      <c r="C598" s="11"/>
      <c r="E598" s="7"/>
    </row>
    <row r="599">
      <c r="A599" s="11"/>
      <c r="B599" s="11"/>
      <c r="C599" s="11"/>
      <c r="E599" s="7"/>
    </row>
    <row r="600">
      <c r="A600" s="11"/>
      <c r="B600" s="11"/>
      <c r="C600" s="11"/>
      <c r="E600" s="7"/>
    </row>
    <row r="601">
      <c r="A601" s="11"/>
      <c r="B601" s="11"/>
      <c r="C601" s="11"/>
      <c r="E601" s="7"/>
    </row>
    <row r="602">
      <c r="A602" s="11"/>
      <c r="B602" s="11"/>
      <c r="C602" s="11"/>
      <c r="E602" s="7"/>
    </row>
    <row r="603">
      <c r="A603" s="11"/>
      <c r="B603" s="11"/>
      <c r="C603" s="11"/>
      <c r="E603" s="7"/>
    </row>
    <row r="604">
      <c r="A604" s="11"/>
      <c r="B604" s="11"/>
      <c r="C604" s="11"/>
      <c r="E604" s="7"/>
    </row>
    <row r="605">
      <c r="A605" s="11"/>
      <c r="B605" s="11"/>
      <c r="C605" s="11"/>
      <c r="E605" s="7"/>
    </row>
    <row r="606">
      <c r="A606" s="11"/>
      <c r="B606" s="11"/>
      <c r="C606" s="11"/>
      <c r="E606" s="7"/>
    </row>
    <row r="607">
      <c r="A607" s="11"/>
      <c r="B607" s="11"/>
      <c r="C607" s="11"/>
      <c r="E607" s="7"/>
    </row>
    <row r="608">
      <c r="A608" s="11"/>
      <c r="B608" s="11"/>
      <c r="C608" s="11"/>
      <c r="E608" s="7"/>
    </row>
    <row r="609">
      <c r="A609" s="11"/>
      <c r="B609" s="11"/>
      <c r="C609" s="11"/>
      <c r="E609" s="7"/>
    </row>
    <row r="610">
      <c r="A610" s="11"/>
      <c r="B610" s="11"/>
      <c r="C610" s="11"/>
      <c r="E610" s="7"/>
    </row>
    <row r="611">
      <c r="A611" s="11"/>
      <c r="B611" s="11"/>
      <c r="C611" s="11"/>
      <c r="E611" s="7"/>
    </row>
    <row r="612">
      <c r="A612" s="11"/>
      <c r="B612" s="11"/>
      <c r="C612" s="11"/>
      <c r="E612" s="7"/>
    </row>
    <row r="613">
      <c r="A613" s="11"/>
      <c r="B613" s="11"/>
      <c r="C613" s="11"/>
      <c r="E613" s="7"/>
    </row>
    <row r="614">
      <c r="A614" s="11"/>
      <c r="B614" s="11"/>
      <c r="C614" s="11"/>
      <c r="E614" s="7"/>
    </row>
    <row r="615">
      <c r="A615" s="11"/>
      <c r="B615" s="11"/>
      <c r="C615" s="11"/>
      <c r="E615" s="7"/>
    </row>
    <row r="616">
      <c r="A616" s="11"/>
      <c r="B616" s="11"/>
      <c r="C616" s="11"/>
      <c r="E616" s="7"/>
    </row>
    <row r="617">
      <c r="A617" s="11"/>
      <c r="B617" s="11"/>
      <c r="C617" s="11"/>
      <c r="E617" s="7"/>
    </row>
    <row r="618">
      <c r="A618" s="11"/>
      <c r="B618" s="11"/>
      <c r="C618" s="11"/>
      <c r="E618" s="7"/>
    </row>
    <row r="619">
      <c r="A619" s="11"/>
      <c r="B619" s="11"/>
      <c r="C619" s="11"/>
      <c r="E619" s="7"/>
    </row>
    <row r="620">
      <c r="A620" s="11"/>
      <c r="B620" s="11"/>
      <c r="C620" s="11"/>
      <c r="E620" s="7"/>
    </row>
    <row r="621">
      <c r="A621" s="11"/>
      <c r="B621" s="11"/>
      <c r="C621" s="11"/>
      <c r="E621" s="7"/>
    </row>
    <row r="622">
      <c r="A622" s="11"/>
      <c r="B622" s="11"/>
      <c r="C622" s="11"/>
      <c r="E622" s="7"/>
    </row>
    <row r="623">
      <c r="A623" s="11"/>
      <c r="B623" s="11"/>
      <c r="C623" s="11"/>
      <c r="E623" s="7"/>
    </row>
    <row r="624">
      <c r="A624" s="11"/>
      <c r="B624" s="11"/>
      <c r="C624" s="11"/>
      <c r="E624" s="7"/>
    </row>
    <row r="625">
      <c r="A625" s="11"/>
      <c r="B625" s="11"/>
      <c r="C625" s="11"/>
      <c r="E625" s="7"/>
    </row>
    <row r="626">
      <c r="A626" s="11"/>
      <c r="B626" s="11"/>
      <c r="C626" s="11"/>
      <c r="E626" s="7"/>
    </row>
    <row r="627">
      <c r="A627" s="11"/>
      <c r="B627" s="11"/>
      <c r="C627" s="11"/>
      <c r="E627" s="7"/>
    </row>
    <row r="628">
      <c r="A628" s="11"/>
      <c r="B628" s="11"/>
      <c r="C628" s="11"/>
      <c r="E628" s="7"/>
    </row>
    <row r="629">
      <c r="A629" s="11"/>
      <c r="B629" s="11"/>
      <c r="C629" s="11"/>
      <c r="E629" s="7"/>
    </row>
    <row r="630">
      <c r="A630" s="11"/>
      <c r="B630" s="11"/>
      <c r="C630" s="11"/>
      <c r="E630" s="7"/>
    </row>
    <row r="631">
      <c r="A631" s="11"/>
      <c r="B631" s="11"/>
      <c r="C631" s="11"/>
      <c r="E631" s="7"/>
    </row>
    <row r="632">
      <c r="A632" s="11"/>
      <c r="B632" s="11"/>
      <c r="C632" s="11"/>
      <c r="E632" s="7"/>
    </row>
    <row r="633">
      <c r="A633" s="11"/>
      <c r="B633" s="11"/>
      <c r="C633" s="11"/>
      <c r="E633" s="7"/>
    </row>
    <row r="634">
      <c r="A634" s="11"/>
      <c r="B634" s="11"/>
      <c r="C634" s="11"/>
      <c r="E634" s="7"/>
    </row>
    <row r="635">
      <c r="A635" s="11"/>
      <c r="B635" s="11"/>
      <c r="C635" s="11"/>
      <c r="E635" s="7"/>
    </row>
    <row r="636">
      <c r="A636" s="11"/>
      <c r="B636" s="11"/>
      <c r="C636" s="11"/>
      <c r="E636" s="7"/>
    </row>
    <row r="637">
      <c r="A637" s="11"/>
      <c r="B637" s="11"/>
      <c r="C637" s="11"/>
      <c r="E637" s="7"/>
    </row>
    <row r="638">
      <c r="A638" s="11"/>
      <c r="B638" s="11"/>
      <c r="C638" s="11"/>
      <c r="E638" s="7"/>
    </row>
    <row r="639">
      <c r="A639" s="11"/>
      <c r="B639" s="11"/>
      <c r="C639" s="11"/>
      <c r="E639" s="7"/>
    </row>
    <row r="640">
      <c r="A640" s="11"/>
      <c r="B640" s="11"/>
      <c r="C640" s="11"/>
      <c r="E640" s="7"/>
    </row>
    <row r="641">
      <c r="A641" s="11"/>
      <c r="B641" s="11"/>
      <c r="C641" s="11"/>
      <c r="E641" s="7"/>
    </row>
    <row r="642">
      <c r="A642" s="11"/>
      <c r="B642" s="11"/>
      <c r="C642" s="11"/>
      <c r="E642" s="7"/>
    </row>
    <row r="643">
      <c r="A643" s="11"/>
      <c r="B643" s="11"/>
      <c r="C643" s="11"/>
      <c r="E643" s="7"/>
    </row>
    <row r="644">
      <c r="A644" s="11"/>
      <c r="B644" s="11"/>
      <c r="C644" s="11"/>
      <c r="E644" s="7"/>
    </row>
    <row r="645">
      <c r="A645" s="11"/>
      <c r="B645" s="11"/>
      <c r="C645" s="11"/>
      <c r="E645" s="7"/>
    </row>
    <row r="646">
      <c r="A646" s="11"/>
      <c r="B646" s="11"/>
      <c r="C646" s="11"/>
      <c r="E646" s="7"/>
    </row>
    <row r="647">
      <c r="A647" s="11"/>
      <c r="B647" s="11"/>
      <c r="C647" s="11"/>
      <c r="E647" s="7"/>
    </row>
    <row r="648">
      <c r="A648" s="11"/>
      <c r="B648" s="11"/>
      <c r="C648" s="11"/>
      <c r="E648" s="7"/>
    </row>
    <row r="649">
      <c r="A649" s="11"/>
      <c r="B649" s="11"/>
      <c r="C649" s="11"/>
      <c r="E649" s="7"/>
    </row>
    <row r="650">
      <c r="A650" s="11"/>
      <c r="B650" s="11"/>
      <c r="C650" s="11"/>
      <c r="E650" s="7"/>
    </row>
    <row r="651">
      <c r="A651" s="11"/>
      <c r="B651" s="11"/>
      <c r="C651" s="11"/>
      <c r="E651" s="7"/>
    </row>
    <row r="652">
      <c r="A652" s="11"/>
      <c r="B652" s="11"/>
      <c r="C652" s="11"/>
      <c r="E652" s="7"/>
    </row>
    <row r="653">
      <c r="A653" s="11"/>
      <c r="B653" s="11"/>
      <c r="C653" s="11"/>
      <c r="E653" s="7"/>
    </row>
    <row r="654">
      <c r="A654" s="11"/>
      <c r="B654" s="11"/>
      <c r="C654" s="11"/>
      <c r="E654" s="7"/>
    </row>
    <row r="655">
      <c r="A655" s="11"/>
      <c r="B655" s="11"/>
      <c r="C655" s="11"/>
      <c r="E655" s="7"/>
    </row>
    <row r="656">
      <c r="A656" s="11"/>
      <c r="B656" s="11"/>
      <c r="C656" s="11"/>
      <c r="E656" s="7"/>
    </row>
    <row r="657">
      <c r="A657" s="11"/>
      <c r="B657" s="11"/>
      <c r="C657" s="11"/>
      <c r="E657" s="7"/>
    </row>
    <row r="658">
      <c r="A658" s="11"/>
      <c r="B658" s="11"/>
      <c r="C658" s="11"/>
      <c r="E658" s="7"/>
    </row>
    <row r="659">
      <c r="A659" s="11"/>
      <c r="B659" s="11"/>
      <c r="C659" s="11"/>
      <c r="E659" s="7"/>
    </row>
    <row r="660">
      <c r="A660" s="11"/>
      <c r="B660" s="11"/>
      <c r="C660" s="11"/>
      <c r="E660" s="7"/>
    </row>
    <row r="661">
      <c r="A661" s="11"/>
      <c r="B661" s="11"/>
      <c r="C661" s="11"/>
      <c r="E661" s="7"/>
    </row>
    <row r="662">
      <c r="A662" s="11"/>
      <c r="B662" s="11"/>
      <c r="C662" s="11"/>
      <c r="E662" s="7"/>
    </row>
    <row r="663">
      <c r="A663" s="11"/>
      <c r="B663" s="11"/>
      <c r="C663" s="11"/>
      <c r="E663" s="7"/>
    </row>
    <row r="664">
      <c r="A664" s="11"/>
      <c r="B664" s="11"/>
      <c r="C664" s="11"/>
      <c r="E664" s="7"/>
    </row>
    <row r="665">
      <c r="A665" s="11"/>
      <c r="B665" s="11"/>
      <c r="C665" s="11"/>
      <c r="E665" s="7"/>
    </row>
    <row r="666">
      <c r="A666" s="11"/>
      <c r="B666" s="11"/>
      <c r="C666" s="11"/>
      <c r="E666" s="7"/>
    </row>
    <row r="667">
      <c r="A667" s="11"/>
      <c r="B667" s="11"/>
      <c r="C667" s="11"/>
      <c r="E667" s="7"/>
    </row>
    <row r="668">
      <c r="A668" s="11"/>
      <c r="B668" s="11"/>
      <c r="C668" s="11"/>
      <c r="E668" s="7"/>
    </row>
    <row r="669">
      <c r="A669" s="11"/>
      <c r="B669" s="11"/>
      <c r="C669" s="11"/>
      <c r="E669" s="7"/>
    </row>
    <row r="670">
      <c r="A670" s="11"/>
      <c r="B670" s="11"/>
      <c r="C670" s="11"/>
      <c r="E670" s="7"/>
    </row>
    <row r="671">
      <c r="A671" s="11"/>
      <c r="B671" s="11"/>
      <c r="C671" s="11"/>
      <c r="E671" s="7"/>
    </row>
    <row r="672">
      <c r="A672" s="11"/>
      <c r="B672" s="11"/>
      <c r="C672" s="11"/>
      <c r="E672" s="7"/>
    </row>
    <row r="673">
      <c r="A673" s="11"/>
      <c r="B673" s="11"/>
      <c r="C673" s="11"/>
      <c r="E673" s="7"/>
    </row>
    <row r="674">
      <c r="A674" s="11"/>
      <c r="B674" s="11"/>
      <c r="C674" s="11"/>
      <c r="E674" s="7"/>
    </row>
    <row r="675">
      <c r="A675" s="11"/>
      <c r="B675" s="11"/>
      <c r="C675" s="11"/>
      <c r="E675" s="7"/>
    </row>
    <row r="676">
      <c r="A676" s="11"/>
      <c r="B676" s="11"/>
      <c r="C676" s="11"/>
      <c r="E676" s="7"/>
    </row>
    <row r="677">
      <c r="A677" s="11"/>
      <c r="B677" s="11"/>
      <c r="C677" s="11"/>
      <c r="E677" s="7"/>
    </row>
    <row r="678">
      <c r="A678" s="11"/>
      <c r="B678" s="11"/>
      <c r="C678" s="11"/>
      <c r="E678" s="7"/>
    </row>
    <row r="679">
      <c r="A679" s="11"/>
      <c r="B679" s="11"/>
      <c r="C679" s="11"/>
      <c r="E679" s="7"/>
    </row>
    <row r="680">
      <c r="A680" s="11"/>
      <c r="B680" s="11"/>
      <c r="C680" s="11"/>
      <c r="E680" s="7"/>
    </row>
    <row r="681">
      <c r="A681" s="11"/>
      <c r="B681" s="11"/>
      <c r="C681" s="11"/>
      <c r="E681" s="7"/>
    </row>
    <row r="682">
      <c r="A682" s="11"/>
      <c r="B682" s="11"/>
      <c r="C682" s="11"/>
      <c r="E682" s="7"/>
    </row>
    <row r="683">
      <c r="A683" s="11"/>
      <c r="B683" s="11"/>
      <c r="C683" s="11"/>
      <c r="E683" s="7"/>
    </row>
    <row r="684">
      <c r="A684" s="11"/>
      <c r="B684" s="11"/>
      <c r="C684" s="11"/>
      <c r="E684" s="7"/>
    </row>
    <row r="685">
      <c r="A685" s="11"/>
      <c r="B685" s="11"/>
      <c r="C685" s="11"/>
      <c r="E685" s="7"/>
    </row>
    <row r="686">
      <c r="A686" s="11"/>
      <c r="B686" s="11"/>
      <c r="C686" s="11"/>
      <c r="E686" s="7"/>
    </row>
    <row r="687">
      <c r="A687" s="11"/>
      <c r="B687" s="11"/>
      <c r="C687" s="11"/>
      <c r="E687" s="7"/>
    </row>
    <row r="688">
      <c r="A688" s="11"/>
      <c r="B688" s="11"/>
      <c r="C688" s="11"/>
      <c r="E688" s="7"/>
    </row>
    <row r="689">
      <c r="A689" s="11"/>
      <c r="B689" s="11"/>
      <c r="C689" s="11"/>
      <c r="E689" s="7"/>
    </row>
    <row r="690">
      <c r="A690" s="11"/>
      <c r="B690" s="11"/>
      <c r="C690" s="11"/>
      <c r="E690" s="7"/>
    </row>
    <row r="691">
      <c r="A691" s="11"/>
      <c r="B691" s="11"/>
      <c r="C691" s="11"/>
      <c r="E691" s="7"/>
    </row>
    <row r="692">
      <c r="A692" s="11"/>
      <c r="B692" s="11"/>
      <c r="C692" s="11"/>
      <c r="E692" s="7"/>
    </row>
    <row r="693">
      <c r="A693" s="11"/>
      <c r="B693" s="11"/>
      <c r="C693" s="11"/>
      <c r="E693" s="7"/>
    </row>
    <row r="694">
      <c r="A694" s="11"/>
      <c r="B694" s="11"/>
      <c r="C694" s="11"/>
      <c r="E694" s="7"/>
    </row>
    <row r="695">
      <c r="A695" s="11"/>
      <c r="B695" s="11"/>
      <c r="C695" s="11"/>
      <c r="E695" s="7"/>
    </row>
    <row r="696">
      <c r="A696" s="11"/>
      <c r="B696" s="11"/>
      <c r="C696" s="11"/>
      <c r="E696" s="7"/>
    </row>
    <row r="697">
      <c r="A697" s="11"/>
      <c r="B697" s="11"/>
      <c r="C697" s="11"/>
      <c r="E697" s="7"/>
    </row>
    <row r="698">
      <c r="A698" s="11"/>
      <c r="B698" s="11"/>
      <c r="C698" s="11"/>
      <c r="E698" s="7"/>
    </row>
    <row r="699">
      <c r="A699" s="11"/>
      <c r="B699" s="11"/>
      <c r="C699" s="11"/>
      <c r="E699" s="7"/>
    </row>
    <row r="700">
      <c r="A700" s="11"/>
      <c r="B700" s="11"/>
      <c r="C700" s="11"/>
      <c r="E700" s="7"/>
    </row>
    <row r="701">
      <c r="A701" s="11"/>
      <c r="B701" s="11"/>
      <c r="C701" s="11"/>
      <c r="E701" s="7"/>
    </row>
    <row r="702">
      <c r="A702" s="11"/>
      <c r="B702" s="11"/>
      <c r="C702" s="11"/>
      <c r="E702" s="7"/>
    </row>
    <row r="703">
      <c r="A703" s="11"/>
      <c r="B703" s="11"/>
      <c r="C703" s="11"/>
      <c r="E703" s="7"/>
    </row>
    <row r="704">
      <c r="A704" s="11"/>
      <c r="B704" s="11"/>
      <c r="C704" s="11"/>
      <c r="E704" s="7"/>
    </row>
    <row r="705">
      <c r="A705" s="11"/>
      <c r="B705" s="11"/>
      <c r="C705" s="11"/>
      <c r="E705" s="7"/>
    </row>
    <row r="706">
      <c r="A706" s="11"/>
      <c r="B706" s="11"/>
      <c r="C706" s="11"/>
      <c r="E706" s="7"/>
    </row>
    <row r="707">
      <c r="A707" s="11"/>
      <c r="B707" s="11"/>
      <c r="C707" s="11"/>
      <c r="E707" s="7"/>
    </row>
    <row r="708">
      <c r="A708" s="11"/>
      <c r="B708" s="11"/>
      <c r="C708" s="11"/>
      <c r="E708" s="7"/>
    </row>
    <row r="709">
      <c r="A709" s="11"/>
      <c r="B709" s="11"/>
      <c r="C709" s="11"/>
      <c r="E709" s="7"/>
    </row>
    <row r="710">
      <c r="A710" s="11"/>
      <c r="B710" s="11"/>
      <c r="C710" s="11"/>
      <c r="E710" s="7"/>
    </row>
    <row r="711">
      <c r="A711" s="11"/>
      <c r="B711" s="11"/>
      <c r="C711" s="11"/>
      <c r="E711" s="7"/>
    </row>
    <row r="712">
      <c r="A712" s="11"/>
      <c r="B712" s="11"/>
      <c r="C712" s="11"/>
      <c r="E712" s="7"/>
    </row>
    <row r="713">
      <c r="A713" s="11"/>
      <c r="B713" s="11"/>
      <c r="C713" s="11"/>
      <c r="E713" s="7"/>
    </row>
    <row r="714">
      <c r="A714" s="11"/>
      <c r="B714" s="11"/>
      <c r="C714" s="11"/>
      <c r="E714" s="7"/>
    </row>
    <row r="715">
      <c r="A715" s="11"/>
      <c r="B715" s="11"/>
      <c r="C715" s="11"/>
      <c r="E715" s="7"/>
    </row>
    <row r="716">
      <c r="A716" s="11"/>
      <c r="B716" s="11"/>
      <c r="C716" s="11"/>
      <c r="E716" s="7"/>
    </row>
    <row r="717">
      <c r="A717" s="11"/>
      <c r="B717" s="11"/>
      <c r="C717" s="11"/>
      <c r="E717" s="7"/>
    </row>
    <row r="718">
      <c r="A718" s="11"/>
      <c r="B718" s="11"/>
      <c r="C718" s="11"/>
      <c r="E718" s="7"/>
    </row>
    <row r="719">
      <c r="A719" s="11"/>
      <c r="B719" s="11"/>
      <c r="C719" s="11"/>
      <c r="E719" s="7"/>
    </row>
    <row r="720">
      <c r="A720" s="11"/>
      <c r="B720" s="11"/>
      <c r="C720" s="11"/>
      <c r="E720" s="7"/>
    </row>
    <row r="721">
      <c r="A721" s="11"/>
      <c r="B721" s="11"/>
      <c r="C721" s="11"/>
      <c r="E721" s="7"/>
    </row>
    <row r="722">
      <c r="A722" s="11"/>
      <c r="B722" s="11"/>
      <c r="C722" s="11"/>
      <c r="E722" s="7"/>
    </row>
    <row r="723">
      <c r="A723" s="11"/>
      <c r="B723" s="11"/>
      <c r="C723" s="11"/>
      <c r="E723" s="7"/>
    </row>
    <row r="724">
      <c r="A724" s="11"/>
      <c r="B724" s="11"/>
      <c r="C724" s="11"/>
      <c r="E724" s="7"/>
    </row>
    <row r="725">
      <c r="A725" s="11"/>
      <c r="B725" s="11"/>
      <c r="C725" s="11"/>
      <c r="E725" s="7"/>
    </row>
    <row r="726">
      <c r="A726" s="11"/>
      <c r="B726" s="11"/>
      <c r="C726" s="11"/>
      <c r="E726" s="7"/>
    </row>
    <row r="727">
      <c r="A727" s="11"/>
      <c r="B727" s="11"/>
      <c r="C727" s="11"/>
      <c r="E727" s="7"/>
    </row>
    <row r="728">
      <c r="A728" s="11"/>
      <c r="B728" s="11"/>
      <c r="C728" s="11"/>
      <c r="E728" s="7"/>
    </row>
    <row r="729">
      <c r="A729" s="11"/>
      <c r="B729" s="11"/>
      <c r="C729" s="11"/>
      <c r="E729" s="7"/>
    </row>
    <row r="730">
      <c r="A730" s="11"/>
      <c r="B730" s="11"/>
      <c r="C730" s="11"/>
      <c r="E730" s="7"/>
    </row>
    <row r="731">
      <c r="A731" s="11"/>
      <c r="B731" s="11"/>
      <c r="C731" s="11"/>
      <c r="E731" s="7"/>
    </row>
    <row r="732">
      <c r="A732" s="11"/>
      <c r="B732" s="11"/>
      <c r="C732" s="11"/>
      <c r="E732" s="7"/>
    </row>
    <row r="733">
      <c r="A733" s="11"/>
      <c r="B733" s="11"/>
      <c r="C733" s="11"/>
      <c r="E733" s="7"/>
    </row>
    <row r="734">
      <c r="A734" s="11"/>
      <c r="B734" s="11"/>
      <c r="C734" s="11"/>
      <c r="E734" s="7"/>
    </row>
    <row r="735">
      <c r="A735" s="11"/>
      <c r="B735" s="11"/>
      <c r="C735" s="11"/>
      <c r="E735" s="7"/>
    </row>
    <row r="736">
      <c r="A736" s="11"/>
      <c r="B736" s="11"/>
      <c r="C736" s="11"/>
      <c r="E736" s="7"/>
    </row>
    <row r="737">
      <c r="A737" s="11"/>
      <c r="B737" s="11"/>
      <c r="C737" s="11"/>
      <c r="E737" s="7"/>
    </row>
    <row r="738">
      <c r="A738" s="11"/>
      <c r="B738" s="11"/>
      <c r="C738" s="11"/>
      <c r="E738" s="7"/>
    </row>
    <row r="739">
      <c r="A739" s="11"/>
      <c r="B739" s="11"/>
      <c r="C739" s="11"/>
      <c r="E739" s="7"/>
    </row>
    <row r="740">
      <c r="A740" s="11"/>
      <c r="B740" s="11"/>
      <c r="C740" s="11"/>
      <c r="E740" s="7"/>
    </row>
    <row r="741">
      <c r="A741" s="11"/>
      <c r="B741" s="11"/>
      <c r="C741" s="11"/>
      <c r="E741" s="7"/>
    </row>
    <row r="742">
      <c r="A742" s="11"/>
      <c r="B742" s="11"/>
      <c r="C742" s="11"/>
      <c r="E742" s="7"/>
    </row>
    <row r="743">
      <c r="A743" s="11"/>
      <c r="B743" s="11"/>
      <c r="C743" s="11"/>
      <c r="E743" s="7"/>
    </row>
    <row r="744">
      <c r="A744" s="11"/>
      <c r="B744" s="11"/>
      <c r="C744" s="11"/>
      <c r="E744" s="7"/>
    </row>
    <row r="745">
      <c r="A745" s="11"/>
      <c r="B745" s="11"/>
      <c r="C745" s="11"/>
      <c r="E745" s="7"/>
    </row>
    <row r="746">
      <c r="A746" s="11"/>
      <c r="B746" s="11"/>
      <c r="C746" s="11"/>
      <c r="E746" s="7"/>
    </row>
    <row r="747">
      <c r="A747" s="11"/>
      <c r="B747" s="11"/>
      <c r="C747" s="11"/>
      <c r="E747" s="7"/>
    </row>
    <row r="748">
      <c r="A748" s="11"/>
      <c r="B748" s="11"/>
      <c r="C748" s="11"/>
      <c r="E748" s="7"/>
    </row>
    <row r="749">
      <c r="A749" s="11"/>
      <c r="B749" s="11"/>
      <c r="C749" s="11"/>
      <c r="E749" s="7"/>
    </row>
    <row r="750">
      <c r="A750" s="11"/>
      <c r="B750" s="11"/>
      <c r="C750" s="11"/>
      <c r="E750" s="7"/>
    </row>
    <row r="751">
      <c r="A751" s="11"/>
      <c r="B751" s="11"/>
      <c r="C751" s="11"/>
      <c r="E751" s="7"/>
    </row>
    <row r="752">
      <c r="A752" s="11"/>
      <c r="B752" s="11"/>
      <c r="C752" s="11"/>
      <c r="E752" s="7"/>
    </row>
    <row r="753">
      <c r="A753" s="11"/>
      <c r="B753" s="11"/>
      <c r="C753" s="11"/>
      <c r="E753" s="7"/>
    </row>
    <row r="754">
      <c r="A754" s="11"/>
      <c r="B754" s="11"/>
      <c r="C754" s="11"/>
      <c r="E754" s="7"/>
    </row>
    <row r="755">
      <c r="A755" s="11"/>
      <c r="B755" s="11"/>
      <c r="C755" s="11"/>
      <c r="E755" s="7"/>
    </row>
    <row r="756">
      <c r="A756" s="11"/>
      <c r="B756" s="11"/>
      <c r="C756" s="11"/>
      <c r="E756" s="7"/>
    </row>
    <row r="757">
      <c r="A757" s="11"/>
      <c r="B757" s="11"/>
      <c r="C757" s="11"/>
      <c r="E757" s="7"/>
    </row>
    <row r="758">
      <c r="A758" s="11"/>
      <c r="B758" s="11"/>
      <c r="C758" s="11"/>
      <c r="E758" s="7"/>
    </row>
    <row r="759">
      <c r="A759" s="11"/>
      <c r="B759" s="11"/>
      <c r="C759" s="11"/>
      <c r="E759" s="7"/>
    </row>
    <row r="760">
      <c r="A760" s="11"/>
      <c r="B760" s="11"/>
      <c r="C760" s="11"/>
      <c r="E760" s="7"/>
    </row>
    <row r="761">
      <c r="A761" s="11"/>
      <c r="B761" s="11"/>
      <c r="C761" s="11"/>
      <c r="E761" s="7"/>
    </row>
    <row r="762">
      <c r="A762" s="11"/>
      <c r="B762" s="11"/>
      <c r="C762" s="11"/>
      <c r="E762" s="7"/>
    </row>
    <row r="763">
      <c r="A763" s="11"/>
      <c r="B763" s="11"/>
      <c r="C763" s="11"/>
      <c r="E763" s="7"/>
    </row>
    <row r="764">
      <c r="A764" s="11"/>
      <c r="B764" s="11"/>
      <c r="C764" s="11"/>
      <c r="E764" s="7"/>
    </row>
    <row r="765">
      <c r="A765" s="11"/>
      <c r="B765" s="11"/>
      <c r="C765" s="11"/>
      <c r="E765" s="7"/>
    </row>
    <row r="766">
      <c r="A766" s="11"/>
      <c r="B766" s="11"/>
      <c r="C766" s="11"/>
      <c r="E766" s="7"/>
    </row>
    <row r="767">
      <c r="A767" s="11"/>
      <c r="B767" s="11"/>
      <c r="C767" s="11"/>
      <c r="E767" s="7"/>
    </row>
    <row r="768">
      <c r="A768" s="11"/>
      <c r="B768" s="11"/>
      <c r="C768" s="11"/>
      <c r="E768" s="7"/>
    </row>
    <row r="769">
      <c r="A769" s="11"/>
      <c r="B769" s="11"/>
      <c r="C769" s="11"/>
      <c r="E769" s="7"/>
    </row>
    <row r="770">
      <c r="A770" s="11"/>
      <c r="B770" s="11"/>
      <c r="C770" s="11"/>
      <c r="E770" s="7"/>
    </row>
    <row r="771">
      <c r="A771" s="11"/>
      <c r="B771" s="11"/>
      <c r="C771" s="11"/>
      <c r="E771" s="7"/>
    </row>
    <row r="772">
      <c r="A772" s="11"/>
      <c r="B772" s="11"/>
      <c r="C772" s="11"/>
      <c r="E772" s="7"/>
    </row>
    <row r="773">
      <c r="A773" s="11"/>
      <c r="B773" s="11"/>
      <c r="C773" s="11"/>
      <c r="E773" s="7"/>
    </row>
    <row r="774">
      <c r="A774" s="11"/>
      <c r="B774" s="11"/>
      <c r="C774" s="11"/>
      <c r="E774" s="7"/>
    </row>
    <row r="775">
      <c r="A775" s="11"/>
      <c r="B775" s="11"/>
      <c r="C775" s="11"/>
      <c r="E775" s="7"/>
    </row>
    <row r="776">
      <c r="A776" s="11"/>
      <c r="B776" s="11"/>
      <c r="C776" s="11"/>
      <c r="E776" s="7"/>
    </row>
    <row r="777">
      <c r="A777" s="11"/>
      <c r="B777" s="11"/>
      <c r="C777" s="11"/>
      <c r="E777" s="7"/>
    </row>
    <row r="778">
      <c r="A778" s="11"/>
      <c r="B778" s="11"/>
      <c r="C778" s="11"/>
      <c r="E778" s="7"/>
    </row>
    <row r="779">
      <c r="A779" s="11"/>
      <c r="B779" s="11"/>
      <c r="C779" s="11"/>
      <c r="E779" s="7"/>
    </row>
    <row r="780">
      <c r="A780" s="11"/>
      <c r="B780" s="11"/>
      <c r="C780" s="11"/>
      <c r="E780" s="7"/>
    </row>
    <row r="781">
      <c r="A781" s="11"/>
      <c r="B781" s="11"/>
      <c r="C781" s="11"/>
      <c r="E781" s="7"/>
    </row>
    <row r="782">
      <c r="A782" s="11"/>
      <c r="B782" s="11"/>
      <c r="C782" s="11"/>
      <c r="E782" s="7"/>
    </row>
    <row r="783">
      <c r="A783" s="11"/>
      <c r="B783" s="11"/>
      <c r="C783" s="11"/>
      <c r="E783" s="7"/>
    </row>
    <row r="784">
      <c r="A784" s="11"/>
      <c r="B784" s="11"/>
      <c r="C784" s="11"/>
      <c r="E784" s="7"/>
    </row>
    <row r="785">
      <c r="A785" s="11"/>
      <c r="B785" s="11"/>
      <c r="C785" s="11"/>
      <c r="E785" s="7"/>
    </row>
    <row r="786">
      <c r="A786" s="11"/>
      <c r="B786" s="11"/>
      <c r="C786" s="11"/>
      <c r="E786" s="7"/>
    </row>
    <row r="787">
      <c r="A787" s="11"/>
      <c r="B787" s="11"/>
      <c r="C787" s="11"/>
      <c r="E787" s="7"/>
    </row>
    <row r="788">
      <c r="A788" s="11"/>
      <c r="B788" s="11"/>
      <c r="C788" s="11"/>
      <c r="E788" s="7"/>
    </row>
    <row r="789">
      <c r="A789" s="11"/>
      <c r="B789" s="11"/>
      <c r="C789" s="11"/>
      <c r="E789" s="7"/>
    </row>
    <row r="790">
      <c r="A790" s="11"/>
      <c r="B790" s="11"/>
      <c r="C790" s="11"/>
      <c r="E790" s="7"/>
    </row>
    <row r="791">
      <c r="A791" s="11"/>
      <c r="B791" s="11"/>
      <c r="C791" s="11"/>
      <c r="E791" s="7"/>
    </row>
    <row r="792">
      <c r="A792" s="11"/>
      <c r="B792" s="11"/>
      <c r="C792" s="11"/>
      <c r="E792" s="7"/>
    </row>
    <row r="793">
      <c r="A793" s="11"/>
      <c r="B793" s="11"/>
      <c r="C793" s="11"/>
      <c r="E793" s="7"/>
    </row>
    <row r="794">
      <c r="A794" s="11"/>
      <c r="B794" s="11"/>
      <c r="C794" s="11"/>
      <c r="E794" s="7"/>
    </row>
    <row r="795">
      <c r="A795" s="11"/>
      <c r="B795" s="11"/>
      <c r="C795" s="11"/>
      <c r="E795" s="7"/>
    </row>
    <row r="796">
      <c r="A796" s="11"/>
      <c r="B796" s="11"/>
      <c r="C796" s="11"/>
      <c r="E796" s="7"/>
    </row>
    <row r="797">
      <c r="A797" s="11"/>
      <c r="B797" s="11"/>
      <c r="C797" s="11"/>
      <c r="E797" s="7"/>
    </row>
    <row r="798">
      <c r="A798" s="11"/>
      <c r="B798" s="11"/>
      <c r="C798" s="11"/>
      <c r="E798" s="7"/>
    </row>
    <row r="799">
      <c r="A799" s="11"/>
      <c r="B799" s="11"/>
      <c r="C799" s="11"/>
      <c r="E799" s="7"/>
    </row>
    <row r="800">
      <c r="A800" s="11"/>
      <c r="B800" s="11"/>
      <c r="C800" s="11"/>
      <c r="E800" s="7"/>
    </row>
    <row r="801">
      <c r="A801" s="11"/>
      <c r="B801" s="11"/>
      <c r="C801" s="11"/>
      <c r="E801" s="7"/>
    </row>
    <row r="802">
      <c r="A802" s="11"/>
      <c r="B802" s="11"/>
      <c r="C802" s="11"/>
      <c r="E802" s="7"/>
    </row>
    <row r="803">
      <c r="A803" s="11"/>
      <c r="B803" s="11"/>
      <c r="C803" s="11"/>
      <c r="E803" s="7"/>
    </row>
    <row r="804">
      <c r="A804" s="11"/>
      <c r="B804" s="11"/>
      <c r="C804" s="11"/>
      <c r="E804" s="7"/>
    </row>
    <row r="805">
      <c r="A805" s="11"/>
      <c r="B805" s="11"/>
      <c r="C805" s="11"/>
      <c r="E805" s="7"/>
    </row>
    <row r="806">
      <c r="A806" s="11"/>
      <c r="B806" s="11"/>
      <c r="C806" s="11"/>
      <c r="E806" s="7"/>
    </row>
    <row r="807">
      <c r="A807" s="11"/>
      <c r="B807" s="11"/>
      <c r="C807" s="11"/>
      <c r="E807" s="7"/>
    </row>
    <row r="808">
      <c r="A808" s="11"/>
      <c r="B808" s="11"/>
      <c r="C808" s="11"/>
      <c r="E808" s="7"/>
    </row>
    <row r="809">
      <c r="A809" s="11"/>
      <c r="B809" s="11"/>
      <c r="C809" s="11"/>
      <c r="E809" s="7"/>
    </row>
    <row r="810">
      <c r="A810" s="11"/>
      <c r="B810" s="11"/>
      <c r="C810" s="11"/>
      <c r="E810" s="7"/>
    </row>
    <row r="811">
      <c r="A811" s="11"/>
      <c r="B811" s="11"/>
      <c r="C811" s="11"/>
      <c r="E811" s="7"/>
    </row>
    <row r="812">
      <c r="A812" s="11"/>
      <c r="B812" s="11"/>
      <c r="C812" s="11"/>
      <c r="E812" s="7"/>
    </row>
    <row r="813">
      <c r="A813" s="11"/>
      <c r="B813" s="11"/>
      <c r="C813" s="11"/>
      <c r="E813" s="7"/>
    </row>
    <row r="814">
      <c r="A814" s="11"/>
      <c r="B814" s="11"/>
      <c r="C814" s="11"/>
      <c r="E814" s="7"/>
    </row>
    <row r="815">
      <c r="A815" s="11"/>
      <c r="B815" s="11"/>
      <c r="C815" s="11"/>
      <c r="E815" s="7"/>
    </row>
    <row r="816">
      <c r="A816" s="11"/>
      <c r="B816" s="11"/>
      <c r="C816" s="11"/>
      <c r="E816" s="7"/>
    </row>
    <row r="817">
      <c r="A817" s="11"/>
      <c r="B817" s="11"/>
      <c r="C817" s="11"/>
      <c r="E817" s="7"/>
    </row>
    <row r="818">
      <c r="A818" s="11"/>
      <c r="B818" s="11"/>
      <c r="C818" s="11"/>
      <c r="E818" s="7"/>
    </row>
    <row r="819">
      <c r="A819" s="11"/>
      <c r="B819" s="11"/>
      <c r="C819" s="11"/>
      <c r="E819" s="7"/>
    </row>
    <row r="820">
      <c r="A820" s="11"/>
      <c r="B820" s="11"/>
      <c r="C820" s="11"/>
      <c r="E820" s="7"/>
    </row>
    <row r="821">
      <c r="A821" s="11"/>
      <c r="B821" s="11"/>
      <c r="C821" s="11"/>
      <c r="E821" s="7"/>
    </row>
    <row r="822">
      <c r="A822" s="11"/>
      <c r="B822" s="11"/>
      <c r="C822" s="11"/>
      <c r="E822" s="7"/>
    </row>
    <row r="823">
      <c r="A823" s="11"/>
      <c r="B823" s="11"/>
      <c r="C823" s="11"/>
      <c r="E823" s="7"/>
    </row>
    <row r="824">
      <c r="A824" s="11"/>
      <c r="B824" s="11"/>
      <c r="C824" s="11"/>
      <c r="E824" s="7"/>
    </row>
    <row r="825">
      <c r="A825" s="11"/>
      <c r="B825" s="11"/>
      <c r="C825" s="11"/>
      <c r="E825" s="7"/>
    </row>
    <row r="826">
      <c r="A826" s="11"/>
      <c r="B826" s="11"/>
      <c r="C826" s="11"/>
      <c r="E826" s="7"/>
    </row>
    <row r="827">
      <c r="A827" s="11"/>
      <c r="B827" s="11"/>
      <c r="C827" s="11"/>
      <c r="E827" s="7"/>
    </row>
    <row r="828">
      <c r="A828" s="11"/>
      <c r="B828" s="11"/>
      <c r="C828" s="11"/>
      <c r="E828" s="7"/>
    </row>
    <row r="829">
      <c r="A829" s="11"/>
      <c r="B829" s="11"/>
      <c r="C829" s="11"/>
      <c r="E829" s="7"/>
    </row>
    <row r="830">
      <c r="A830" s="11"/>
      <c r="B830" s="11"/>
      <c r="C830" s="11"/>
      <c r="E830" s="7"/>
    </row>
    <row r="831">
      <c r="A831" s="11"/>
      <c r="B831" s="11"/>
      <c r="C831" s="11"/>
      <c r="E831" s="7"/>
    </row>
    <row r="832">
      <c r="A832" s="11"/>
      <c r="B832" s="11"/>
      <c r="C832" s="11"/>
      <c r="E832" s="7"/>
    </row>
    <row r="833">
      <c r="A833" s="11"/>
      <c r="B833" s="11"/>
      <c r="C833" s="11"/>
      <c r="E833" s="7"/>
    </row>
    <row r="834">
      <c r="A834" s="11"/>
      <c r="B834" s="11"/>
      <c r="C834" s="11"/>
      <c r="E834" s="7"/>
    </row>
    <row r="835">
      <c r="A835" s="11"/>
      <c r="B835" s="11"/>
      <c r="C835" s="11"/>
      <c r="E835" s="7"/>
    </row>
    <row r="836">
      <c r="A836" s="11"/>
      <c r="B836" s="11"/>
      <c r="C836" s="11"/>
      <c r="E836" s="7"/>
    </row>
    <row r="837">
      <c r="A837" s="11"/>
      <c r="B837" s="11"/>
      <c r="C837" s="11"/>
      <c r="E837" s="7"/>
    </row>
    <row r="838">
      <c r="A838" s="11"/>
      <c r="B838" s="11"/>
      <c r="C838" s="11"/>
      <c r="E838" s="7"/>
    </row>
    <row r="839">
      <c r="A839" s="11"/>
      <c r="B839" s="11"/>
      <c r="C839" s="11"/>
      <c r="E839" s="7"/>
    </row>
    <row r="840">
      <c r="A840" s="11"/>
      <c r="B840" s="11"/>
      <c r="C840" s="11"/>
      <c r="E840" s="7"/>
    </row>
    <row r="841">
      <c r="A841" s="11"/>
      <c r="B841" s="11"/>
      <c r="C841" s="11"/>
      <c r="E841" s="7"/>
    </row>
    <row r="842">
      <c r="A842" s="11"/>
      <c r="B842" s="11"/>
      <c r="C842" s="11"/>
      <c r="E842" s="7"/>
    </row>
    <row r="843">
      <c r="A843" s="11"/>
      <c r="B843" s="11"/>
      <c r="C843" s="11"/>
      <c r="E843" s="7"/>
    </row>
    <row r="844">
      <c r="A844" s="11"/>
      <c r="B844" s="11"/>
      <c r="C844" s="11"/>
      <c r="E844" s="7"/>
    </row>
    <row r="845">
      <c r="A845" s="11"/>
      <c r="B845" s="11"/>
      <c r="C845" s="11"/>
      <c r="E845" s="7"/>
    </row>
    <row r="846">
      <c r="A846" s="11"/>
      <c r="B846" s="11"/>
      <c r="C846" s="11"/>
      <c r="E846" s="7"/>
    </row>
    <row r="847">
      <c r="A847" s="11"/>
      <c r="B847" s="11"/>
      <c r="C847" s="11"/>
      <c r="E847" s="7"/>
    </row>
    <row r="848">
      <c r="A848" s="11"/>
      <c r="B848" s="11"/>
      <c r="C848" s="11"/>
      <c r="E848" s="7"/>
    </row>
    <row r="849">
      <c r="A849" s="11"/>
      <c r="B849" s="11"/>
      <c r="C849" s="11"/>
      <c r="E849" s="7"/>
    </row>
    <row r="850">
      <c r="A850" s="11"/>
      <c r="B850" s="11"/>
      <c r="C850" s="11"/>
      <c r="E850" s="7"/>
    </row>
    <row r="851">
      <c r="A851" s="11"/>
      <c r="B851" s="11"/>
      <c r="C851" s="11"/>
      <c r="E851" s="7"/>
    </row>
    <row r="852">
      <c r="A852" s="11"/>
      <c r="B852" s="11"/>
      <c r="C852" s="11"/>
      <c r="E852" s="7"/>
    </row>
    <row r="853">
      <c r="A853" s="11"/>
      <c r="B853" s="11"/>
      <c r="C853" s="11"/>
      <c r="E853" s="7"/>
    </row>
    <row r="854">
      <c r="A854" s="11"/>
      <c r="B854" s="11"/>
      <c r="C854" s="11"/>
      <c r="E854" s="7"/>
    </row>
    <row r="855">
      <c r="A855" s="11"/>
      <c r="B855" s="11"/>
      <c r="C855" s="11"/>
      <c r="E855" s="7"/>
    </row>
    <row r="856">
      <c r="A856" s="11"/>
      <c r="B856" s="11"/>
      <c r="C856" s="11"/>
      <c r="E856" s="7"/>
    </row>
    <row r="857">
      <c r="A857" s="11"/>
      <c r="B857" s="11"/>
      <c r="C857" s="11"/>
      <c r="E857" s="7"/>
    </row>
    <row r="858">
      <c r="A858" s="11"/>
      <c r="B858" s="11"/>
      <c r="C858" s="11"/>
      <c r="E858" s="7"/>
    </row>
    <row r="859">
      <c r="A859" s="11"/>
      <c r="B859" s="11"/>
      <c r="C859" s="11"/>
      <c r="E859" s="7"/>
    </row>
    <row r="860">
      <c r="A860" s="11"/>
      <c r="B860" s="11"/>
      <c r="C860" s="11"/>
      <c r="E860" s="7"/>
    </row>
    <row r="861">
      <c r="A861" s="11"/>
      <c r="B861" s="11"/>
      <c r="C861" s="11"/>
      <c r="E861" s="7"/>
    </row>
    <row r="862">
      <c r="A862" s="11"/>
      <c r="B862" s="11"/>
      <c r="C862" s="11"/>
      <c r="E862" s="7"/>
    </row>
    <row r="863">
      <c r="A863" s="11"/>
      <c r="B863" s="11"/>
      <c r="C863" s="11"/>
      <c r="E863" s="7"/>
    </row>
    <row r="864">
      <c r="A864" s="11"/>
      <c r="B864" s="11"/>
      <c r="C864" s="11"/>
      <c r="E864" s="7"/>
    </row>
    <row r="865">
      <c r="A865" s="11"/>
      <c r="B865" s="11"/>
      <c r="C865" s="11"/>
      <c r="E865" s="7"/>
    </row>
    <row r="866">
      <c r="A866" s="11"/>
      <c r="B866" s="11"/>
      <c r="C866" s="11"/>
      <c r="E866" s="7"/>
    </row>
    <row r="867">
      <c r="A867" s="11"/>
      <c r="B867" s="11"/>
      <c r="C867" s="11"/>
      <c r="E867" s="7"/>
    </row>
    <row r="868">
      <c r="A868" s="11"/>
      <c r="B868" s="11"/>
      <c r="C868" s="11"/>
      <c r="E868" s="7"/>
    </row>
    <row r="869">
      <c r="A869" s="11"/>
      <c r="B869" s="11"/>
      <c r="C869" s="11"/>
      <c r="E869" s="7"/>
    </row>
    <row r="870">
      <c r="A870" s="11"/>
      <c r="B870" s="11"/>
      <c r="C870" s="11"/>
      <c r="E870" s="7"/>
    </row>
    <row r="871">
      <c r="A871" s="11"/>
      <c r="B871" s="11"/>
      <c r="C871" s="11"/>
      <c r="E871" s="7"/>
    </row>
    <row r="872">
      <c r="A872" s="11"/>
      <c r="B872" s="11"/>
      <c r="C872" s="11"/>
      <c r="E872" s="7"/>
    </row>
    <row r="873">
      <c r="A873" s="11"/>
      <c r="B873" s="11"/>
      <c r="C873" s="11"/>
      <c r="E873" s="7"/>
    </row>
    <row r="874">
      <c r="A874" s="11"/>
      <c r="B874" s="11"/>
      <c r="C874" s="11"/>
      <c r="E874" s="7"/>
    </row>
    <row r="875">
      <c r="A875" s="11"/>
      <c r="B875" s="11"/>
      <c r="C875" s="11"/>
      <c r="E875" s="7"/>
    </row>
    <row r="876">
      <c r="A876" s="11"/>
      <c r="B876" s="11"/>
      <c r="C876" s="11"/>
      <c r="E876" s="7"/>
    </row>
    <row r="877">
      <c r="A877" s="11"/>
      <c r="B877" s="11"/>
      <c r="C877" s="11"/>
      <c r="E877" s="7"/>
    </row>
    <row r="878">
      <c r="A878" s="11"/>
      <c r="B878" s="11"/>
      <c r="C878" s="11"/>
      <c r="E878" s="7"/>
    </row>
    <row r="879">
      <c r="A879" s="11"/>
      <c r="B879" s="11"/>
      <c r="C879" s="11"/>
      <c r="E879" s="7"/>
    </row>
    <row r="880">
      <c r="A880" s="11"/>
      <c r="B880" s="11"/>
      <c r="C880" s="11"/>
      <c r="E880" s="7"/>
    </row>
    <row r="881">
      <c r="A881" s="11"/>
      <c r="B881" s="11"/>
      <c r="C881" s="11"/>
      <c r="E881" s="7"/>
    </row>
    <row r="882">
      <c r="A882" s="11"/>
      <c r="B882" s="11"/>
      <c r="C882" s="11"/>
      <c r="E882" s="7"/>
    </row>
    <row r="883">
      <c r="A883" s="11"/>
      <c r="B883" s="11"/>
      <c r="C883" s="11"/>
      <c r="E883" s="7"/>
    </row>
    <row r="884">
      <c r="A884" s="11"/>
      <c r="B884" s="11"/>
      <c r="C884" s="11"/>
      <c r="E884" s="7"/>
    </row>
    <row r="885">
      <c r="A885" s="11"/>
      <c r="B885" s="11"/>
      <c r="C885" s="11"/>
      <c r="E885" s="7"/>
    </row>
    <row r="886">
      <c r="A886" s="11"/>
      <c r="B886" s="11"/>
      <c r="C886" s="11"/>
      <c r="E886" s="7"/>
    </row>
    <row r="887">
      <c r="A887" s="11"/>
      <c r="B887" s="11"/>
      <c r="C887" s="11"/>
      <c r="E887" s="7"/>
    </row>
    <row r="888">
      <c r="A888" s="11"/>
      <c r="B888" s="11"/>
      <c r="C888" s="11"/>
      <c r="E888" s="7"/>
    </row>
    <row r="889">
      <c r="A889" s="11"/>
      <c r="B889" s="11"/>
      <c r="C889" s="11"/>
      <c r="E889" s="7"/>
    </row>
    <row r="890">
      <c r="A890" s="11"/>
      <c r="B890" s="11"/>
      <c r="C890" s="11"/>
      <c r="E890" s="7"/>
    </row>
    <row r="891">
      <c r="A891" s="11"/>
      <c r="B891" s="11"/>
      <c r="C891" s="11"/>
      <c r="E891" s="7"/>
    </row>
    <row r="892">
      <c r="A892" s="11"/>
      <c r="B892" s="11"/>
      <c r="C892" s="11"/>
      <c r="E892" s="7"/>
    </row>
    <row r="893">
      <c r="A893" s="11"/>
      <c r="B893" s="11"/>
      <c r="C893" s="11"/>
      <c r="E893" s="7"/>
    </row>
    <row r="894">
      <c r="A894" s="11"/>
      <c r="B894" s="11"/>
      <c r="C894" s="11"/>
      <c r="E894" s="7"/>
    </row>
    <row r="895">
      <c r="A895" s="11"/>
      <c r="B895" s="11"/>
      <c r="C895" s="11"/>
      <c r="E895" s="7"/>
    </row>
    <row r="896">
      <c r="A896" s="11"/>
      <c r="B896" s="11"/>
      <c r="C896" s="11"/>
      <c r="E896" s="7"/>
    </row>
    <row r="897">
      <c r="A897" s="11"/>
      <c r="B897" s="11"/>
      <c r="C897" s="11"/>
      <c r="E897" s="7"/>
    </row>
    <row r="898">
      <c r="A898" s="11"/>
      <c r="B898" s="11"/>
      <c r="C898" s="11"/>
      <c r="E898" s="7"/>
    </row>
    <row r="899">
      <c r="A899" s="11"/>
      <c r="B899" s="11"/>
      <c r="C899" s="11"/>
      <c r="E899" s="7"/>
    </row>
    <row r="900">
      <c r="A900" s="11"/>
      <c r="B900" s="11"/>
      <c r="C900" s="11"/>
      <c r="E900" s="7"/>
    </row>
    <row r="901">
      <c r="A901" s="11"/>
      <c r="B901" s="11"/>
      <c r="C901" s="11"/>
      <c r="E901" s="7"/>
    </row>
    <row r="902">
      <c r="A902" s="11"/>
      <c r="B902" s="11"/>
      <c r="C902" s="11"/>
      <c r="E902" s="7"/>
    </row>
    <row r="903">
      <c r="A903" s="11"/>
      <c r="B903" s="11"/>
      <c r="C903" s="11"/>
      <c r="E903" s="7"/>
    </row>
    <row r="904">
      <c r="A904" s="11"/>
      <c r="B904" s="11"/>
      <c r="C904" s="11"/>
      <c r="E904" s="7"/>
    </row>
    <row r="905">
      <c r="A905" s="11"/>
      <c r="B905" s="11"/>
      <c r="C905" s="11"/>
      <c r="E905" s="7"/>
    </row>
    <row r="906">
      <c r="A906" s="11"/>
      <c r="B906" s="11"/>
      <c r="C906" s="11"/>
      <c r="E906" s="7"/>
    </row>
    <row r="907">
      <c r="A907" s="11"/>
      <c r="B907" s="11"/>
      <c r="C907" s="11"/>
      <c r="E907" s="7"/>
    </row>
    <row r="908">
      <c r="A908" s="11"/>
      <c r="B908" s="11"/>
      <c r="C908" s="11"/>
      <c r="E908" s="7"/>
    </row>
    <row r="909">
      <c r="A909" s="11"/>
      <c r="B909" s="11"/>
      <c r="C909" s="11"/>
      <c r="E909" s="7"/>
    </row>
    <row r="910">
      <c r="A910" s="11"/>
      <c r="B910" s="11"/>
      <c r="C910" s="11"/>
      <c r="E910" s="7"/>
    </row>
    <row r="911">
      <c r="A911" s="11"/>
      <c r="B911" s="11"/>
      <c r="C911" s="11"/>
      <c r="E911" s="7"/>
    </row>
    <row r="912">
      <c r="A912" s="11"/>
      <c r="B912" s="11"/>
      <c r="C912" s="11"/>
      <c r="E912" s="7"/>
    </row>
    <row r="913">
      <c r="A913" s="11"/>
      <c r="B913" s="11"/>
      <c r="C913" s="11"/>
      <c r="E913" s="7"/>
    </row>
    <row r="914">
      <c r="A914" s="11"/>
      <c r="B914" s="11"/>
      <c r="C914" s="11"/>
      <c r="E914" s="7"/>
    </row>
    <row r="915">
      <c r="A915" s="11"/>
      <c r="B915" s="11"/>
      <c r="C915" s="11"/>
      <c r="E915" s="7"/>
    </row>
    <row r="916">
      <c r="A916" s="11"/>
      <c r="B916" s="11"/>
      <c r="C916" s="11"/>
      <c r="E916" s="7"/>
    </row>
    <row r="917">
      <c r="A917" s="11"/>
      <c r="B917" s="11"/>
      <c r="C917" s="11"/>
      <c r="E917" s="7"/>
    </row>
    <row r="918">
      <c r="A918" s="11"/>
      <c r="B918" s="11"/>
      <c r="C918" s="11"/>
      <c r="E918" s="7"/>
    </row>
    <row r="919">
      <c r="A919" s="11"/>
      <c r="B919" s="11"/>
      <c r="C919" s="11"/>
      <c r="E919" s="7"/>
    </row>
    <row r="920">
      <c r="A920" s="11"/>
      <c r="B920" s="11"/>
      <c r="C920" s="11"/>
      <c r="E920" s="7"/>
    </row>
    <row r="921">
      <c r="A921" s="11"/>
      <c r="B921" s="11"/>
      <c r="C921" s="11"/>
      <c r="E921" s="7"/>
    </row>
    <row r="922">
      <c r="A922" s="11"/>
      <c r="B922" s="11"/>
      <c r="C922" s="11"/>
      <c r="E922" s="7"/>
    </row>
    <row r="923">
      <c r="A923" s="11"/>
      <c r="B923" s="11"/>
      <c r="C923" s="11"/>
      <c r="E923" s="7"/>
    </row>
    <row r="924">
      <c r="A924" s="11"/>
      <c r="B924" s="11"/>
      <c r="C924" s="11"/>
      <c r="E924" s="7"/>
    </row>
    <row r="925">
      <c r="A925" s="11"/>
      <c r="B925" s="11"/>
      <c r="C925" s="11"/>
      <c r="E925" s="7"/>
    </row>
    <row r="926">
      <c r="A926" s="11"/>
      <c r="B926" s="11"/>
      <c r="C926" s="11"/>
      <c r="E926" s="7"/>
    </row>
    <row r="927">
      <c r="A927" s="11"/>
      <c r="B927" s="11"/>
      <c r="C927" s="11"/>
      <c r="E927" s="7"/>
    </row>
    <row r="928">
      <c r="A928" s="11"/>
      <c r="B928" s="11"/>
      <c r="C928" s="11"/>
      <c r="E928" s="7"/>
    </row>
    <row r="929">
      <c r="A929" s="11"/>
      <c r="B929" s="11"/>
      <c r="C929" s="11"/>
      <c r="E929" s="7"/>
    </row>
    <row r="930">
      <c r="A930" s="11"/>
      <c r="B930" s="11"/>
      <c r="C930" s="11"/>
      <c r="E930" s="7"/>
    </row>
    <row r="931">
      <c r="A931" s="11"/>
      <c r="B931" s="11"/>
      <c r="C931" s="11"/>
      <c r="E931" s="7"/>
    </row>
    <row r="932">
      <c r="A932" s="11"/>
      <c r="B932" s="11"/>
      <c r="C932" s="11"/>
      <c r="E932" s="7"/>
    </row>
    <row r="933">
      <c r="A933" s="11"/>
      <c r="B933" s="11"/>
      <c r="C933" s="11"/>
      <c r="E933" s="7"/>
    </row>
    <row r="934">
      <c r="A934" s="11"/>
      <c r="B934" s="11"/>
      <c r="C934" s="11"/>
      <c r="E934" s="7"/>
    </row>
    <row r="935">
      <c r="A935" s="11"/>
      <c r="B935" s="11"/>
      <c r="C935" s="11"/>
      <c r="E935" s="7"/>
    </row>
    <row r="936">
      <c r="A936" s="11"/>
      <c r="B936" s="11"/>
      <c r="C936" s="11"/>
      <c r="E936" s="7"/>
    </row>
    <row r="937">
      <c r="A937" s="11"/>
      <c r="B937" s="11"/>
      <c r="C937" s="11"/>
      <c r="E937" s="7"/>
    </row>
    <row r="938">
      <c r="A938" s="11"/>
      <c r="B938" s="11"/>
      <c r="C938" s="11"/>
      <c r="E938" s="7"/>
    </row>
    <row r="939">
      <c r="A939" s="11"/>
      <c r="B939" s="11"/>
      <c r="C939" s="11"/>
      <c r="E939" s="7"/>
    </row>
    <row r="940">
      <c r="A940" s="11"/>
      <c r="B940" s="11"/>
      <c r="C940" s="11"/>
      <c r="E940" s="7"/>
    </row>
    <row r="941">
      <c r="A941" s="11"/>
      <c r="B941" s="11"/>
      <c r="C941" s="11"/>
      <c r="E941" s="7"/>
    </row>
    <row r="942">
      <c r="A942" s="11"/>
      <c r="B942" s="11"/>
      <c r="C942" s="11"/>
      <c r="E942" s="7"/>
    </row>
    <row r="943">
      <c r="A943" s="11"/>
      <c r="B943" s="11"/>
      <c r="C943" s="11"/>
      <c r="E943" s="7"/>
    </row>
    <row r="944">
      <c r="A944" s="11"/>
      <c r="B944" s="11"/>
      <c r="C944" s="11"/>
      <c r="E944" s="7"/>
    </row>
    <row r="945">
      <c r="A945" s="11"/>
      <c r="B945" s="11"/>
      <c r="C945" s="11"/>
      <c r="E945" s="7"/>
    </row>
    <row r="946">
      <c r="A946" s="11"/>
      <c r="B946" s="11"/>
      <c r="C946" s="11"/>
      <c r="E946" s="7"/>
    </row>
    <row r="947">
      <c r="A947" s="11"/>
      <c r="B947" s="11"/>
      <c r="C947" s="11"/>
      <c r="E947" s="7"/>
    </row>
    <row r="948">
      <c r="A948" s="11"/>
      <c r="B948" s="11"/>
      <c r="C948" s="11"/>
      <c r="E948" s="7"/>
    </row>
    <row r="949">
      <c r="A949" s="11"/>
      <c r="B949" s="11"/>
      <c r="C949" s="11"/>
      <c r="E949" s="7"/>
    </row>
    <row r="950">
      <c r="A950" s="11"/>
      <c r="B950" s="11"/>
      <c r="C950" s="11"/>
      <c r="E950" s="7"/>
    </row>
    <row r="951">
      <c r="A951" s="11"/>
      <c r="B951" s="11"/>
      <c r="C951" s="11"/>
      <c r="E951" s="7"/>
    </row>
    <row r="952">
      <c r="A952" s="11"/>
      <c r="B952" s="11"/>
      <c r="C952" s="11"/>
      <c r="E952" s="7"/>
    </row>
    <row r="953">
      <c r="A953" s="11"/>
      <c r="B953" s="11"/>
      <c r="C953" s="11"/>
      <c r="E953" s="7"/>
    </row>
    <row r="954">
      <c r="A954" s="11"/>
      <c r="B954" s="11"/>
      <c r="C954" s="11"/>
      <c r="E954" s="7"/>
    </row>
    <row r="955">
      <c r="A955" s="11"/>
      <c r="B955" s="11"/>
      <c r="C955" s="11"/>
      <c r="E955" s="7"/>
    </row>
    <row r="956">
      <c r="A956" s="11"/>
      <c r="B956" s="11"/>
      <c r="C956" s="11"/>
      <c r="E956" s="7"/>
    </row>
    <row r="957">
      <c r="A957" s="11"/>
      <c r="B957" s="11"/>
      <c r="C957" s="11"/>
      <c r="E957" s="7"/>
    </row>
    <row r="958">
      <c r="A958" s="11"/>
      <c r="B958" s="11"/>
      <c r="C958" s="11"/>
      <c r="E958" s="7"/>
    </row>
    <row r="959">
      <c r="A959" s="11"/>
      <c r="B959" s="11"/>
      <c r="C959" s="11"/>
      <c r="E959" s="7"/>
    </row>
    <row r="960">
      <c r="A960" s="11"/>
      <c r="B960" s="11"/>
      <c r="C960" s="11"/>
      <c r="E960" s="7"/>
    </row>
    <row r="961">
      <c r="A961" s="11"/>
      <c r="B961" s="11"/>
      <c r="C961" s="11"/>
      <c r="E961" s="7"/>
    </row>
    <row r="962">
      <c r="A962" s="11"/>
      <c r="B962" s="11"/>
      <c r="C962" s="11"/>
      <c r="E962" s="7"/>
    </row>
    <row r="963">
      <c r="A963" s="11"/>
      <c r="B963" s="11"/>
      <c r="C963" s="11"/>
      <c r="E963" s="7"/>
    </row>
    <row r="964">
      <c r="A964" s="11"/>
      <c r="B964" s="11"/>
      <c r="C964" s="11"/>
      <c r="E964" s="7"/>
    </row>
    <row r="965">
      <c r="A965" s="11"/>
      <c r="B965" s="11"/>
      <c r="C965" s="11"/>
      <c r="E965" s="7"/>
    </row>
    <row r="966">
      <c r="A966" s="11"/>
      <c r="B966" s="11"/>
      <c r="C966" s="11"/>
      <c r="E966" s="7"/>
    </row>
    <row r="967">
      <c r="A967" s="11"/>
      <c r="B967" s="11"/>
      <c r="C967" s="11"/>
      <c r="E967" s="7"/>
    </row>
    <row r="968">
      <c r="A968" s="11"/>
      <c r="B968" s="11"/>
      <c r="C968" s="11"/>
      <c r="E968" s="7"/>
    </row>
    <row r="969">
      <c r="A969" s="11"/>
      <c r="B969" s="11"/>
      <c r="C969" s="11"/>
      <c r="E969" s="7"/>
    </row>
    <row r="970">
      <c r="A970" s="11"/>
      <c r="B970" s="11"/>
      <c r="C970" s="11"/>
      <c r="E970" s="7"/>
    </row>
    <row r="971">
      <c r="A971" s="11"/>
      <c r="B971" s="11"/>
      <c r="C971" s="11"/>
      <c r="E971" s="7"/>
    </row>
    <row r="972">
      <c r="A972" s="11"/>
      <c r="B972" s="11"/>
      <c r="C972" s="11"/>
      <c r="E972" s="7"/>
    </row>
    <row r="973">
      <c r="A973" s="11"/>
      <c r="B973" s="11"/>
      <c r="C973" s="11"/>
      <c r="E973" s="7"/>
    </row>
    <row r="974">
      <c r="A974" s="11"/>
      <c r="B974" s="11"/>
      <c r="C974" s="11"/>
      <c r="E974" s="7"/>
    </row>
    <row r="975">
      <c r="A975" s="11"/>
      <c r="B975" s="11"/>
      <c r="C975" s="11"/>
      <c r="E975" s="7"/>
    </row>
    <row r="976">
      <c r="A976" s="11"/>
      <c r="B976" s="11"/>
      <c r="C976" s="11"/>
      <c r="E976" s="7"/>
    </row>
    <row r="977">
      <c r="A977" s="11"/>
      <c r="B977" s="11"/>
      <c r="C977" s="11"/>
      <c r="E977" s="7"/>
    </row>
    <row r="978">
      <c r="A978" s="11"/>
      <c r="B978" s="11"/>
      <c r="C978" s="11"/>
      <c r="E978" s="7"/>
    </row>
    <row r="979">
      <c r="A979" s="11"/>
      <c r="B979" s="11"/>
      <c r="C979" s="11"/>
      <c r="E979" s="7"/>
    </row>
    <row r="980">
      <c r="A980" s="11"/>
      <c r="B980" s="11"/>
      <c r="C980" s="11"/>
      <c r="E980" s="7"/>
    </row>
    <row r="981">
      <c r="A981" s="11"/>
      <c r="B981" s="11"/>
      <c r="C981" s="11"/>
      <c r="E981" s="7"/>
    </row>
    <row r="982">
      <c r="A982" s="11"/>
      <c r="B982" s="11"/>
      <c r="C982" s="11"/>
      <c r="E982" s="7"/>
    </row>
    <row r="983">
      <c r="A983" s="11"/>
      <c r="B983" s="11"/>
      <c r="C983" s="11"/>
      <c r="E983" s="7"/>
    </row>
    <row r="984">
      <c r="A984" s="11"/>
      <c r="B984" s="11"/>
      <c r="C984" s="11"/>
      <c r="E984" s="7"/>
    </row>
    <row r="985">
      <c r="A985" s="11"/>
      <c r="B985" s="11"/>
      <c r="C985" s="11"/>
      <c r="E985" s="7"/>
    </row>
    <row r="986">
      <c r="A986" s="11"/>
      <c r="B986" s="11"/>
      <c r="C986" s="11"/>
      <c r="E986" s="7"/>
    </row>
    <row r="987">
      <c r="A987" s="11"/>
      <c r="B987" s="11"/>
      <c r="C987" s="11"/>
      <c r="E987" s="7"/>
    </row>
    <row r="988">
      <c r="A988" s="11"/>
      <c r="B988" s="11"/>
      <c r="C988" s="11"/>
      <c r="E988" s="7"/>
    </row>
    <row r="989">
      <c r="A989" s="11"/>
      <c r="B989" s="11"/>
      <c r="C989" s="11"/>
      <c r="E989" s="7"/>
    </row>
    <row r="990">
      <c r="A990" s="11"/>
      <c r="B990" s="11"/>
      <c r="C990" s="11"/>
      <c r="E990" s="7"/>
    </row>
    <row r="991">
      <c r="A991" s="11"/>
      <c r="B991" s="11"/>
      <c r="C991" s="11"/>
      <c r="E991" s="7"/>
    </row>
    <row r="992">
      <c r="A992" s="11"/>
      <c r="B992" s="11"/>
      <c r="C992" s="11"/>
      <c r="E992" s="7"/>
    </row>
    <row r="993">
      <c r="A993" s="11"/>
      <c r="B993" s="11"/>
      <c r="C993" s="11"/>
      <c r="E993" s="7"/>
    </row>
    <row r="994">
      <c r="A994" s="11"/>
      <c r="B994" s="11"/>
      <c r="C994" s="11"/>
      <c r="E994" s="7"/>
    </row>
    <row r="995">
      <c r="A995" s="11"/>
      <c r="B995" s="11"/>
      <c r="C995" s="11"/>
      <c r="E995" s="7"/>
    </row>
    <row r="996">
      <c r="A996" s="11"/>
      <c r="B996" s="11"/>
      <c r="C996" s="11"/>
      <c r="E996" s="7"/>
    </row>
    <row r="997">
      <c r="A997" s="11"/>
      <c r="B997" s="11"/>
      <c r="C997" s="11"/>
      <c r="E997" s="7"/>
    </row>
    <row r="998">
      <c r="A998" s="11"/>
      <c r="B998" s="11"/>
      <c r="C998" s="11"/>
      <c r="E998" s="7"/>
    </row>
    <row r="999">
      <c r="A999" s="11"/>
      <c r="B999" s="11"/>
      <c r="C999" s="11"/>
      <c r="E999" s="7"/>
    </row>
    <row r="1000">
      <c r="A1000" s="11"/>
      <c r="B1000" s="11"/>
      <c r="C1000" s="11"/>
      <c r="E1000" s="7"/>
    </row>
  </sheetData>
  <mergeCells count="9">
    <mergeCell ref="V1:X1"/>
    <mergeCell ref="Y1:AA1"/>
    <mergeCell ref="A1:C1"/>
    <mergeCell ref="D1:F1"/>
    <mergeCell ref="G1:I1"/>
    <mergeCell ref="J1:L1"/>
    <mergeCell ref="M1:O1"/>
    <mergeCell ref="P1:R1"/>
    <mergeCell ref="S1:U1"/>
  </mergeCells>
  <drawing r:id="rId1"/>
</worksheet>
</file>